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ts.accenture.com/sites/BPPB-Progetti/Shared Documents/BPPB - AML - TxM/AML - TxM Calibrazione/06 Deliverable Doc/Excel Simulator/"/>
    </mc:Choice>
  </mc:AlternateContent>
  <xr:revisionPtr revIDLastSave="373" documentId="8_{23382CE5-078F-429F-AB0D-530E0BC7C16D}" xr6:coauthVersionLast="47" xr6:coauthVersionMax="47" xr10:uidLastSave="{2468035D-EFF8-4ABF-9E1B-359C2D74A0CE}"/>
  <bookViews>
    <workbookView xWindow="-110" yWindow="-110" windowWidth="19420" windowHeight="11500" activeTab="6" xr2:uid="{00000000-000D-0000-FFFF-FFFF00000000}"/>
  </bookViews>
  <sheets>
    <sheet name="Simulazione" sheetId="21" r:id="rId1"/>
    <sheet name="Analisi delle classi di rischio" sheetId="3" r:id="rId2"/>
    <sheet name="Classe 1" sheetId="31" r:id="rId3"/>
    <sheet name="48 &amp; 7" sheetId="32" state="hidden" r:id="rId4"/>
    <sheet name="26 &amp; 7" sheetId="37" state="hidden" r:id="rId5"/>
    <sheet name="Classe 3" sheetId="44" r:id="rId6"/>
    <sheet name="Classe 4" sheetId="45" r:id="rId7"/>
    <sheet name="Classe 6" sheetId="47" r:id="rId8"/>
    <sheet name="Classe 7" sheetId="48" r:id="rId9"/>
    <sheet name="Data" sheetId="1" r:id="rId10"/>
  </sheets>
  <definedNames>
    <definedName name="_xlnm._FilterDatabase" localSheetId="9" hidden="1">Data!$A$1:$CK$683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1" l="1"/>
  <c r="J18" i="21"/>
  <c r="M18" i="2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S21" i="31"/>
  <c r="R21" i="31"/>
  <c r="Q21" i="31"/>
  <c r="P21" i="31"/>
  <c r="O21" i="31"/>
  <c r="N21" i="31"/>
  <c r="G21" i="31"/>
  <c r="F21" i="31"/>
  <c r="E21" i="31"/>
  <c r="D21" i="31"/>
  <c r="C21" i="31"/>
  <c r="W20" i="31"/>
  <c r="P20" i="31"/>
  <c r="O20" i="31"/>
  <c r="N20" i="31"/>
  <c r="N22" i="31" s="1"/>
  <c r="M20" i="31"/>
  <c r="L20" i="31"/>
  <c r="K20" i="31"/>
  <c r="D20" i="31"/>
  <c r="C20" i="31"/>
  <c r="W19" i="31"/>
  <c r="W21" i="31" s="1"/>
  <c r="V19" i="31"/>
  <c r="V21" i="31" s="1"/>
  <c r="U19" i="31"/>
  <c r="U21" i="31" s="1"/>
  <c r="T19" i="31"/>
  <c r="T21" i="31" s="1"/>
  <c r="S19" i="31"/>
  <c r="R19" i="31"/>
  <c r="Q19" i="31"/>
  <c r="P19" i="31"/>
  <c r="O19" i="31"/>
  <c r="N19" i="31"/>
  <c r="M19" i="31"/>
  <c r="M21" i="31" s="1"/>
  <c r="L19" i="31"/>
  <c r="L21" i="31" s="1"/>
  <c r="K19" i="31"/>
  <c r="K21" i="31" s="1"/>
  <c r="J19" i="31"/>
  <c r="J21" i="31" s="1"/>
  <c r="I19" i="31"/>
  <c r="I21" i="31" s="1"/>
  <c r="H19" i="31"/>
  <c r="H21" i="31" s="1"/>
  <c r="G19" i="31"/>
  <c r="F19" i="31"/>
  <c r="E19" i="31"/>
  <c r="D19" i="31"/>
  <c r="C19" i="31"/>
  <c r="W18" i="31"/>
  <c r="W22" i="31" s="1"/>
  <c r="V18" i="31"/>
  <c r="V20" i="31" s="1"/>
  <c r="U18" i="31"/>
  <c r="U20" i="31" s="1"/>
  <c r="T18" i="31"/>
  <c r="T20" i="31" s="1"/>
  <c r="S18" i="31"/>
  <c r="S20" i="31" s="1"/>
  <c r="R18" i="31"/>
  <c r="R20" i="31" s="1"/>
  <c r="Q18" i="31"/>
  <c r="Q20" i="31" s="1"/>
  <c r="P18" i="31"/>
  <c r="P22" i="31" s="1"/>
  <c r="O18" i="31"/>
  <c r="O22" i="31" s="1"/>
  <c r="N18" i="31"/>
  <c r="M18" i="31"/>
  <c r="M22" i="31" s="1"/>
  <c r="L18" i="31"/>
  <c r="L22" i="31" s="1"/>
  <c r="K18" i="31"/>
  <c r="K22" i="31" s="1"/>
  <c r="J18" i="31"/>
  <c r="J20" i="31" s="1"/>
  <c r="I18" i="31"/>
  <c r="I20" i="31" s="1"/>
  <c r="H18" i="31"/>
  <c r="H20" i="31" s="1"/>
  <c r="G18" i="31"/>
  <c r="G20" i="31" s="1"/>
  <c r="F18" i="31"/>
  <c r="F20" i="31" s="1"/>
  <c r="E18" i="31"/>
  <c r="E20" i="31" s="1"/>
  <c r="D18" i="31"/>
  <c r="D22" i="31" s="1"/>
  <c r="C18" i="31"/>
  <c r="C22" i="31" s="1"/>
  <c r="M11" i="21"/>
  <c r="M17" i="21"/>
  <c r="G15" i="21"/>
  <c r="J15" i="21"/>
  <c r="J17" i="21"/>
  <c r="J14" i="21"/>
  <c r="J12" i="21"/>
  <c r="M15" i="21"/>
  <c r="G17" i="21"/>
  <c r="G14" i="21"/>
  <c r="G12" i="21"/>
  <c r="M12" i="21"/>
  <c r="M14" i="21"/>
  <c r="F22" i="31" l="1"/>
  <c r="S22" i="31"/>
  <c r="H22" i="31"/>
  <c r="E22" i="31"/>
  <c r="Q22" i="31"/>
  <c r="R22" i="31"/>
  <c r="G22" i="31"/>
  <c r="T22" i="31"/>
  <c r="I22" i="31"/>
  <c r="U22" i="31"/>
  <c r="J22" i="31"/>
  <c r="V22" i="3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T21" i="48"/>
  <c r="S21" i="48"/>
  <c r="P21" i="48"/>
  <c r="O21" i="48"/>
  <c r="N21" i="48"/>
  <c r="M21" i="48"/>
  <c r="H21" i="48"/>
  <c r="G21" i="48"/>
  <c r="D21" i="48"/>
  <c r="W20" i="48"/>
  <c r="W22" i="48" s="1"/>
  <c r="V20" i="48"/>
  <c r="V22" i="48" s="1"/>
  <c r="U20" i="48"/>
  <c r="U22" i="48" s="1"/>
  <c r="P20" i="48"/>
  <c r="O20" i="48"/>
  <c r="J20" i="48"/>
  <c r="J22" i="48" s="1"/>
  <c r="I20" i="48"/>
  <c r="I22" i="48" s="1"/>
  <c r="D20" i="48"/>
  <c r="W19" i="48"/>
  <c r="W21" i="48" s="1"/>
  <c r="V19" i="48"/>
  <c r="V25" i="48" s="1"/>
  <c r="U19" i="48"/>
  <c r="U25" i="48" s="1"/>
  <c r="T19" i="48"/>
  <c r="T25" i="48" s="1"/>
  <c r="S19" i="48"/>
  <c r="S25" i="48" s="1"/>
  <c r="R19" i="48"/>
  <c r="R21" i="48" s="1"/>
  <c r="Q19" i="48"/>
  <c r="Q21" i="48" s="1"/>
  <c r="P19" i="48"/>
  <c r="P25" i="48" s="1"/>
  <c r="O19" i="48"/>
  <c r="O25" i="48" s="1"/>
  <c r="N19" i="48"/>
  <c r="N25" i="48" s="1"/>
  <c r="M19" i="48"/>
  <c r="M25" i="48" s="1"/>
  <c r="L19" i="48"/>
  <c r="L20" i="48" s="1"/>
  <c r="L22" i="48" s="1"/>
  <c r="K19" i="48"/>
  <c r="K20" i="48" s="1"/>
  <c r="K22" i="48" s="1"/>
  <c r="J19" i="48"/>
  <c r="J25" i="48" s="1"/>
  <c r="I19" i="48"/>
  <c r="I25" i="48" s="1"/>
  <c r="H19" i="48"/>
  <c r="H25" i="48" s="1"/>
  <c r="G19" i="48"/>
  <c r="G25" i="48" s="1"/>
  <c r="F19" i="48"/>
  <c r="F21" i="48" s="1"/>
  <c r="E19" i="48"/>
  <c r="E21" i="48" s="1"/>
  <c r="D19" i="48"/>
  <c r="D25" i="48" s="1"/>
  <c r="W18" i="48"/>
  <c r="W24" i="48" s="1"/>
  <c r="V18" i="48"/>
  <c r="V24" i="48" s="1"/>
  <c r="U18" i="48"/>
  <c r="U24" i="48" s="1"/>
  <c r="T18" i="48"/>
  <c r="S18" i="48"/>
  <c r="R18" i="48"/>
  <c r="R24" i="48" s="1"/>
  <c r="Q18" i="48"/>
  <c r="Q24" i="48" s="1"/>
  <c r="P18" i="48"/>
  <c r="P24" i="48" s="1"/>
  <c r="O18" i="48"/>
  <c r="O24" i="48" s="1"/>
  <c r="N18" i="48"/>
  <c r="N20" i="48" s="1"/>
  <c r="M18" i="48"/>
  <c r="M20" i="48" s="1"/>
  <c r="L18" i="48"/>
  <c r="L24" i="48" s="1"/>
  <c r="K18" i="48"/>
  <c r="K24" i="48" s="1"/>
  <c r="J18" i="48"/>
  <c r="J24" i="48" s="1"/>
  <c r="I18" i="48"/>
  <c r="I24" i="48" s="1"/>
  <c r="H18" i="48"/>
  <c r="G18" i="48"/>
  <c r="F18" i="48"/>
  <c r="F24" i="48" s="1"/>
  <c r="E18" i="48"/>
  <c r="E24" i="48" s="1"/>
  <c r="D18" i="48"/>
  <c r="D24" i="48" s="1"/>
  <c r="C25" i="48"/>
  <c r="C24" i="48"/>
  <c r="C19" i="48"/>
  <c r="C21" i="48" s="1"/>
  <c r="C18" i="48"/>
  <c r="W23" i="47"/>
  <c r="V23" i="47"/>
  <c r="U23" i="47"/>
  <c r="T23" i="47"/>
  <c r="S23" i="47"/>
  <c r="R23" i="47"/>
  <c r="Q23" i="47"/>
  <c r="P23" i="47"/>
  <c r="O23" i="47"/>
  <c r="N23" i="47"/>
  <c r="M23" i="47"/>
  <c r="L23" i="47"/>
  <c r="K23" i="47"/>
  <c r="J23" i="47"/>
  <c r="I23" i="47"/>
  <c r="H23" i="47"/>
  <c r="G23" i="47"/>
  <c r="F23" i="47"/>
  <c r="E23" i="47"/>
  <c r="D23" i="47"/>
  <c r="U21" i="47"/>
  <c r="T21" i="47"/>
  <c r="P21" i="47"/>
  <c r="O21" i="47"/>
  <c r="N21" i="47"/>
  <c r="M21" i="47"/>
  <c r="I21" i="47"/>
  <c r="H21" i="47"/>
  <c r="D21" i="47"/>
  <c r="W20" i="47"/>
  <c r="W22" i="47" s="1"/>
  <c r="V20" i="47"/>
  <c r="V22" i="47" s="1"/>
  <c r="U20" i="47"/>
  <c r="P20" i="47"/>
  <c r="K20" i="47"/>
  <c r="K22" i="47" s="1"/>
  <c r="J20" i="47"/>
  <c r="J22" i="47" s="1"/>
  <c r="I20" i="47"/>
  <c r="D20" i="47"/>
  <c r="W19" i="47"/>
  <c r="W25" i="47" s="1"/>
  <c r="V19" i="47"/>
  <c r="V21" i="47" s="1"/>
  <c r="U19" i="47"/>
  <c r="U25" i="47" s="1"/>
  <c r="T19" i="47"/>
  <c r="T25" i="47" s="1"/>
  <c r="S19" i="47"/>
  <c r="S21" i="47" s="1"/>
  <c r="R19" i="47"/>
  <c r="R25" i="47" s="1"/>
  <c r="Q19" i="47"/>
  <c r="Q21" i="47" s="1"/>
  <c r="P19" i="47"/>
  <c r="P25" i="47" s="1"/>
  <c r="O19" i="47"/>
  <c r="O25" i="47" s="1"/>
  <c r="N19" i="47"/>
  <c r="N25" i="47" s="1"/>
  <c r="M19" i="47"/>
  <c r="M25" i="47" s="1"/>
  <c r="L19" i="47"/>
  <c r="L20" i="47" s="1"/>
  <c r="L22" i="47" s="1"/>
  <c r="K19" i="47"/>
  <c r="K25" i="47" s="1"/>
  <c r="J19" i="47"/>
  <c r="J21" i="47" s="1"/>
  <c r="I19" i="47"/>
  <c r="I25" i="47" s="1"/>
  <c r="H19" i="47"/>
  <c r="H25" i="47" s="1"/>
  <c r="G19" i="47"/>
  <c r="G21" i="47" s="1"/>
  <c r="F19" i="47"/>
  <c r="F21" i="47" s="1"/>
  <c r="E19" i="47"/>
  <c r="E21" i="47" s="1"/>
  <c r="D19" i="47"/>
  <c r="D25" i="47" s="1"/>
  <c r="W18" i="47"/>
  <c r="W24" i="47" s="1"/>
  <c r="V18" i="47"/>
  <c r="V24" i="47" s="1"/>
  <c r="U18" i="47"/>
  <c r="U22" i="47" s="1"/>
  <c r="T18" i="47"/>
  <c r="S18" i="47"/>
  <c r="S24" i="47" s="1"/>
  <c r="R18" i="47"/>
  <c r="R24" i="47" s="1"/>
  <c r="Q18" i="47"/>
  <c r="Q24" i="47" s="1"/>
  <c r="P18" i="47"/>
  <c r="P24" i="47" s="1"/>
  <c r="O18" i="47"/>
  <c r="O20" i="47" s="1"/>
  <c r="N18" i="47"/>
  <c r="N24" i="47" s="1"/>
  <c r="M18" i="47"/>
  <c r="M20" i="47" s="1"/>
  <c r="L18" i="47"/>
  <c r="L24" i="47" s="1"/>
  <c r="K18" i="47"/>
  <c r="K24" i="47" s="1"/>
  <c r="J18" i="47"/>
  <c r="J24" i="47" s="1"/>
  <c r="I18" i="47"/>
  <c r="I22" i="47" s="1"/>
  <c r="H18" i="47"/>
  <c r="G18" i="47"/>
  <c r="G24" i="47" s="1"/>
  <c r="F18" i="47"/>
  <c r="F24" i="47" s="1"/>
  <c r="E18" i="47"/>
  <c r="E24" i="47" s="1"/>
  <c r="D18" i="47"/>
  <c r="D24" i="47" s="1"/>
  <c r="C25" i="47"/>
  <c r="C24" i="47"/>
  <c r="C20" i="47"/>
  <c r="C22" i="47" s="1"/>
  <c r="C19" i="47"/>
  <c r="C21" i="47" s="1"/>
  <c r="C18" i="47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V21" i="45"/>
  <c r="U21" i="45"/>
  <c r="T21" i="45"/>
  <c r="Q21" i="45"/>
  <c r="J21" i="45"/>
  <c r="I21" i="45"/>
  <c r="H21" i="45"/>
  <c r="E21" i="45"/>
  <c r="R20" i="45"/>
  <c r="Q20" i="45"/>
  <c r="P20" i="45"/>
  <c r="F20" i="45"/>
  <c r="E20" i="45"/>
  <c r="D20" i="45"/>
  <c r="W19" i="45"/>
  <c r="W25" i="45" s="1"/>
  <c r="V19" i="45"/>
  <c r="V25" i="45" s="1"/>
  <c r="U19" i="45"/>
  <c r="U25" i="45" s="1"/>
  <c r="T19" i="45"/>
  <c r="T25" i="45" s="1"/>
  <c r="S19" i="45"/>
  <c r="S21" i="45" s="1"/>
  <c r="R19" i="45"/>
  <c r="R21" i="45" s="1"/>
  <c r="Q19" i="45"/>
  <c r="Q25" i="45" s="1"/>
  <c r="P19" i="45"/>
  <c r="P21" i="45" s="1"/>
  <c r="O19" i="45"/>
  <c r="O21" i="45" s="1"/>
  <c r="N19" i="45"/>
  <c r="N21" i="45" s="1"/>
  <c r="M19" i="45"/>
  <c r="M25" i="45" s="1"/>
  <c r="L19" i="45"/>
  <c r="L25" i="45" s="1"/>
  <c r="K19" i="45"/>
  <c r="K25" i="45" s="1"/>
  <c r="J19" i="45"/>
  <c r="J25" i="45" s="1"/>
  <c r="I19" i="45"/>
  <c r="I25" i="45" s="1"/>
  <c r="H19" i="45"/>
  <c r="H25" i="45" s="1"/>
  <c r="G19" i="45"/>
  <c r="G21" i="45" s="1"/>
  <c r="F19" i="45"/>
  <c r="F21" i="45" s="1"/>
  <c r="E19" i="45"/>
  <c r="E25" i="45" s="1"/>
  <c r="D19" i="45"/>
  <c r="D21" i="45" s="1"/>
  <c r="W18" i="45"/>
  <c r="V18" i="45"/>
  <c r="U18" i="45"/>
  <c r="T18" i="45"/>
  <c r="T24" i="45" s="1"/>
  <c r="S18" i="45"/>
  <c r="S24" i="45" s="1"/>
  <c r="R18" i="45"/>
  <c r="R24" i="45" s="1"/>
  <c r="Q18" i="45"/>
  <c r="Q24" i="45" s="1"/>
  <c r="P18" i="45"/>
  <c r="P24" i="45" s="1"/>
  <c r="O18" i="45"/>
  <c r="O20" i="45" s="1"/>
  <c r="N18" i="45"/>
  <c r="N20" i="45" s="1"/>
  <c r="N22" i="45" s="1"/>
  <c r="M18" i="45"/>
  <c r="M24" i="45" s="1"/>
  <c r="L18" i="45"/>
  <c r="L20" i="45" s="1"/>
  <c r="L22" i="45" s="1"/>
  <c r="K18" i="45"/>
  <c r="J18" i="45"/>
  <c r="I18" i="45"/>
  <c r="H18" i="45"/>
  <c r="G18" i="45"/>
  <c r="G24" i="45" s="1"/>
  <c r="F18" i="45"/>
  <c r="F24" i="45" s="1"/>
  <c r="E18" i="45"/>
  <c r="E24" i="45" s="1"/>
  <c r="D18" i="45"/>
  <c r="D24" i="45" s="1"/>
  <c r="C25" i="45"/>
  <c r="C24" i="45"/>
  <c r="C20" i="45"/>
  <c r="C22" i="45" s="1"/>
  <c r="C19" i="45"/>
  <c r="C21" i="45" s="1"/>
  <c r="C18" i="45"/>
  <c r="S25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V21" i="44"/>
  <c r="U21" i="44"/>
  <c r="T21" i="44"/>
  <c r="P21" i="44"/>
  <c r="O21" i="44"/>
  <c r="N21" i="44"/>
  <c r="M21" i="44"/>
  <c r="J21" i="44"/>
  <c r="I21" i="44"/>
  <c r="H21" i="44"/>
  <c r="D21" i="44"/>
  <c r="W20" i="44"/>
  <c r="V20" i="44"/>
  <c r="U20" i="44"/>
  <c r="P20" i="44"/>
  <c r="K20" i="44"/>
  <c r="J20" i="44"/>
  <c r="I20" i="44"/>
  <c r="D20" i="44"/>
  <c r="W19" i="44"/>
  <c r="W25" i="44" s="1"/>
  <c r="V19" i="44"/>
  <c r="V25" i="44" s="1"/>
  <c r="U19" i="44"/>
  <c r="U25" i="44" s="1"/>
  <c r="T19" i="44"/>
  <c r="T25" i="44" s="1"/>
  <c r="S19" i="44"/>
  <c r="S21" i="44" s="1"/>
  <c r="R19" i="44"/>
  <c r="R21" i="44" s="1"/>
  <c r="Q19" i="44"/>
  <c r="Q21" i="44" s="1"/>
  <c r="P19" i="44"/>
  <c r="P25" i="44" s="1"/>
  <c r="O19" i="44"/>
  <c r="O25" i="44" s="1"/>
  <c r="N19" i="44"/>
  <c r="N25" i="44" s="1"/>
  <c r="M19" i="44"/>
  <c r="M25" i="44" s="1"/>
  <c r="L19" i="44"/>
  <c r="L20" i="44" s="1"/>
  <c r="L22" i="44" s="1"/>
  <c r="K19" i="44"/>
  <c r="K25" i="44" s="1"/>
  <c r="J19" i="44"/>
  <c r="J25" i="44" s="1"/>
  <c r="I19" i="44"/>
  <c r="I25" i="44" s="1"/>
  <c r="H19" i="44"/>
  <c r="H25" i="44" s="1"/>
  <c r="G19" i="44"/>
  <c r="G21" i="44" s="1"/>
  <c r="F19" i="44"/>
  <c r="F21" i="44" s="1"/>
  <c r="E19" i="44"/>
  <c r="E21" i="44" s="1"/>
  <c r="D19" i="44"/>
  <c r="D25" i="44" s="1"/>
  <c r="W18" i="44"/>
  <c r="W22" i="44" s="1"/>
  <c r="V18" i="44"/>
  <c r="V22" i="44" s="1"/>
  <c r="U18" i="44"/>
  <c r="U22" i="44" s="1"/>
  <c r="T18" i="44"/>
  <c r="S18" i="44"/>
  <c r="S24" i="44" s="1"/>
  <c r="R18" i="44"/>
  <c r="R24" i="44" s="1"/>
  <c r="Q18" i="44"/>
  <c r="Q24" i="44" s="1"/>
  <c r="P18" i="44"/>
  <c r="P24" i="44" s="1"/>
  <c r="O18" i="44"/>
  <c r="O20" i="44" s="1"/>
  <c r="N18" i="44"/>
  <c r="N20" i="44" s="1"/>
  <c r="M18" i="44"/>
  <c r="M20" i="44" s="1"/>
  <c r="L18" i="44"/>
  <c r="L24" i="44" s="1"/>
  <c r="K18" i="44"/>
  <c r="K22" i="44" s="1"/>
  <c r="J18" i="44"/>
  <c r="J22" i="44" s="1"/>
  <c r="I18" i="44"/>
  <c r="I22" i="44" s="1"/>
  <c r="H18" i="44"/>
  <c r="G18" i="44"/>
  <c r="G24" i="44" s="1"/>
  <c r="F18" i="44"/>
  <c r="F24" i="44" s="1"/>
  <c r="E18" i="44"/>
  <c r="E24" i="44" s="1"/>
  <c r="D18" i="44"/>
  <c r="D24" i="44" s="1"/>
  <c r="C25" i="44"/>
  <c r="C24" i="44"/>
  <c r="C21" i="44"/>
  <c r="C20" i="44"/>
  <c r="C19" i="44"/>
  <c r="C18" i="44"/>
  <c r="C22" i="44" s="1"/>
  <c r="S18" i="21"/>
  <c r="S17" i="21"/>
  <c r="S16" i="21"/>
  <c r="S15" i="21"/>
  <c r="S14" i="21"/>
  <c r="S13" i="21"/>
  <c r="S12" i="21"/>
  <c r="E25" i="48" l="1"/>
  <c r="K25" i="48"/>
  <c r="T24" i="48"/>
  <c r="E20" i="48"/>
  <c r="E22" i="48" s="1"/>
  <c r="F20" i="48"/>
  <c r="F22" i="48" s="1"/>
  <c r="R20" i="48"/>
  <c r="R22" i="48" s="1"/>
  <c r="J21" i="48"/>
  <c r="V21" i="48"/>
  <c r="N22" i="48"/>
  <c r="M24" i="48"/>
  <c r="W25" i="48"/>
  <c r="H24" i="48"/>
  <c r="I21" i="48"/>
  <c r="U21" i="48"/>
  <c r="G20" i="48"/>
  <c r="G22" i="48" s="1"/>
  <c r="S20" i="48"/>
  <c r="S22" i="48" s="1"/>
  <c r="K21" i="48"/>
  <c r="O22" i="48"/>
  <c r="Q25" i="48"/>
  <c r="G24" i="48"/>
  <c r="S24" i="48"/>
  <c r="L25" i="48"/>
  <c r="Q20" i="48"/>
  <c r="Q22" i="48" s="1"/>
  <c r="M22" i="48"/>
  <c r="H20" i="48"/>
  <c r="H22" i="48" s="1"/>
  <c r="T20" i="48"/>
  <c r="T22" i="48" s="1"/>
  <c r="L21" i="48"/>
  <c r="D22" i="48"/>
  <c r="P22" i="48"/>
  <c r="N24" i="48"/>
  <c r="F25" i="48"/>
  <c r="R25" i="48"/>
  <c r="C20" i="48"/>
  <c r="C22" i="48" s="1"/>
  <c r="T22" i="47"/>
  <c r="R21" i="47"/>
  <c r="J25" i="47"/>
  <c r="T24" i="47"/>
  <c r="L25" i="47"/>
  <c r="E20" i="47"/>
  <c r="E22" i="47" s="1"/>
  <c r="Q20" i="47"/>
  <c r="Q22" i="47" s="1"/>
  <c r="M22" i="47"/>
  <c r="I24" i="47"/>
  <c r="U24" i="47"/>
  <c r="F25" i="47"/>
  <c r="V25" i="47"/>
  <c r="H24" i="47"/>
  <c r="F20" i="47"/>
  <c r="F22" i="47" s="1"/>
  <c r="R20" i="47"/>
  <c r="R22" i="47" s="1"/>
  <c r="N20" i="47"/>
  <c r="N22" i="47" s="1"/>
  <c r="G20" i="47"/>
  <c r="G22" i="47" s="1"/>
  <c r="S20" i="47"/>
  <c r="K21" i="47"/>
  <c r="W21" i="47"/>
  <c r="O22" i="47"/>
  <c r="H20" i="47"/>
  <c r="H22" i="47" s="1"/>
  <c r="T20" i="47"/>
  <c r="L21" i="47"/>
  <c r="D22" i="47"/>
  <c r="P22" i="47"/>
  <c r="M24" i="47"/>
  <c r="E25" i="47"/>
  <c r="Q25" i="47"/>
  <c r="S22" i="47"/>
  <c r="O24" i="47"/>
  <c r="G25" i="47"/>
  <c r="S25" i="47"/>
  <c r="U22" i="45"/>
  <c r="K22" i="45"/>
  <c r="N25" i="45"/>
  <c r="U24" i="45"/>
  <c r="V24" i="45"/>
  <c r="G20" i="45"/>
  <c r="G22" i="45" s="1"/>
  <c r="S20" i="45"/>
  <c r="S22" i="45" s="1"/>
  <c r="K21" i="45"/>
  <c r="W21" i="45"/>
  <c r="O22" i="45"/>
  <c r="K24" i="45"/>
  <c r="W24" i="45"/>
  <c r="O25" i="45"/>
  <c r="J24" i="45"/>
  <c r="H20" i="45"/>
  <c r="H22" i="45" s="1"/>
  <c r="T20" i="45"/>
  <c r="L21" i="45"/>
  <c r="D22" i="45"/>
  <c r="P22" i="45"/>
  <c r="L24" i="45"/>
  <c r="D25" i="45"/>
  <c r="P25" i="45"/>
  <c r="I24" i="45"/>
  <c r="I20" i="45"/>
  <c r="I22" i="45" s="1"/>
  <c r="U20" i="45"/>
  <c r="M21" i="45"/>
  <c r="E22" i="45"/>
  <c r="Q22" i="45"/>
  <c r="J20" i="45"/>
  <c r="J22" i="45" s="1"/>
  <c r="V20" i="45"/>
  <c r="V22" i="45" s="1"/>
  <c r="F22" i="45"/>
  <c r="R22" i="45"/>
  <c r="N24" i="45"/>
  <c r="F25" i="45"/>
  <c r="R25" i="45"/>
  <c r="K20" i="45"/>
  <c r="W20" i="45"/>
  <c r="W22" i="45" s="1"/>
  <c r="O24" i="45"/>
  <c r="G25" i="45"/>
  <c r="S25" i="45"/>
  <c r="H24" i="45"/>
  <c r="T22" i="45"/>
  <c r="M20" i="45"/>
  <c r="M22" i="45" s="1"/>
  <c r="H24" i="44"/>
  <c r="M22" i="44"/>
  <c r="T24" i="44"/>
  <c r="Q20" i="44"/>
  <c r="Q22" i="44" s="1"/>
  <c r="U24" i="44"/>
  <c r="F20" i="44"/>
  <c r="F22" i="44" s="1"/>
  <c r="R20" i="44"/>
  <c r="R22" i="44" s="1"/>
  <c r="N22" i="44"/>
  <c r="V24" i="44"/>
  <c r="G20" i="44"/>
  <c r="G22" i="44" s="1"/>
  <c r="S20" i="44"/>
  <c r="S22" i="44" s="1"/>
  <c r="K21" i="44"/>
  <c r="W21" i="44"/>
  <c r="O22" i="44"/>
  <c r="K24" i="44"/>
  <c r="W24" i="44"/>
  <c r="L25" i="44"/>
  <c r="E20" i="44"/>
  <c r="E22" i="44" s="1"/>
  <c r="I24" i="44"/>
  <c r="J24" i="44"/>
  <c r="H20" i="44"/>
  <c r="H22" i="44" s="1"/>
  <c r="T20" i="44"/>
  <c r="T22" i="44" s="1"/>
  <c r="L21" i="44"/>
  <c r="D22" i="44"/>
  <c r="P22" i="44"/>
  <c r="M24" i="44"/>
  <c r="E25" i="44"/>
  <c r="Q25" i="44"/>
  <c r="N24" i="44"/>
  <c r="F25" i="44"/>
  <c r="R25" i="44"/>
  <c r="G25" i="44"/>
  <c r="O24" i="44"/>
  <c r="I19" i="21"/>
  <c r="S11" i="21"/>
  <c r="R11" i="21" s="1"/>
  <c r="M16" i="21"/>
  <c r="Q16" i="21" s="1"/>
  <c r="M13" i="21"/>
  <c r="Q13" i="21" s="1"/>
  <c r="P11" i="21"/>
  <c r="J16" i="21"/>
  <c r="J11" i="21"/>
  <c r="K11" i="21" s="1"/>
  <c r="J13" i="21"/>
  <c r="G11" i="21"/>
  <c r="G16" i="21"/>
  <c r="G13" i="21"/>
  <c r="F19" i="21"/>
  <c r="C23" i="48"/>
  <c r="B20" i="48"/>
  <c r="B22" i="48" s="1"/>
  <c r="B19" i="48"/>
  <c r="B18" i="48"/>
  <c r="C23" i="47"/>
  <c r="B19" i="47"/>
  <c r="B18" i="47"/>
  <c r="C23" i="45"/>
  <c r="B19" i="45"/>
  <c r="B18" i="45"/>
  <c r="F24" i="21"/>
  <c r="C23" i="44"/>
  <c r="B19" i="44"/>
  <c r="B18" i="44"/>
  <c r="B24" i="44" s="1"/>
  <c r="Q14" i="21" l="1"/>
  <c r="R14" i="21" s="1"/>
  <c r="Q17" i="21"/>
  <c r="R17" i="21" s="1"/>
  <c r="Q15" i="21"/>
  <c r="R15" i="21" s="1"/>
  <c r="Q18" i="21"/>
  <c r="R18" i="21" s="1"/>
  <c r="B24" i="48"/>
  <c r="R16" i="21"/>
  <c r="P14" i="21"/>
  <c r="P15" i="21"/>
  <c r="P16" i="21"/>
  <c r="P17" i="21"/>
  <c r="P18" i="21"/>
  <c r="K17" i="21"/>
  <c r="K16" i="21"/>
  <c r="H16" i="21"/>
  <c r="K15" i="21"/>
  <c r="H15" i="21"/>
  <c r="B25" i="48"/>
  <c r="B21" i="48"/>
  <c r="B20" i="47"/>
  <c r="B22" i="47" s="1"/>
  <c r="B25" i="47"/>
  <c r="B24" i="47"/>
  <c r="B21" i="47"/>
  <c r="B20" i="45"/>
  <c r="B22" i="45" s="1"/>
  <c r="B25" i="45"/>
  <c r="B24" i="45"/>
  <c r="B21" i="45"/>
  <c r="K14" i="21"/>
  <c r="B21" i="44"/>
  <c r="B20" i="44"/>
  <c r="B22" i="44" s="1"/>
  <c r="B25" i="44"/>
  <c r="H17" i="21" l="1"/>
  <c r="H14" i="21"/>
  <c r="C23" i="31" l="1"/>
  <c r="B19" i="31"/>
  <c r="B18" i="31"/>
  <c r="N21" i="37"/>
  <c r="W19" i="37"/>
  <c r="V19" i="37"/>
  <c r="U19" i="37"/>
  <c r="T19" i="37"/>
  <c r="S19" i="37"/>
  <c r="R19" i="37"/>
  <c r="Q19" i="37"/>
  <c r="P19" i="37"/>
  <c r="P21" i="37" s="1"/>
  <c r="O19" i="37"/>
  <c r="O21" i="37" s="1"/>
  <c r="N19" i="37"/>
  <c r="M19" i="37"/>
  <c r="L19" i="37"/>
  <c r="K19" i="37"/>
  <c r="J19" i="37"/>
  <c r="I19" i="37"/>
  <c r="H19" i="37"/>
  <c r="G19" i="37"/>
  <c r="F19" i="37"/>
  <c r="E19" i="37"/>
  <c r="D19" i="37"/>
  <c r="D21" i="37" s="1"/>
  <c r="W18" i="37"/>
  <c r="V18" i="37"/>
  <c r="V20" i="37" s="1"/>
  <c r="V22" i="37" s="1"/>
  <c r="U18" i="37"/>
  <c r="T18" i="37"/>
  <c r="S18" i="37"/>
  <c r="S20" i="37" s="1"/>
  <c r="S22" i="37" s="1"/>
  <c r="R18" i="37"/>
  <c r="R20" i="37" s="1"/>
  <c r="R22" i="37" s="1"/>
  <c r="Q18" i="37"/>
  <c r="P18" i="37"/>
  <c r="O18" i="37"/>
  <c r="N18" i="37"/>
  <c r="M18" i="37"/>
  <c r="L18" i="37"/>
  <c r="K18" i="37"/>
  <c r="K20" i="37" s="1"/>
  <c r="J18" i="37"/>
  <c r="J20" i="37" s="1"/>
  <c r="J22" i="37" s="1"/>
  <c r="I18" i="37"/>
  <c r="I20" i="37" s="1"/>
  <c r="H18" i="37"/>
  <c r="G18" i="37"/>
  <c r="G20" i="37" s="1"/>
  <c r="G22" i="37" s="1"/>
  <c r="F18" i="37"/>
  <c r="F20" i="37" s="1"/>
  <c r="F22" i="37" s="1"/>
  <c r="E18" i="37"/>
  <c r="D18" i="37"/>
  <c r="C19" i="37"/>
  <c r="C18" i="37"/>
  <c r="V21" i="32"/>
  <c r="U21" i="32"/>
  <c r="T21" i="32"/>
  <c r="R21" i="32"/>
  <c r="Q21" i="32"/>
  <c r="M21" i="32"/>
  <c r="J21" i="32"/>
  <c r="I21" i="32"/>
  <c r="H21" i="32"/>
  <c r="F21" i="32"/>
  <c r="E21" i="32"/>
  <c r="V20" i="32"/>
  <c r="R20" i="32"/>
  <c r="Q20" i="32"/>
  <c r="J20" i="32"/>
  <c r="G20" i="32"/>
  <c r="F20" i="32"/>
  <c r="E20" i="32"/>
  <c r="W19" i="32"/>
  <c r="W21" i="32" s="1"/>
  <c r="V19" i="32"/>
  <c r="U19" i="32"/>
  <c r="T19" i="32"/>
  <c r="S19" i="32"/>
  <c r="S21" i="32" s="1"/>
  <c r="R19" i="32"/>
  <c r="Q19" i="32"/>
  <c r="P19" i="32"/>
  <c r="P21" i="32" s="1"/>
  <c r="O19" i="32"/>
  <c r="O20" i="32" s="1"/>
  <c r="N19" i="32"/>
  <c r="N20" i="32" s="1"/>
  <c r="M19" i="32"/>
  <c r="L19" i="32"/>
  <c r="L21" i="32" s="1"/>
  <c r="K19" i="32"/>
  <c r="K21" i="32" s="1"/>
  <c r="J19" i="32"/>
  <c r="I19" i="32"/>
  <c r="H19" i="32"/>
  <c r="G19" i="32"/>
  <c r="G21" i="32" s="1"/>
  <c r="F19" i="32"/>
  <c r="E19" i="32"/>
  <c r="D19" i="32"/>
  <c r="D21" i="32" s="1"/>
  <c r="C19" i="32"/>
  <c r="C20" i="32" s="1"/>
  <c r="W18" i="32"/>
  <c r="W20" i="32" s="1"/>
  <c r="W22" i="32" s="1"/>
  <c r="V18" i="32"/>
  <c r="V22" i="32" s="1"/>
  <c r="U18" i="32"/>
  <c r="T18" i="32"/>
  <c r="S18" i="32"/>
  <c r="R18" i="32"/>
  <c r="R22" i="32" s="1"/>
  <c r="Q18" i="32"/>
  <c r="Q22" i="32" s="1"/>
  <c r="P18" i="32"/>
  <c r="P20" i="32" s="1"/>
  <c r="O18" i="32"/>
  <c r="N18" i="32"/>
  <c r="M18" i="32"/>
  <c r="M20" i="32" s="1"/>
  <c r="L18" i="32"/>
  <c r="L20" i="32" s="1"/>
  <c r="K18" i="32"/>
  <c r="K20" i="32" s="1"/>
  <c r="J18" i="32"/>
  <c r="J22" i="32" s="1"/>
  <c r="I18" i="32"/>
  <c r="H18" i="32"/>
  <c r="G18" i="32"/>
  <c r="G22" i="32" s="1"/>
  <c r="F18" i="32"/>
  <c r="F22" i="32" s="1"/>
  <c r="E18" i="32"/>
  <c r="E22" i="32" s="1"/>
  <c r="D18" i="32"/>
  <c r="D20" i="32" s="1"/>
  <c r="C18" i="32"/>
  <c r="H24" i="21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19" i="37"/>
  <c r="B21" i="37" s="1"/>
  <c r="B18" i="37"/>
  <c r="B20" i="37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19" i="32"/>
  <c r="B21" i="32" s="1"/>
  <c r="B18" i="32"/>
  <c r="R13" i="21" l="1"/>
  <c r="B24" i="31"/>
  <c r="B25" i="31"/>
  <c r="J24" i="21"/>
  <c r="P13" i="21"/>
  <c r="B21" i="31"/>
  <c r="K13" i="21"/>
  <c r="B20" i="31"/>
  <c r="B22" i="31" s="1"/>
  <c r="N20" i="37"/>
  <c r="T21" i="37"/>
  <c r="E20" i="37"/>
  <c r="E22" i="37" s="1"/>
  <c r="Q20" i="37"/>
  <c r="Q22" i="37" s="1"/>
  <c r="I21" i="37"/>
  <c r="U21" i="37"/>
  <c r="H21" i="37"/>
  <c r="H20" i="37"/>
  <c r="H22" i="37" s="1"/>
  <c r="T20" i="37"/>
  <c r="T22" i="37" s="1"/>
  <c r="L21" i="37"/>
  <c r="M21" i="37"/>
  <c r="K22" i="37"/>
  <c r="W22" i="37"/>
  <c r="L20" i="37"/>
  <c r="L22" i="37" s="1"/>
  <c r="U20" i="37"/>
  <c r="U22" i="37" s="1"/>
  <c r="M20" i="37"/>
  <c r="M22" i="37" s="1"/>
  <c r="E21" i="37"/>
  <c r="Q21" i="37"/>
  <c r="F21" i="37"/>
  <c r="R21" i="37"/>
  <c r="W20" i="37"/>
  <c r="I22" i="37"/>
  <c r="C21" i="37"/>
  <c r="O20" i="37"/>
  <c r="O22" i="37" s="1"/>
  <c r="G21" i="37"/>
  <c r="S21" i="37"/>
  <c r="J21" i="37"/>
  <c r="V21" i="37"/>
  <c r="K21" i="37"/>
  <c r="W21" i="37"/>
  <c r="N22" i="37"/>
  <c r="P20" i="37"/>
  <c r="P22" i="37" s="1"/>
  <c r="D20" i="37"/>
  <c r="D22" i="37" s="1"/>
  <c r="C20" i="37"/>
  <c r="C22" i="37" s="1"/>
  <c r="T22" i="32"/>
  <c r="C22" i="32"/>
  <c r="U22" i="32"/>
  <c r="O22" i="32"/>
  <c r="I22" i="32"/>
  <c r="N22" i="32"/>
  <c r="L22" i="32"/>
  <c r="S20" i="32"/>
  <c r="S22" i="32" s="1"/>
  <c r="M22" i="32"/>
  <c r="H20" i="32"/>
  <c r="H22" i="32" s="1"/>
  <c r="T20" i="32"/>
  <c r="I20" i="32"/>
  <c r="U20" i="32"/>
  <c r="D22" i="32"/>
  <c r="P22" i="32"/>
  <c r="K22" i="32"/>
  <c r="N21" i="32"/>
  <c r="C21" i="32"/>
  <c r="O21" i="32"/>
  <c r="B22" i="37"/>
  <c r="B20" i="32"/>
  <c r="B22" i="32" s="1"/>
  <c r="J19" i="21" l="1"/>
  <c r="P12" i="21"/>
  <c r="Q12" i="21"/>
  <c r="J30" i="21" s="1" a="1"/>
  <c r="J30" i="21" s="1"/>
  <c r="H13" i="21"/>
  <c r="K12" i="21"/>
  <c r="I30" i="21" l="1" a="1"/>
  <c r="I30" i="21" s="1"/>
  <c r="F30" i="21" a="1"/>
  <c r="F30" i="21" s="1"/>
  <c r="G30" i="21" a="1"/>
  <c r="G30" i="21" s="1"/>
  <c r="G19" i="21"/>
  <c r="G24" i="21" s="1"/>
  <c r="R12" i="21"/>
  <c r="R19" i="21" s="1"/>
  <c r="H30" i="21" s="1"/>
  <c r="H12" i="21"/>
  <c r="I24" i="21"/>
  <c r="K19" i="21" l="1"/>
  <c r="K24" i="21"/>
  <c r="J25" i="21" l="1"/>
  <c r="H25" i="21"/>
  <c r="H19" i="21"/>
  <c r="F25" i="2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<sst xmlns="http://schemas.openxmlformats.org/spreadsheetml/2006/main" count="7866" uniqueCount="843">
  <si>
    <t>POSIZIONE</t>
  </si>
  <si>
    <t>CODICE</t>
  </si>
  <si>
    <t>DESCRIZIONE</t>
  </si>
  <si>
    <t>RILEVATA</t>
  </si>
  <si>
    <t>INTERMEDIARIO</t>
  </si>
  <si>
    <t>DIPENDENZA</t>
  </si>
  <si>
    <t>IN CARICO A</t>
  </si>
  <si>
    <t>SISTEMA AR</t>
  </si>
  <si>
    <t>STATO</t>
  </si>
  <si>
    <t>INDICE PREDITTIVO</t>
  </si>
  <si>
    <t>REGISTRAZIONE</t>
  </si>
  <si>
    <t>NUMERO RAPPORTO</t>
  </si>
  <si>
    <t>DATA OPERAZIONE</t>
  </si>
  <si>
    <t>CAUSALE ANALITICA</t>
  </si>
  <si>
    <t>CAUSALE SINTETICA</t>
  </si>
  <si>
    <t>PAESE INTERMED. CONTROP.</t>
  </si>
  <si>
    <t>SEGNO</t>
  </si>
  <si>
    <t>IMPORTO</t>
  </si>
  <si>
    <t>DI CUI CONTANTE</t>
  </si>
  <si>
    <t>TITOLARE NDG</t>
  </si>
  <si>
    <t>CODICE FISCALE</t>
  </si>
  <si>
    <t>COGNOME E NOME / RAGIONE SOCIALE</t>
  </si>
  <si>
    <t>D21 SAE</t>
  </si>
  <si>
    <t>D22 ATECO</t>
  </si>
  <si>
    <t>PAESE RESIDENZA</t>
  </si>
  <si>
    <t>GESTORE</t>
  </si>
  <si>
    <t>STATO VALUTAZIONE</t>
  </si>
  <si>
    <t>ID ECCEZIONE</t>
  </si>
  <si>
    <t>DATA ULT. VALUTAZIONE</t>
  </si>
  <si>
    <t>UFFICIO</t>
  </si>
  <si>
    <t>AUTORE</t>
  </si>
  <si>
    <t>ULTIMA VALUTAZIONE</t>
  </si>
  <si>
    <t>PRESENZA ALLEGATI</t>
  </si>
  <si>
    <t>ALTRE VALUTAZIONI</t>
  </si>
  <si>
    <t>ANNOMESE</t>
  </si>
  <si>
    <t>Stato</t>
  </si>
  <si>
    <t>flag_stato</t>
  </si>
  <si>
    <t>flg_SCEN_IN_USO</t>
  </si>
  <si>
    <t>CDG</t>
  </si>
  <si>
    <t>flag_OggValut</t>
  </si>
  <si>
    <t>flag_anom_causale</t>
  </si>
  <si>
    <t>ATECO_CODE</t>
  </si>
  <si>
    <t>SAE_CODE</t>
  </si>
  <si>
    <t>SAE_ATECO_CODE</t>
  </si>
  <si>
    <t>Classe_old</t>
  </si>
  <si>
    <t>RES_ATECO</t>
  </si>
  <si>
    <t>Classe</t>
  </si>
  <si>
    <t>053850_105</t>
  </si>
  <si>
    <t>Discovery Day</t>
  </si>
  <si>
    <t>Mai valutato</t>
  </si>
  <si>
    <t>600 - Famiglie consumatrici</t>
  </si>
  <si>
    <t>086 - ITALIA</t>
  </si>
  <si>
    <t>Classe di rischio 7</t>
  </si>
  <si>
    <t>053850_104</t>
  </si>
  <si>
    <t>ARCHIVIATA DA RPR</t>
  </si>
  <si>
    <t>053850_102</t>
  </si>
  <si>
    <t>430 - Imprese produttive</t>
  </si>
  <si>
    <t>Classe di rischio 1</t>
  </si>
  <si>
    <t>A     - Avere</t>
  </si>
  <si>
    <t>053850_103</t>
  </si>
  <si>
    <t>620 - PRODUZIONE DI SOFTWARE, CONSULENZA INFORMATICA E ATTIVITÀ CONNESSE</t>
  </si>
  <si>
    <t>Classe di rischio 3</t>
  </si>
  <si>
    <t>412 - COSTRUZIONE DI EDIFICI RESIDENZIALI E NON RESIDENZIALI</t>
  </si>
  <si>
    <t>ARCHIVIATA</t>
  </si>
  <si>
    <t>492 - Quasi societa' non finanziarie altre - Unita' o societa' con meno di 20 addetti</t>
  </si>
  <si>
    <t>053850_175</t>
  </si>
  <si>
    <t>615 - Altre famiglie produttrici</t>
  </si>
  <si>
    <t>053850_125</t>
  </si>
  <si>
    <t>053850_109</t>
  </si>
  <si>
    <t>053850_136</t>
  </si>
  <si>
    <t>053850_171</t>
  </si>
  <si>
    <t>053850_121</t>
  </si>
  <si>
    <t>463 - COMMERCIO ALL'INGROSSO DI PRODOTTI ALIMENTARI, BEVANDE E PRODOTTI DEL TABACCO</t>
  </si>
  <si>
    <t>053850_192</t>
  </si>
  <si>
    <t>110 - INDUSTRIA DELLE BEVANDE</t>
  </si>
  <si>
    <t>053850_141</t>
  </si>
  <si>
    <t>053850_270</t>
  </si>
  <si>
    <t>501 - Istituzioni ed enti con finalita' di assistenza, beneficenza, istruzione, culturali, sindacali, politiche, sportive, ricreative e simili</t>
  </si>
  <si>
    <t>464 - COMMERCIO ALL'INGROSSO DI BENI DI CONSUMO FINALE</t>
  </si>
  <si>
    <t>Classe di rischio 4</t>
  </si>
  <si>
    <t>477 - COMMERCIO AL DETTAGLIO DI ALTRI PRODOTTI IN ESERCIZI SPECIALIZZATI</t>
  </si>
  <si>
    <t>053850_110</t>
  </si>
  <si>
    <t>053850_170</t>
  </si>
  <si>
    <t>614 - Artigiani</t>
  </si>
  <si>
    <t>053850_149</t>
  </si>
  <si>
    <t>494 - TRASPORTO DI MERCI SU STRADA E SERVIZI DI TRASLOCO</t>
  </si>
  <si>
    <t>462 - COMMERCIO ALL'INGROSSO DI MATERIE PRIME AGRICOLE E DI ANIMALI VIVI</t>
  </si>
  <si>
    <t>141 - CONFEZIONE DI ARTICOLI DI ABBIGLIAMENTO (ESCLUSO ABBIGLIAMENTO IN PELLICCIA)</t>
  </si>
  <si>
    <t>053850_174</t>
  </si>
  <si>
    <t>053850_108</t>
  </si>
  <si>
    <t>466 - COMMERCIO ALL'INGROSSO DI ALTRI MACCHINARI, ATTREZZATURE E FORNITURE</t>
  </si>
  <si>
    <t>053850_148</t>
  </si>
  <si>
    <t>107 - PRODUZIONE DI PRODOTTI DA FORNO E FARINACEI</t>
  </si>
  <si>
    <t>053850_118</t>
  </si>
  <si>
    <t>433 - COMPLETAMENTO E FINITURA DI EDIFICI</t>
  </si>
  <si>
    <t>053850_161</t>
  </si>
  <si>
    <t>Grand Total</t>
  </si>
  <si>
    <t>False Positive</t>
  </si>
  <si>
    <t>Total</t>
  </si>
  <si>
    <t>% POSIZIONE</t>
  </si>
  <si>
    <t># POSIZIONE</t>
  </si>
  <si>
    <t>Calibrazione 48 - Bonifico in arrivo  &amp; classe 7</t>
  </si>
  <si>
    <t>Thresholds</t>
  </si>
  <si>
    <t>P00</t>
  </si>
  <si>
    <t>P05</t>
  </si>
  <si>
    <t>P10</t>
  </si>
  <si>
    <t>P15</t>
  </si>
  <si>
    <t>P20</t>
  </si>
  <si>
    <t>P25</t>
  </si>
  <si>
    <t>P30</t>
  </si>
  <si>
    <t>P35</t>
  </si>
  <si>
    <t>P40</t>
  </si>
  <si>
    <t>P45</t>
  </si>
  <si>
    <t>P50</t>
  </si>
  <si>
    <t>P55</t>
  </si>
  <si>
    <t>P60</t>
  </si>
  <si>
    <t>P65</t>
  </si>
  <si>
    <t>P70</t>
  </si>
  <si>
    <t>P75</t>
  </si>
  <si>
    <t>P80</t>
  </si>
  <si>
    <t>P85</t>
  </si>
  <si>
    <t>P90</t>
  </si>
  <si>
    <t>P95</t>
  </si>
  <si>
    <t>P100</t>
  </si>
  <si>
    <t>Flase Positive Rate</t>
  </si>
  <si>
    <t>Percentile</t>
  </si>
  <si>
    <t>Percentile_00</t>
  </si>
  <si>
    <t>Percentile_05</t>
  </si>
  <si>
    <t>Percentile_10</t>
  </si>
  <si>
    <t>Percentile_15</t>
  </si>
  <si>
    <t>Percentile_20</t>
  </si>
  <si>
    <t>Percentile_25</t>
  </si>
  <si>
    <t>Percentile_30</t>
  </si>
  <si>
    <t>Percentile_35</t>
  </si>
  <si>
    <t>Percentile_40</t>
  </si>
  <si>
    <t>Percentile_45</t>
  </si>
  <si>
    <t>Percentile_50</t>
  </si>
  <si>
    <t>Percentile_55</t>
  </si>
  <si>
    <t>Percentile_60</t>
  </si>
  <si>
    <t>Percentile_65</t>
  </si>
  <si>
    <t>Percentile_70</t>
  </si>
  <si>
    <t>Percentile_75</t>
  </si>
  <si>
    <t>Percentile_80</t>
  </si>
  <si>
    <t>Percentile_85</t>
  </si>
  <si>
    <t>Percentile_90</t>
  </si>
  <si>
    <t>Percentile_95</t>
  </si>
  <si>
    <t>Percentile_100</t>
  </si>
  <si>
    <t>flag_Percentile_00</t>
  </si>
  <si>
    <t>flag_Percentile_05</t>
  </si>
  <si>
    <t>flag_Percentile_10</t>
  </si>
  <si>
    <t>flag_Percentile_15</t>
  </si>
  <si>
    <t>flag_Percentile_20</t>
  </si>
  <si>
    <t>flag_Percentile_25</t>
  </si>
  <si>
    <t>flag_Percentile_30</t>
  </si>
  <si>
    <t>flag_Percentile_35</t>
  </si>
  <si>
    <t>flag_Percentile_40</t>
  </si>
  <si>
    <t>flag_Percentile_45</t>
  </si>
  <si>
    <t>flag_Percentile_50</t>
  </si>
  <si>
    <t>flag_Percentile_55</t>
  </si>
  <si>
    <t>flag_Percentile_60</t>
  </si>
  <si>
    <t>flag_Percentile_65</t>
  </si>
  <si>
    <t>flag_Percentile_70</t>
  </si>
  <si>
    <t>flag_Percentile_75</t>
  </si>
  <si>
    <t>flag_Percentile_80</t>
  </si>
  <si>
    <t>flag_Percentile_85</t>
  </si>
  <si>
    <t>flag_Percentile_90</t>
  </si>
  <si>
    <t>flag_Percentile_95</t>
  </si>
  <si>
    <t>flag_Percentile_100</t>
  </si>
  <si>
    <t>IN VALUTAZIONE RPR</t>
  </si>
  <si>
    <t>IN CARICO AL GESTORE</t>
  </si>
  <si>
    <t>053850_267</t>
  </si>
  <si>
    <t>26 - Bonifico in partenza</t>
  </si>
  <si>
    <t>48 - Bonifico in arrivo</t>
  </si>
  <si>
    <t>053850_131</t>
  </si>
  <si>
    <t>053850_226</t>
  </si>
  <si>
    <t>012 - COLTIVAZIONE DI COLTURE PERMANENTI</t>
  </si>
  <si>
    <t>APULIA DISTRIBUZIONE S.R.L.</t>
  </si>
  <si>
    <t>IN CARICO AL RESPONSABILE</t>
  </si>
  <si>
    <t>053850_268</t>
  </si>
  <si>
    <t>053850_185</t>
  </si>
  <si>
    <t>493 - ALTRI TRASPORTI TERRESTRI DI PASSEGGERI</t>
  </si>
  <si>
    <t>053850_120</t>
  </si>
  <si>
    <t>Min of Percentile_00</t>
  </si>
  <si>
    <t>Min of Percentile_05</t>
  </si>
  <si>
    <t>Min of Percentile_10</t>
  </si>
  <si>
    <t>Min of Percentile_15</t>
  </si>
  <si>
    <t>Min of Percentile_20</t>
  </si>
  <si>
    <t>Min of Percentile_25</t>
  </si>
  <si>
    <t>Min of Percentile_30</t>
  </si>
  <si>
    <t>Min of Percentile_35</t>
  </si>
  <si>
    <t>Min of Percentile_40</t>
  </si>
  <si>
    <t>Min of Percentile_45</t>
  </si>
  <si>
    <t>Min of Percentile_50</t>
  </si>
  <si>
    <t>Min of Percentile_55</t>
  </si>
  <si>
    <t>Min of Percentile_60</t>
  </si>
  <si>
    <t>Min of Percentile_65</t>
  </si>
  <si>
    <t>Min of Percentile_70</t>
  </si>
  <si>
    <t>Min of Percentile_75</t>
  </si>
  <si>
    <t>Min of Percentile_80</t>
  </si>
  <si>
    <t>Min of Percentile_85</t>
  </si>
  <si>
    <t>Min of Percentile_90</t>
  </si>
  <si>
    <t>Min of Percentile_95</t>
  </si>
  <si>
    <t>Min of Percentile_100</t>
  </si>
  <si>
    <t>Sum of flag_Percentile_05</t>
  </si>
  <si>
    <t>Sum of flag_Percentile_00</t>
  </si>
  <si>
    <t>Sum of flag_Percentile_10</t>
  </si>
  <si>
    <t>Sum of flag_Percentile_15</t>
  </si>
  <si>
    <t>Sum of flag_Percentile_20</t>
  </si>
  <si>
    <t>Sum of flag_Percentile_25</t>
  </si>
  <si>
    <t>Sum of flag_Percentile_30</t>
  </si>
  <si>
    <t>Sum of flag_Percentile_35</t>
  </si>
  <si>
    <t>Sum of flag_Percentile_40</t>
  </si>
  <si>
    <t>Sum of flag_Percentile_45</t>
  </si>
  <si>
    <t>Sum of flag_Percentile_50</t>
  </si>
  <si>
    <t>Sum of flag_Percentile_55</t>
  </si>
  <si>
    <t>Sum of flag_Percentile_60</t>
  </si>
  <si>
    <t>Sum of flag_Percentile_65</t>
  </si>
  <si>
    <t>Sum of flag_Percentile_70</t>
  </si>
  <si>
    <t>Sum of flag_Percentile_75</t>
  </si>
  <si>
    <t>Sum of flag_Percentile_80</t>
  </si>
  <si>
    <t>Sum of flag_Percentile_85</t>
  </si>
  <si>
    <t>Sum of flag_Percentile_90</t>
  </si>
  <si>
    <t>Sum of flag_Percentile_95</t>
  </si>
  <si>
    <t>Sum of flag_Percentile_100</t>
  </si>
  <si>
    <t>Open</t>
  </si>
  <si>
    <t>*</t>
  </si>
  <si>
    <t>As-Is</t>
  </si>
  <si>
    <t>Soglia As-Is</t>
  </si>
  <si>
    <t>Index</t>
  </si>
  <si>
    <t>Delta</t>
  </si>
  <si>
    <t>Delta Open Alert</t>
  </si>
  <si>
    <t>Calibrazione 26 - Bonifico in arrivo  &amp; classe 7</t>
  </si>
  <si>
    <t>Count of flag_stato</t>
  </si>
  <si>
    <t>T0</t>
  </si>
  <si>
    <t>Classe di rischio 5</t>
  </si>
  <si>
    <t>467 - COMMERCIO ALL'INGROSSO SPECIALIZZATO DI ALTRI PRODOTTI</t>
  </si>
  <si>
    <t>FABRIELLA GROUP S.R.L.</t>
  </si>
  <si>
    <t>ZENTRUM BARI S.R.L.</t>
  </si>
  <si>
    <t>451 - COMMERCIO DI AUTOVEICOLI</t>
  </si>
  <si>
    <t>DGSGPP76C20A662C</t>
  </si>
  <si>
    <t>DIGIESI GIUSEPPE</t>
  </si>
  <si>
    <t>691 - ATTIVITÀ DEGLI STUDI LEGALI</t>
  </si>
  <si>
    <t>Approcio Prudenziale</t>
  </si>
  <si>
    <t>Approcio Medio</t>
  </si>
  <si>
    <t>Approcio Aggressivo</t>
  </si>
  <si>
    <t>Open Alert Eliminato</t>
  </si>
  <si>
    <t>delta soglie</t>
  </si>
  <si>
    <t>Delta * Num Alert</t>
  </si>
  <si>
    <t>Num Alert</t>
  </si>
  <si>
    <t>% delta soglie</t>
  </si>
  <si>
    <t>Open Alert</t>
  </si>
  <si>
    <t>Calibrata</t>
  </si>
  <si>
    <t>% Delta Soglie</t>
  </si>
  <si>
    <t>03 - Versamento contante cassa continua</t>
  </si>
  <si>
    <t>CARLO VENTRICELLI &amp; C. S.N.C.</t>
  </si>
  <si>
    <t>920 - ATTIVITÀ RIGUARDANTI LE LOTTERIE, LE SCOMMESSE, LE CASE DA GIOCO</t>
  </si>
  <si>
    <t>Vari (30/04/2025)</t>
  </si>
  <si>
    <t>CARELLI S.R.L.</t>
  </si>
  <si>
    <t>471 - COMMERCIO AL DETTAGLIO IN ESERCIZI NON SPECIALIZZATI</t>
  </si>
  <si>
    <t>053850_116</t>
  </si>
  <si>
    <t>A.I.A. AGRICOLA ITALIANA ALIMENTARE S.P.A.</t>
  </si>
  <si>
    <t>472 - COMMERCIO AL DETTAGLIO DI PRODOTTI ALIMENTARI, BEVANDE E TABACCO IN ESERCIZI SPECIALIZZATI</t>
  </si>
  <si>
    <t>VV</t>
  </si>
  <si>
    <t>DELIZIA S.P.A.</t>
  </si>
  <si>
    <t>105 - INDUSTRIA LATTIERO-CASEARIA</t>
  </si>
  <si>
    <t>D1 - Versamento di contante</t>
  </si>
  <si>
    <t>053850_167</t>
  </si>
  <si>
    <t>053850_114</t>
  </si>
  <si>
    <t>FARMACIA SANTA RITA DEI DOTTORI TERESA EGUSTAVO VASSALLI S.N.C.</t>
  </si>
  <si>
    <t>GESTFOOD - GESTIONE ALIMENTARE SOCIETA' A RESPONSABILITA' LIMITATA</t>
  </si>
  <si>
    <t>Classe di rischio 6</t>
  </si>
  <si>
    <t>Vari (29/04/2025)</t>
  </si>
  <si>
    <t>Classe di rischio 2</t>
  </si>
  <si>
    <t>053850_204</t>
  </si>
  <si>
    <t>053850_128</t>
  </si>
  <si>
    <t>053850_273</t>
  </si>
  <si>
    <t>053850_176</t>
  </si>
  <si>
    <t>053850_181</t>
  </si>
  <si>
    <t>Vari (28/04/2025)</t>
  </si>
  <si>
    <t>DE.RA.DO. SRL</t>
  </si>
  <si>
    <t>031 - PESCA</t>
  </si>
  <si>
    <t>053850_187</t>
  </si>
  <si>
    <t>053850_286</t>
  </si>
  <si>
    <t>053850_129</t>
  </si>
  <si>
    <t>053850_182</t>
  </si>
  <si>
    <t>PLPMNL65B14L049X</t>
  </si>
  <si>
    <t>PULPO EMANUELE</t>
  </si>
  <si>
    <t>SANROCCO CARBURANTI S.R.L.</t>
  </si>
  <si>
    <t>GARDEN DI BARBARA SALVA TORE &amp; C. S.A.S.</t>
  </si>
  <si>
    <t>053850_117</t>
  </si>
  <si>
    <t>053850_195</t>
  </si>
  <si>
    <t>Vari (24/04/2025)</t>
  </si>
  <si>
    <t>Vari (23/04/2025)</t>
  </si>
  <si>
    <t>053850_284</t>
  </si>
  <si>
    <t>101 - LAVORAZIONE E CONSERVAZIONE DI CARNE E PRODUZIONE DI PRODOTTI A BASE DI CARNE</t>
  </si>
  <si>
    <t>Vari (22/04/2025)</t>
  </si>
  <si>
    <t>MUZZI' SRL</t>
  </si>
  <si>
    <t>Vari (18/04/2025)</t>
  </si>
  <si>
    <t>LTTMNT80D67C983T</t>
  </si>
  <si>
    <t>LOTITO MARIANTONELLA</t>
  </si>
  <si>
    <t>LA SFORNATA S.R.L.</t>
  </si>
  <si>
    <t>053850_287</t>
  </si>
  <si>
    <t>GEL.DI. S.P.A.</t>
  </si>
  <si>
    <t>Vari (16/04/2025)</t>
  </si>
  <si>
    <t>Vari (15/04/2025)</t>
  </si>
  <si>
    <t>053850_196</t>
  </si>
  <si>
    <t>BNDPIA35L51D643A</t>
  </si>
  <si>
    <t>BONDANESE PIA</t>
  </si>
  <si>
    <t>Vari (14/04/2025)</t>
  </si>
  <si>
    <t>Vari (11/04/2025)</t>
  </si>
  <si>
    <t>Vari (10/04/2025)</t>
  </si>
  <si>
    <t>Vari (09/04/2025)</t>
  </si>
  <si>
    <t>Vari (08/04/2025)</t>
  </si>
  <si>
    <t>Vari (07/04/2025)</t>
  </si>
  <si>
    <t>Vari (04/04/2025)</t>
  </si>
  <si>
    <t>563 - BAR E ALTRI ESERCIZI SIMILI SENZA CUCINA</t>
  </si>
  <si>
    <t>053850_153</t>
  </si>
  <si>
    <t>GESTFOOD - GESTIONE ALIMENTARE SOCIETA' A RE</t>
  </si>
  <si>
    <t>LNEDRN79E46L109G</t>
  </si>
  <si>
    <t>LEONE ADRIANA</t>
  </si>
  <si>
    <t>Vari (02/04/2025)</t>
  </si>
  <si>
    <t>053850_266</t>
  </si>
  <si>
    <t>Vari (01/04/2025)</t>
  </si>
  <si>
    <t>Vari (30/05/2025)</t>
  </si>
  <si>
    <t>FARMACIE SANTA RITA S.R.L.</t>
  </si>
  <si>
    <t>Vari (28/05/2025)</t>
  </si>
  <si>
    <t>STUDIO ASSOCIATO NOTAI ALFREDO CILLO-MARIA E</t>
  </si>
  <si>
    <t>Vari (27/05/2025)</t>
  </si>
  <si>
    <t>Vari (26/05/2025)</t>
  </si>
  <si>
    <t>053850_279</t>
  </si>
  <si>
    <t>Vari (23/05/2025)</t>
  </si>
  <si>
    <t>Vari (22/05/2025)</t>
  </si>
  <si>
    <t>Vari (21/05/2025)</t>
  </si>
  <si>
    <t>Vari (20/05/2025)</t>
  </si>
  <si>
    <t>Vari (19/05/2025)</t>
  </si>
  <si>
    <t>Vari (09/05/2025)</t>
  </si>
  <si>
    <t>Vari (16/05/2025)</t>
  </si>
  <si>
    <t>Vari (15/05/2025)</t>
  </si>
  <si>
    <t>Vari (14/05/2025)</t>
  </si>
  <si>
    <t>Vari (13/05/2025)</t>
  </si>
  <si>
    <t>GRCFNC77T27B180B</t>
  </si>
  <si>
    <t>GRECO FRANCESCO</t>
  </si>
  <si>
    <t>Vari (12/05/2025)</t>
  </si>
  <si>
    <t>Vari (08/05/2025)</t>
  </si>
  <si>
    <t>Vari (07/05/2025)</t>
  </si>
  <si>
    <t>Vari (06/05/2025)</t>
  </si>
  <si>
    <t>053850_106</t>
  </si>
  <si>
    <t>Vari (05/05/2025)</t>
  </si>
  <si>
    <t>053850_193</t>
  </si>
  <si>
    <t>053850_126</t>
  </si>
  <si>
    <t>Vari (02/05/2025)</t>
  </si>
  <si>
    <t>Vari (30/06/2025)</t>
  </si>
  <si>
    <t>053850_188</t>
  </si>
  <si>
    <t>053850_282</t>
  </si>
  <si>
    <t>053850_198</t>
  </si>
  <si>
    <t>053850_164</t>
  </si>
  <si>
    <t>Vari (27/06/2025)</t>
  </si>
  <si>
    <t>Vari (26/06/2025)</t>
  </si>
  <si>
    <t>Vari (25/06/2025)</t>
  </si>
  <si>
    <t>Vari (24/06/2025)</t>
  </si>
  <si>
    <t>Vari (23/06/2025)</t>
  </si>
  <si>
    <t>Vari (20/06/2025)</t>
  </si>
  <si>
    <t>Vari (19/06/2025)</t>
  </si>
  <si>
    <t>015 - COLTIVAZIONI AGRICOLE ASSOCIATE ALL'ALLEVAMENTO DI ANIMALI: ATTIVITÀ MISTA</t>
  </si>
  <si>
    <t>Vari (17/06/2025)</t>
  </si>
  <si>
    <t>Vari (16/06/2025)</t>
  </si>
  <si>
    <t>Vari (12/06/2025)</t>
  </si>
  <si>
    <t>Vari (11/06/2025)</t>
  </si>
  <si>
    <t>Vari (10/06/2025)</t>
  </si>
  <si>
    <t>Vari (09/06/2025)</t>
  </si>
  <si>
    <t>Vari (06/06/2025)</t>
  </si>
  <si>
    <t>Vari (05/06/2025)</t>
  </si>
  <si>
    <t>Vari (04/06/2025)</t>
  </si>
  <si>
    <t>Vari (03/06/2025)</t>
  </si>
  <si>
    <t>711 - ATTIVITÀ DEGLI STUDI DI ARCHITETTURA, INGEGNERIA ED ALTRI STUDI TECNICI</t>
  </si>
  <si>
    <t>Calibrazione Classe di rischio 1</t>
  </si>
  <si>
    <t>Classe 1</t>
  </si>
  <si>
    <t>Classe 2</t>
  </si>
  <si>
    <t>Calibrazione Classe di rischio 3</t>
  </si>
  <si>
    <t>Classe 3</t>
  </si>
  <si>
    <t>Numero alert scen 00100</t>
  </si>
  <si>
    <t>Calibrazione Classe di rischio 4</t>
  </si>
  <si>
    <t>Calibrazione Classe di rischio 6</t>
  </si>
  <si>
    <t>Calibrazione Classe di rischio 7</t>
  </si>
  <si>
    <t>Classe 4</t>
  </si>
  <si>
    <t>Classe 5</t>
  </si>
  <si>
    <t>Classe 6</t>
  </si>
  <si>
    <t>Classe 7</t>
  </si>
  <si>
    <t>95</t>
  </si>
  <si>
    <t>Versamento giornaliero di importo elevato per la causale ed il soggetto</t>
  </si>
  <si>
    <t>INDUSTRIA MOLITORIA F.LLI MARTIMUCCI S.R.L.</t>
  </si>
  <si>
    <t>106 - LAVORAZIONE DELLE GRANAGLIE, PRODUZIONE DI AMIDI E DI PRODOTTI AMIDACEI</t>
  </si>
  <si>
    <t>G1 - Versamento assegni tratti su altro intermediario</t>
  </si>
  <si>
    <t>PLMVTR81D17B963I</t>
  </si>
  <si>
    <t>PALMIERO VITTORIO</t>
  </si>
  <si>
    <t>I NOBILI S.R.L.</t>
  </si>
  <si>
    <t>251 - FABBRICAZIONE DI ELEMENTI DA COSTRUZIONE IN METALLO</t>
  </si>
  <si>
    <t>MARTINCART SRL</t>
  </si>
  <si>
    <t>AS LABRUNA S.R.L.</t>
  </si>
  <si>
    <t>281 - FABBRICAZIONE DI MACCHINE DI IMPIEGO GENERALE</t>
  </si>
  <si>
    <t>G7 - Versamento assegno circolare altro intermediario</t>
  </si>
  <si>
    <t>DBNLGU59D17A669H</t>
  </si>
  <si>
    <t>DIBENEDETTO LUIGI</t>
  </si>
  <si>
    <t>TRE P. ABBIGLIAMENTO S.R.L.</t>
  </si>
  <si>
    <t>DBNDNC63C05A669B</t>
  </si>
  <si>
    <t>DIBENEDETTO DOMENICO</t>
  </si>
  <si>
    <t>CASILLO SOCIETA' PER AZIONI</t>
  </si>
  <si>
    <t>GAROFOLI SOCIETA' PER AZIONI</t>
  </si>
  <si>
    <t>LTZRSL51E64B963D</t>
  </si>
  <si>
    <t>LETIZIA CENTONE ROSALIA</t>
  </si>
  <si>
    <t>SPECIALMANGIMI GALTIERI S.P.A</t>
  </si>
  <si>
    <t>109 - PRODUZIONE DI PRODOTTI PER L'ALIMENTAZIONE DEGLI ANIMALI</t>
  </si>
  <si>
    <t>DBNGCH53R11A669J</t>
  </si>
  <si>
    <t>DIBENEDETTO GIOACCHINO</t>
  </si>
  <si>
    <t>MZZNGL81M27B619S</t>
  </si>
  <si>
    <t>MAZZILLI ANGELO</t>
  </si>
  <si>
    <t>FUSILLO SEBASTIANO S.R.L.</t>
  </si>
  <si>
    <t>G8 - Versamento assegno circolare stesso intermediario</t>
  </si>
  <si>
    <t>TCCMRA71T42E155A</t>
  </si>
  <si>
    <t>TUCCI MARIA</t>
  </si>
  <si>
    <t>053850_157</t>
  </si>
  <si>
    <t>LIQUIDAZIONE GIUDIZIALE F.T.V. S.R.L.</t>
  </si>
  <si>
    <t>LDDRSO42L49E155P</t>
  </si>
  <si>
    <t>LADDAGA ROSA</t>
  </si>
  <si>
    <t>TCCFMN66H47E155I</t>
  </si>
  <si>
    <t>TUCCI FILOMENA</t>
  </si>
  <si>
    <t>STELLA COSTRUZIONI S.R.L.</t>
  </si>
  <si>
    <t>CLLLRD50H04E506J</t>
  </si>
  <si>
    <t>CILLO ALFREDO</t>
  </si>
  <si>
    <t>TCCGPP74M66E155X</t>
  </si>
  <si>
    <t>TUCCI GIUSEPPINA</t>
  </si>
  <si>
    <t>TCCGRZ65C62E155O</t>
  </si>
  <si>
    <t>TUCCI GRAZIA</t>
  </si>
  <si>
    <t>GLBMHL70H04E506L</t>
  </si>
  <si>
    <t>GILIBERTI MICHELE</t>
  </si>
  <si>
    <t>749 - ALTRE ATTIVITÀ PROFESSIONALI, SCIENTIFICHE E TECNICHE NCA</t>
  </si>
  <si>
    <t>STUDIO NOTARILE STIGLIANO</t>
  </si>
  <si>
    <t>491 - Quasi societa' non finanziarie altre - Unita' o societa' con piu' di 5 e meno di 20 addetti</t>
  </si>
  <si>
    <t>NOVAGORA' S.R.L.</t>
  </si>
  <si>
    <t>AC COSTRUZIONI SRL</t>
  </si>
  <si>
    <t>SOGEDILE S.R.L.</t>
  </si>
  <si>
    <t>SRNSRN66M50F537P</t>
  </si>
  <si>
    <t>SORIANO SABRINA</t>
  </si>
  <si>
    <t>LNGNNZ78C13B619K</t>
  </si>
  <si>
    <t>LUONGO NUNZIO</t>
  </si>
  <si>
    <t>053850_165</t>
  </si>
  <si>
    <t>MASTROPASQUA INTERNATIONAL - S.P.A.</t>
  </si>
  <si>
    <t>011 - COLTIVAZIONE DI COLTURE AGRICOLE NON PERMANENTI</t>
  </si>
  <si>
    <t>MNLCML82L66H643P</t>
  </si>
  <si>
    <t>MENELAO CARMELA</t>
  </si>
  <si>
    <t>IMMOBILIARE PATRIZIA S.R.L.</t>
  </si>
  <si>
    <t xml:space="preserve">682 - AFFITTO E GESTIONE DI IMMOBILI DI PROPRIETÀ O IN LEASING </t>
  </si>
  <si>
    <t>DDIFNC80A27Z112W</t>
  </si>
  <si>
    <t>DIDIO FRANCESCO</t>
  </si>
  <si>
    <t>VNZMHL37R01A339J</t>
  </si>
  <si>
    <t>VENEZIANI MICHELE</t>
  </si>
  <si>
    <t>CPPPLA74S46E155M</t>
  </si>
  <si>
    <t>CAPPIELLO PAOLA</t>
  </si>
  <si>
    <t>SNTGNN68B13E155B</t>
  </si>
  <si>
    <t>SANTARSIERO GIOVANNI</t>
  </si>
  <si>
    <t>PLLNNT38H65A339W</t>
  </si>
  <si>
    <t>PALLOZZI ANTONIETTA</t>
  </si>
  <si>
    <t>CLNDNC71C04E155L</t>
  </si>
  <si>
    <t>COLONNA DOMENICO</t>
  </si>
  <si>
    <t>TTNLRD60B25A662B</t>
  </si>
  <si>
    <t>ATTANASIO LEONARDO</t>
  </si>
  <si>
    <t>692 - CONTABILITÀ, CONTROLLO E REVISIONE CONTABILE, CONSULENZA IN MATERIA FISCALE E DEL LAVORO</t>
  </si>
  <si>
    <t>NNNVCN76B07A662C</t>
  </si>
  <si>
    <t>IANNONE VINCENZO</t>
  </si>
  <si>
    <t>PAOLO SCOPPIO E FIGLIO AUTOLINEE S.R.L.</t>
  </si>
  <si>
    <t>PULIART SOCIETA' A RESPONSABILITA' LIMITATA</t>
  </si>
  <si>
    <t>812 - ATTIVITÀ DI PULIZIA E DISINFESTAZIONE</t>
  </si>
  <si>
    <t>LNGLRC69E23C514Q</t>
  </si>
  <si>
    <t>LUONGO ALBERICO</t>
  </si>
  <si>
    <t>SRNMSL43P65M130E</t>
  </si>
  <si>
    <t>SARNO MARIA SILVANA</t>
  </si>
  <si>
    <t>053850_216</t>
  </si>
  <si>
    <t>MTTGPP76D60E058L</t>
  </si>
  <si>
    <t>MATTIUCCI GIUSEPPINA</t>
  </si>
  <si>
    <t>RSSNTN66R01F839Z</t>
  </si>
  <si>
    <t>RUSSO ANTONIO</t>
  </si>
  <si>
    <t>PRTMRT68E14A662L</t>
  </si>
  <si>
    <t>PREITE UMBERTO</t>
  </si>
  <si>
    <t>FRNNNZ57M15G252Z</t>
  </si>
  <si>
    <t>FRONZA NUNZIO</t>
  </si>
  <si>
    <t>I.M.E.R. SOCIETA' A RESPONSABILITA' LIMITATA</t>
  </si>
  <si>
    <t>203 - FABBRICAZIONE DI PITTURE, VERNICI E SMALTI, INCHIOSTRI DA STAMPA E ADESIVI SINTETICI (MASTICI)</t>
  </si>
  <si>
    <t>FBRMRT60R31I148O</t>
  </si>
  <si>
    <t>FABRIZIO UMBERTO ANTONIO</t>
  </si>
  <si>
    <t>MARROCCOLI COSTRUZIONI SRL</t>
  </si>
  <si>
    <t>CRNDNC48B18A225U</t>
  </si>
  <si>
    <t>CORNACCHIA DOMENICO</t>
  </si>
  <si>
    <t>PRTNCL73B22F052C</t>
  </si>
  <si>
    <t>PREITE NICOLA</t>
  </si>
  <si>
    <t>PPNDNC76P24A225Q</t>
  </si>
  <si>
    <t>PAPANGELO DOMENICO</t>
  </si>
  <si>
    <t>RMNNGL62E13F376R</t>
  </si>
  <si>
    <t>RAIMONDI ANGELO</t>
  </si>
  <si>
    <t>RMNMRN91P07D508U</t>
  </si>
  <si>
    <t>RAIMONDI MARINO</t>
  </si>
  <si>
    <t>LAOPRZ66P65F376K</t>
  </si>
  <si>
    <t>ALO' PORZIA</t>
  </si>
  <si>
    <t>CALCESTRUZZI IRPINI SPA</t>
  </si>
  <si>
    <t>236 - FABBRICAZIONE DI PRODOTTI IN CALCESTRUZZO, CEMENTO E GESSO</t>
  </si>
  <si>
    <t>053850_111</t>
  </si>
  <si>
    <t>G2 - Versamento assegni tratti sullo stesso intermediario</t>
  </si>
  <si>
    <t>DDMPTR53E03F052S</t>
  </si>
  <si>
    <t>ADDAMIANO PIETRO</t>
  </si>
  <si>
    <t>LRSNTN40A08A662Y</t>
  </si>
  <si>
    <t>LORUSSO ANTONIO</t>
  </si>
  <si>
    <t>BRNGPP64P17G251N</t>
  </si>
  <si>
    <t>BERNARDI GIUSEPPE</t>
  </si>
  <si>
    <t>LIDO S.R.L.</t>
  </si>
  <si>
    <t>681 - COMPRAVENDITA DI BENI IMMOBILI EFFETTUATA SU BENI PROPRI</t>
  </si>
  <si>
    <t>SNTMRA48C67L049L</t>
  </si>
  <si>
    <t>SANTURINI MARIA</t>
  </si>
  <si>
    <t>NZZDNC73T48A225O</t>
  </si>
  <si>
    <t>NUZZI DOMENICA</t>
  </si>
  <si>
    <t>ELLECI IMPIANTI S.R.L.</t>
  </si>
  <si>
    <t>432 - INSTALLAZIONE DI IMPIANTI ELETTRICI, IDRAULICI ED ALTRI LAVORI DI COSTRUZIONE E INSTALLAZIONE</t>
  </si>
  <si>
    <t>ESTIA SOCIETA' A RESPONSABILITA' LIMITATA</t>
  </si>
  <si>
    <t>RGSNTN73E30A225P</t>
  </si>
  <si>
    <t>RAGUSO ANTONIO</t>
  </si>
  <si>
    <t>MTTVRN74A70L219F</t>
  </si>
  <si>
    <t>METTA VALERIA ANNA</t>
  </si>
  <si>
    <t>CENTRO AUTOVEICOLI S.R.L.</t>
  </si>
  <si>
    <t>PTRFCR71H12B619G</t>
  </si>
  <si>
    <t>PETRILLI FELICE ROBERTO</t>
  </si>
  <si>
    <t>P. &amp; G. S.A.S. DI GIANNANTONIO JOLE GRAZIA E</t>
  </si>
  <si>
    <t>280 - Mediatori, agenti e consulenti di assicurazione</t>
  </si>
  <si>
    <t>662 - ATTIVITÀ AUSILIARIE DELLE ASSICURAZIONI E DEI FONDI PENSIONE</t>
  </si>
  <si>
    <t>SOCIETA' AGRICOLA INNOVATIVA LOIUDICE S.R.L.</t>
  </si>
  <si>
    <t>NRDNTN72R11A285I</t>
  </si>
  <si>
    <t>NARDONE ANTONIO</t>
  </si>
  <si>
    <t>DCRSLL71T46A669N</t>
  </si>
  <si>
    <t>DE CARO SAMUELLA</t>
  </si>
  <si>
    <t>SCFLRT72E26F839C</t>
  </si>
  <si>
    <t>SCAFARELLI ALBERTO</t>
  </si>
  <si>
    <t>MNGNMR47S43F784Q</t>
  </si>
  <si>
    <t>MONGELLI ANNA MARIA</t>
  </si>
  <si>
    <t>DCRFNC36B24F784D</t>
  </si>
  <si>
    <t>DE CARLO FRANCESCO ANTONIO</t>
  </si>
  <si>
    <t>NCLVCN55T22F052Q</t>
  </si>
  <si>
    <t>NICOLETTI VINCENZO</t>
  </si>
  <si>
    <t>F. DIVELLA S.P.A.</t>
  </si>
  <si>
    <t>SMNNTN59T13A225S</t>
  </si>
  <si>
    <t>SIMONE ANTONIO</t>
  </si>
  <si>
    <t>RCGSVT67E01L049K</t>
  </si>
  <si>
    <t>RACUGNO SALVATORE</t>
  </si>
  <si>
    <t>053850_145</t>
  </si>
  <si>
    <t>FALLIMENTO N. 99 2022 CENTRO ESTER ASSOCIAZIONE IN PARTECIPAZIONE</t>
  </si>
  <si>
    <t>85 - ISTRUZIONE</t>
  </si>
  <si>
    <t>MJ MOTOR'S SRL</t>
  </si>
  <si>
    <t>454 - COMMERCIO, MANUTENZIONE E RIPARAZIONE DI MOTOCICLI E RELATIVE PARTI ED ACCESSORI</t>
  </si>
  <si>
    <t>EDIL CMC SOCIETA' A RESPONSABILITA' LIMITATA</t>
  </si>
  <si>
    <t>NCMGPP42S17A225V</t>
  </si>
  <si>
    <t>INCAMPO GIUSEPPE</t>
  </si>
  <si>
    <t>DFNNMR43R71A225X</t>
  </si>
  <si>
    <t>DIFONZO ANNA MARIA GERONIMA</t>
  </si>
  <si>
    <t>VGNFNC64H01D862C</t>
  </si>
  <si>
    <t>FALLIMENTO VIGNERI FRANCESCO</t>
  </si>
  <si>
    <t>CMMMRA50A57A225H</t>
  </si>
  <si>
    <t>CAMMISA MARIA</t>
  </si>
  <si>
    <t>SQCGCM49T18A225Y</t>
  </si>
  <si>
    <t>SQUICCIARINI GIACOMO</t>
  </si>
  <si>
    <t>MNNPQL67E25A662Z</t>
  </si>
  <si>
    <t>MININNI JANNUZZI PASQUALE</t>
  </si>
  <si>
    <t>DGRLNS95R13C349Q</t>
  </si>
  <si>
    <t>DI GREGORIO ALFONSO JUNIOR OSCAR</t>
  </si>
  <si>
    <t>P.L.P. COSTRUZIONI S.R.L.</t>
  </si>
  <si>
    <t>MNFNNA72H68Z614G</t>
  </si>
  <si>
    <t>MANFREDI ANNA</t>
  </si>
  <si>
    <t>DFBVCN54A21F498J</t>
  </si>
  <si>
    <t>DI FABIO VINCENZO</t>
  </si>
  <si>
    <t>ORGANIZZAZIONE DI PRODUTTORI PUGLIAVIVA - SO</t>
  </si>
  <si>
    <t>016 - ATTIVITÀ DI SUPPORTO ALL'AGRICOLTURA E ATTIVITÀ SUCCESSIVE ALLA RACCOLTA</t>
  </si>
  <si>
    <t>COGNETTI S.A.S. DI FUSCO TERESA</t>
  </si>
  <si>
    <t>561 - RISTORANTI E ATTIVITÀ DI RISTORAZIONE MOBILE</t>
  </si>
  <si>
    <t>TRNDMN49R07A893H</t>
  </si>
  <si>
    <t>TARANTINO DAMIANO</t>
  </si>
  <si>
    <t>S.A.P. COSTRUZIONI SRL</t>
  </si>
  <si>
    <t>RCCDNC50C23F915D</t>
  </si>
  <si>
    <t>RECCHIA DOMENICO</t>
  </si>
  <si>
    <t>DNLLBT66S58Z133Q</t>
  </si>
  <si>
    <t>DINELLA ELISABETTA</t>
  </si>
  <si>
    <t>CCCCTA05S59A048S</t>
  </si>
  <si>
    <t>CACCIOPPOLI CATIA</t>
  </si>
  <si>
    <t>SPNMRZ69T41A048C</t>
  </si>
  <si>
    <t>SAPONE MARZIA</t>
  </si>
  <si>
    <t>TLSPRN65M05A482Q</t>
  </si>
  <si>
    <t>TELESCA PIETRO ANTONIO</t>
  </si>
  <si>
    <t>MRMFNC67T15E155W</t>
  </si>
  <si>
    <t>MORAMARCO FRANCESCO</t>
  </si>
  <si>
    <t>NZZMDL53D45A225C</t>
  </si>
  <si>
    <t>NUZZOLESE MADDALENA</t>
  </si>
  <si>
    <t>DMDPTR85R24B619X</t>
  </si>
  <si>
    <t>DI MODUGNO PIETRO</t>
  </si>
  <si>
    <t>DAGEL MANGIMI SRL</t>
  </si>
  <si>
    <t>SPNNGL66S49E155K</t>
  </si>
  <si>
    <t>SPANO ANGELA</t>
  </si>
  <si>
    <t>351 - PRODUZIONE, TRASMISSIONE E DISTRIBUZIONE DI ENERGIA ELETTRICA</t>
  </si>
  <si>
    <t>DPRRSO87M71H096A</t>
  </si>
  <si>
    <t>D'APRILE ROSA</t>
  </si>
  <si>
    <t>LTRGNN46E05A225X</t>
  </si>
  <si>
    <t>LATERZA GIOVANNI</t>
  </si>
  <si>
    <t>452 - MANUTENZIONE E RIPARAZIONE DI AUTOVEICOLI</t>
  </si>
  <si>
    <t>LDCGPP47A18A225P</t>
  </si>
  <si>
    <t>LOIUDICE GIUSEPPE</t>
  </si>
  <si>
    <t>DBRMHL76E10C983Y</t>
  </si>
  <si>
    <t>DI BARTOLOMEO MICHELE</t>
  </si>
  <si>
    <t>SNNRKE69B56A952N</t>
  </si>
  <si>
    <t>SINN ERIKA</t>
  </si>
  <si>
    <t>STRMNC69M63A662Y</t>
  </si>
  <si>
    <t>STRIPPOLI MONICA</t>
  </si>
  <si>
    <t>SICILIANI S.P.A. - INDUSTRIA LAVORAZIONECARN</t>
  </si>
  <si>
    <t>CVLCLL97D51A662J</t>
  </si>
  <si>
    <t>CAVALCANTI CAMILLA</t>
  </si>
  <si>
    <t>CVLRNI98S53A662Y</t>
  </si>
  <si>
    <t>CAVALCANTI IRENE</t>
  </si>
  <si>
    <t>CVLRFL62S13A662E</t>
  </si>
  <si>
    <t>CAVALCANTI RAFFAELE</t>
  </si>
  <si>
    <t>862 - SERVIZI DEGLI STUDI MEDICI E ODONTOIATRICI</t>
  </si>
  <si>
    <t>DPCNMR58R59D763H</t>
  </si>
  <si>
    <t>DI PECO ANNA MARIA</t>
  </si>
  <si>
    <t>PRNFNC46C54B819N</t>
  </si>
  <si>
    <t>PRANDI FRANCA</t>
  </si>
  <si>
    <t>STLPPL44L19F112K</t>
  </si>
  <si>
    <t>STILLITANI PIER PAOLO</t>
  </si>
  <si>
    <t>BNCLGV45C64C134J</t>
  </si>
  <si>
    <t>BIANCO ELISA GIOVANNA</t>
  </si>
  <si>
    <t>MTTNZE61B13H320C</t>
  </si>
  <si>
    <t>MATTIOLI ENZO</t>
  </si>
  <si>
    <t>CLVCST66A43A662O</t>
  </si>
  <si>
    <t>CALVANESE CELESTE</t>
  </si>
  <si>
    <t>DMNMSP66M69E885G</t>
  </si>
  <si>
    <t>DIMONTE MARIA SIPONTINA</t>
  </si>
  <si>
    <t>SVILUPPO ENERGIE S.R.L.</t>
  </si>
  <si>
    <t>290 - Società di partecipazione (holding) di gruppi finanziari e non finanziari</t>
  </si>
  <si>
    <t>642 - ATTIVITÀ DELLE SOCIETÀ DI PARTECIPAZIONE (HOLDING)</t>
  </si>
  <si>
    <t>Classe di rischio 0</t>
  </si>
  <si>
    <t>MRSMRA51C56B238E</t>
  </si>
  <si>
    <t>MARUSCO MARIA</t>
  </si>
  <si>
    <t>NNMNLG77H15A662Z</t>
  </si>
  <si>
    <t>INNAMORATO ANGELO GIOVANNI</t>
  </si>
  <si>
    <t>SANTACROCE GIOVANNI S.P.A.</t>
  </si>
  <si>
    <t>CPRGPP57P26A225I</t>
  </si>
  <si>
    <t>CAPURSO GIUSEPPE</t>
  </si>
  <si>
    <t>FRLGCH36S08A669I</t>
  </si>
  <si>
    <t>FIORELLA GIOACCHINO</t>
  </si>
  <si>
    <t>CVRNMF40P46I158D</t>
  </si>
  <si>
    <t>CIAVARELLA ANNA MAFALDA</t>
  </si>
  <si>
    <t>SCRNNF41D30I158J</t>
  </si>
  <si>
    <t>SCIARAFFA ANTONIO FRANCESCO</t>
  </si>
  <si>
    <t>RNDCML77L70L418F</t>
  </si>
  <si>
    <t>RONDINONE CARMELA</t>
  </si>
  <si>
    <t>476 - COMMERCIO AL DETTAGLIO DI ARTICOLI CULTURALI E RICREATIVI IN ESERCIZI SPECIALIZZATI</t>
  </si>
  <si>
    <t>VSGMNN69C68L109S</t>
  </si>
  <si>
    <t>VISAGGI MARIANNA</t>
  </si>
  <si>
    <t>LMTVTR58H46E038K</t>
  </si>
  <si>
    <t>LIMITONE VITTORIA</t>
  </si>
  <si>
    <t>053850_169</t>
  </si>
  <si>
    <t>PSQNGL49M67A883D</t>
  </si>
  <si>
    <t>PASQUALE ANGELA</t>
  </si>
  <si>
    <t>MICCOLIS S.R.L.</t>
  </si>
  <si>
    <t>CORDINI SOCIETA' A RESPONSABILITA' LIMITATA</t>
  </si>
  <si>
    <t>283 - FABBRICAZIONE DI MACCHINE PER L'AGRICOLTURA E LA SILVICOLTURA</t>
  </si>
  <si>
    <t>CERINO SRL</t>
  </si>
  <si>
    <t>SOCIETA' FORNI INDUSTRIALI MACCHINE AUTOMATIZZATE S.R.L. IN LIQUIDAZION</t>
  </si>
  <si>
    <t>284 - FABBRICAZIONE DI MACCHINE PER LA FORMATURA DEI METALLI E DI ALTRE MACCHINE UTENSILI</t>
  </si>
  <si>
    <t>I.F.B. SOCIETA' A RESPONSABILITA' LIMITATA</t>
  </si>
  <si>
    <t>MSSPLA85C17A662K</t>
  </si>
  <si>
    <t>MOSSA IDRA PAOLO</t>
  </si>
  <si>
    <t>MSSMLE91R30A662Y</t>
  </si>
  <si>
    <t>MOSSA EMILIO</t>
  </si>
  <si>
    <t>TLNMRS61M70I330O</t>
  </si>
  <si>
    <t>TALENTO MARIA ROSA</t>
  </si>
  <si>
    <t>DTTCMN51A22G252M</t>
  </si>
  <si>
    <t>DETTOLI CARMINE</t>
  </si>
  <si>
    <t>TURBO SERVICE S.R.L.</t>
  </si>
  <si>
    <t>NRCRCC53S51G252Q</t>
  </si>
  <si>
    <t>NARCOTINO ROCCA</t>
  </si>
  <si>
    <t>MRMNLM56A63A225F</t>
  </si>
  <si>
    <t>MORAMARCO ANGELA MARIA</t>
  </si>
  <si>
    <t>DVNMCL48P63A285F</t>
  </si>
  <si>
    <t>DE VINCENZO IMMACOLATA</t>
  </si>
  <si>
    <t>M.SERVICE SRL</t>
  </si>
  <si>
    <t>431 - DEMOLIZIONE E PREPARAZIONE DEL CANTIERE EDILE</t>
  </si>
  <si>
    <t>DLIGLI48L25L328A</t>
  </si>
  <si>
    <t>DI LEO GIULIO</t>
  </si>
  <si>
    <t>LPDPQL40P10E155Q</t>
  </si>
  <si>
    <t>LOPEDOTA PASQUALE</t>
  </si>
  <si>
    <t>RCNTRS56R66A662T</t>
  </si>
  <si>
    <t>RACANELLI TERESA</t>
  </si>
  <si>
    <t>ICON S.R.L.</t>
  </si>
  <si>
    <t>AB DI LEO S.R.L.</t>
  </si>
  <si>
    <t>CSAPQL52M02A225K</t>
  </si>
  <si>
    <t>CASO PASQUALE</t>
  </si>
  <si>
    <t>MNGMRP02C69H926F</t>
  </si>
  <si>
    <t>MANGIACAVALLO MARIAPIA</t>
  </si>
  <si>
    <t>NVDMRA74R47A225I</t>
  </si>
  <si>
    <t>NAVEDORO MARIA</t>
  </si>
  <si>
    <t>CSSGNN75C14A225B</t>
  </si>
  <si>
    <t>CASSANO GIOVANNI</t>
  </si>
  <si>
    <t>EXPERT - TONER S.R.L.</t>
  </si>
  <si>
    <t>VVNMRD99T43G786T</t>
  </si>
  <si>
    <t>VIVIANO MARIAIDA</t>
  </si>
  <si>
    <t>LCTPRN51M42E155P</t>
  </si>
  <si>
    <t>LUCATORTO PROSCIA PIERINA</t>
  </si>
  <si>
    <t>CRVGND74P44F537G</t>
  </si>
  <si>
    <t>CERAVOLO GIOCONDA</t>
  </si>
  <si>
    <t>LA VERONESE SRL</t>
  </si>
  <si>
    <t>FRANZOSO S.R.L.</t>
  </si>
  <si>
    <t>GNTLGU40M13F839P</t>
  </si>
  <si>
    <t>GENTILE LUIGI</t>
  </si>
  <si>
    <t>TCCLNE92E56B619Q</t>
  </si>
  <si>
    <t>TUCCI LENA</t>
  </si>
  <si>
    <t>BRTNTN78A15L049S</t>
  </si>
  <si>
    <t>BERTILACCIO ANTONIO</t>
  </si>
  <si>
    <t>LBBLNE37E70F220G</t>
  </si>
  <si>
    <t>LABBATE LENA</t>
  </si>
  <si>
    <t>SPNPPS69H21C632V</t>
  </si>
  <si>
    <t>SPINELLI PAOLO PASQUALE ANGELO</t>
  </si>
  <si>
    <t>EDILIZIA VITALE SOCIETA' A RESPONSABILITA' L</t>
  </si>
  <si>
    <t>PLMCHR81B49F839F</t>
  </si>
  <si>
    <t>PALMIERI CHIARA</t>
  </si>
  <si>
    <t>CASEIFICIO PALAZZO S.P.A.</t>
  </si>
  <si>
    <t>IMMOBILIARE METALLEGNO S.R.L.</t>
  </si>
  <si>
    <t>SRPPFR59R28A662Y</t>
  </si>
  <si>
    <t>SERPENTI PIER FRANCESCO</t>
  </si>
  <si>
    <t>BRCRML59E30B519J</t>
  </si>
  <si>
    <t>BERCHICCI ROMOLO</t>
  </si>
  <si>
    <t>SRPSFN56C12A662C</t>
  </si>
  <si>
    <t>SERPENTI STEFANO</t>
  </si>
  <si>
    <t>411 - SVILUPPO DI PROGETTI IMMOBILIARI</t>
  </si>
  <si>
    <t>MOREA S.R.L.</t>
  </si>
  <si>
    <t>COSTRUZIONI SVILUPPO SOCIETA' A RESPONSABILI</t>
  </si>
  <si>
    <t>CPNLRT61H08F831B</t>
  </si>
  <si>
    <t>CAPUANI ALBERTO</t>
  </si>
  <si>
    <t>SVNSLL57B52E038N</t>
  </si>
  <si>
    <t>SAVINO ISABELLA MARIA ROSARIA</t>
  </si>
  <si>
    <t>DNTVCN47T14E155F</t>
  </si>
  <si>
    <t>DENTE VINCENZO</t>
  </si>
  <si>
    <t>BRCVTI87E20H096F</t>
  </si>
  <si>
    <t>BARCADORO CIAFFALDANO VITO</t>
  </si>
  <si>
    <t>CLLFNC70R14L253G</t>
  </si>
  <si>
    <t>COLELLA FRANCESCO ANTONIO</t>
  </si>
  <si>
    <t>LEGNO ITALIA S.R.L.</t>
  </si>
  <si>
    <t>FNDVCN70T21A285B</t>
  </si>
  <si>
    <t>FIANDANESE VINCENZO</t>
  </si>
  <si>
    <t>SGRRCR46T58A285O</t>
  </si>
  <si>
    <t>SGARRA RICCARDINA</t>
  </si>
  <si>
    <t>SLDMRA75E68A285C</t>
  </si>
  <si>
    <t>SOLDATO MARA</t>
  </si>
  <si>
    <t>CPRDGL59M58L049C</t>
  </si>
  <si>
    <t>CIPRIANI IDA ANGELA</t>
  </si>
  <si>
    <t>DMCNNN60R29A662M</t>
  </si>
  <si>
    <t>D'AMICO ANTONINO</t>
  </si>
  <si>
    <t>VLLRRN55B58I744N</t>
  </si>
  <si>
    <t>VALELA' ROSARINA</t>
  </si>
  <si>
    <t>FNDMRZ80T15A285V</t>
  </si>
  <si>
    <t>FIANDANESE MAURIZIO</t>
  </si>
  <si>
    <t>VLLBRN48T02I744R</t>
  </si>
  <si>
    <t>VALELA' BRUNO</t>
  </si>
  <si>
    <t>CLSNGL74H59A285B</t>
  </si>
  <si>
    <t>COLASUONNO ANGELA</t>
  </si>
  <si>
    <t>DFBVTR87P09E435N</t>
  </si>
  <si>
    <t>DI FABIO VITTORIO</t>
  </si>
  <si>
    <t>053850_132</t>
  </si>
  <si>
    <t>ENERGIA E GAS SRL</t>
  </si>
  <si>
    <t>IMMOBILIARE PALLETTA S.R.L.</t>
  </si>
  <si>
    <t>DMMLNE59P46D650K</t>
  </si>
  <si>
    <t>DI MAMBRO ELENA</t>
  </si>
  <si>
    <t>STRMRA70L46A225P</t>
  </si>
  <si>
    <t>STORSILLO MARIA</t>
  </si>
  <si>
    <t>FLLNNL64L68L049B</t>
  </si>
  <si>
    <t>FULLONE ANTONELLA</t>
  </si>
  <si>
    <t>SVNGTN61C07H882H</t>
  </si>
  <si>
    <t>SAVINO AGOSTINO</t>
  </si>
  <si>
    <t>ORGANIZZAZIONE DI PRODUTTORI PUGLIAVIVA - SOCIETA' CONSORTILE AGRICOLA A R.L. IN</t>
  </si>
  <si>
    <t>DNSNDR74L09F376T</t>
  </si>
  <si>
    <t>DANESE ANDREA</t>
  </si>
  <si>
    <t>TRAVERSI S.R.L.</t>
  </si>
  <si>
    <t>104 - PRODUZIONE DI OLI E GRASSI VEGETALI E ANIMALI</t>
  </si>
  <si>
    <t>FUTUREHOME SRL</t>
  </si>
  <si>
    <t>CLMDNC72T12C975L</t>
  </si>
  <si>
    <t>CLEMENTE DOMENICO</t>
  </si>
  <si>
    <t>EDILIZIA GAUDINO SOCIETA' A RESPONSABILITA' LIMITATA</t>
  </si>
  <si>
    <t>CLZDNL75C43A225B</t>
  </si>
  <si>
    <t>CALZONE DANIELA</t>
  </si>
  <si>
    <t>CLZMTC65B26E326C</t>
  </si>
  <si>
    <t>CALZONE MATTEO CLAUDIO</t>
  </si>
  <si>
    <t>CLZDNC62R61A662R</t>
  </si>
  <si>
    <t>CALZONE DOMENICA ROSSANA</t>
  </si>
  <si>
    <t>053850_143</t>
  </si>
  <si>
    <t>DMNRNZ56R07A892W</t>
  </si>
  <si>
    <t>DAMONE ORONZO</t>
  </si>
  <si>
    <t>CLZFLV71A14E326W</t>
  </si>
  <si>
    <t>CALZONE FLAVIO</t>
  </si>
  <si>
    <t>CLZNLM63T65L049A</t>
  </si>
  <si>
    <t>CALZONE ANGELA MARIA STEFANIA</t>
  </si>
  <si>
    <t>FZANGL64C47A662T</t>
  </si>
  <si>
    <t>FAZIO ANGELA</t>
  </si>
  <si>
    <t>MNDGCR53R04A662V</t>
  </si>
  <si>
    <t>AMENDONI GIANCARLO</t>
  </si>
  <si>
    <t>CVLNGL78R24F376R</t>
  </si>
  <si>
    <t>CAVALIERE ANGELO</t>
  </si>
  <si>
    <t>RFLNCL68E14A893T</t>
  </si>
  <si>
    <t>RIFLESSO NICOLA</t>
  </si>
  <si>
    <t>CHRRRT60L27F839U</t>
  </si>
  <si>
    <t>CHIARI ROBERTO</t>
  </si>
  <si>
    <t>LVGNTN74E31A225D</t>
  </si>
  <si>
    <t>LOVIGLIO ANTONIO</t>
  </si>
  <si>
    <t>952 - RIPARAZIONE DI BENI PER USO PERSONALE E PER LA CASA</t>
  </si>
  <si>
    <t>MRNNDR69H02A225C</t>
  </si>
  <si>
    <t>MARINELLI ANDREA</t>
  </si>
  <si>
    <t>CPRNNZ71D41A225F</t>
  </si>
  <si>
    <t>CAPOROSSO ANNUNZIATA</t>
  </si>
  <si>
    <t>PTRCLD57P22L049C</t>
  </si>
  <si>
    <t>PETRUZZI CATALDO</t>
  </si>
  <si>
    <r>
      <t xml:space="preserve">La seguente tabella costituisce uno strumento di supporto all’analisi, volto a simulare l’impatto delle soglie calibrate sulla riduzione del numero complessivo di alert e dei falsi positivi generati dallo scnenario </t>
    </r>
    <r>
      <rPr>
        <b/>
        <sz val="11"/>
        <color theme="1"/>
        <rFont val="Calibri"/>
        <family val="2"/>
        <scheme val="minor"/>
      </rPr>
      <t>00095 - Versamento giornaliero di importo elevato per la causale ed il soggetto.</t>
    </r>
  </si>
  <si>
    <t>Classe di rischio 0 Total</t>
  </si>
  <si>
    <t>Classe di rischio 1 Total</t>
  </si>
  <si>
    <t>Classe di rischio 2 Total</t>
  </si>
  <si>
    <t>Classe di rischio 3 Total</t>
  </si>
  <si>
    <t>Classe di rischio 4 Total</t>
  </si>
  <si>
    <t>Classe di rischio 5 Total</t>
  </si>
  <si>
    <t>Classe di rischio 6 Total</t>
  </si>
  <si>
    <t>Classe di rischio 7 Total</t>
  </si>
  <si>
    <t>Falso Positivo</t>
  </si>
  <si>
    <t>Totale</t>
  </si>
  <si>
    <t>Tasso Falso Positivo</t>
  </si>
  <si>
    <t>Soglia</t>
  </si>
  <si>
    <t>Falso Positivo Eliminato</t>
  </si>
  <si>
    <t>IMPORTO Min</t>
  </si>
  <si>
    <t>IMPORTO Medio</t>
  </si>
  <si>
    <t>Totale Alert</t>
  </si>
  <si>
    <t>Alert Falso Positivo</t>
  </si>
  <si>
    <t>Min Delta Soglie</t>
  </si>
  <si>
    <t>Max Delta Soglie</t>
  </si>
  <si>
    <t>Min Delta Soglie in %</t>
  </si>
  <si>
    <t>Max Delta Soglie in %</t>
  </si>
  <si>
    <t>Soglia Calibrata</t>
  </si>
  <si>
    <t>L’analisi evidenzia l’importo a livello di classe di rischio.
Falso Positivo =&gt; Flag Stato = 0
Open Alert =&gt; Flag Stato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</si>
</sst>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yyyy\-mm\-dd\ hh:mm:ss"/>
    <numFmt numFmtId="165" formatCode="_-* #,##0\ &quot;€&quot;_-;\-* #,##0\ &quot;€&quot;_-;_-* &quot;-&quot;??\ &quot;€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5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A7EB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">
    <xf numFmtId="0" fontId="0" fillId="0" borderId="0" xfId="0"/>
    <xf numFmtId="164" fontId="0" fillId="0" borderId="0" xfId="0" applyNumberFormat="1"/>
    <xf numFmtId="9" fontId="0" fillId="0" borderId="0" xfId="1" applyFont="1"/>
    <xf numFmtId="0" fontId="0" fillId="0" borderId="1" xfId="0" applyBorder="1"/>
    <xf numFmtId="9" fontId="0" fillId="0" borderId="1" xfId="1" applyFont="1" applyFill="1" applyBorder="1"/>
    <xf numFmtId="0" fontId="0" fillId="0" borderId="2" xfId="0" applyBorder="1"/>
    <xf numFmtId="0" fontId="0" fillId="0" borderId="0" xfId="0" applyAlignment="1">
      <alignment horizontal="center" vertical="center"/>
    </xf>
    <xf numFmtId="44" fontId="0" fillId="0" borderId="0" xfId="0" applyNumberFormat="1"/>
    <xf numFmtId="44" fontId="0" fillId="0" borderId="1" xfId="0" applyNumberFormat="1" applyBorder="1"/>
    <xf numFmtId="0" fontId="4" fillId="2" borderId="1" xfId="0" applyFont="1" applyFill="1" applyBorder="1"/>
    <xf numFmtId="9" fontId="4" fillId="2" borderId="1" xfId="1" applyFont="1" applyFill="1" applyBorder="1"/>
    <xf numFmtId="0" fontId="4" fillId="2" borderId="2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pivotButton="1" applyBorder="1"/>
    <xf numFmtId="10" fontId="0" fillId="0" borderId="1" xfId="0" applyNumberFormat="1" applyBorder="1"/>
    <xf numFmtId="165" fontId="0" fillId="0" borderId="1" xfId="2" applyNumberFormat="1" applyFont="1" applyFill="1" applyBorder="1"/>
    <xf numFmtId="9" fontId="0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0" fillId="0" borderId="0" xfId="1" applyNumberFormat="1" applyFont="1"/>
    <xf numFmtId="0" fontId="0" fillId="0" borderId="1" xfId="1" applyNumberFormat="1" applyFont="1" applyBorder="1"/>
    <xf numFmtId="165" fontId="4" fillId="2" borderId="1" xfId="0" applyNumberFormat="1" applyFont="1" applyFill="1" applyBorder="1"/>
    <xf numFmtId="9" fontId="0" fillId="0" borderId="0" xfId="0" applyNumberFormat="1"/>
    <xf numFmtId="0" fontId="4" fillId="2" borderId="12" xfId="0" applyFont="1" applyFill="1" applyBorder="1" applyAlignment="1">
      <alignment horizontal="center"/>
    </xf>
    <xf numFmtId="9" fontId="0" fillId="0" borderId="0" xfId="1" applyFont="1" applyBorder="1"/>
    <xf numFmtId="1" fontId="0" fillId="0" borderId="0" xfId="1" applyNumberFormat="1" applyFont="1" applyBorder="1"/>
    <xf numFmtId="0" fontId="0" fillId="0" borderId="0" xfId="1" applyNumberFormat="1" applyFont="1" applyBorder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0" fillId="3" borderId="1" xfId="0" applyFill="1" applyBorder="1"/>
    <xf numFmtId="0" fontId="4" fillId="0" borderId="1" xfId="0" applyFont="1" applyBorder="1" applyAlignment="1">
      <alignment horizontal="center" vertical="center"/>
    </xf>
    <xf numFmtId="0" fontId="0" fillId="4" borderId="1" xfId="0" applyFill="1" applyBorder="1"/>
    <xf numFmtId="9" fontId="0" fillId="4" borderId="1" xfId="1" applyFont="1" applyFill="1" applyBorder="1"/>
    <xf numFmtId="165" fontId="0" fillId="4" borderId="1" xfId="2" applyNumberFormat="1" applyFont="1" applyFill="1" applyBorder="1"/>
    <xf numFmtId="0" fontId="0" fillId="4" borderId="1" xfId="0" applyFill="1" applyBorder="1" applyAlignment="1">
      <alignment horizontal="center" vertical="center"/>
    </xf>
    <xf numFmtId="0" fontId="7" fillId="0" borderId="0" xfId="0" applyFont="1"/>
    <xf numFmtId="1" fontId="7" fillId="0" borderId="0" xfId="0" applyNumberFormat="1" applyFont="1"/>
    <xf numFmtId="9" fontId="0" fillId="5" borderId="1" xfId="1" applyFont="1" applyFill="1" applyBorder="1"/>
    <xf numFmtId="44" fontId="0" fillId="0" borderId="0" xfId="2" applyFont="1"/>
    <xf numFmtId="0" fontId="4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">
    <cellStyle name="Comma 2" xfId="3" xr:uid="{D3D0C6B0-2230-4618-9DC1-0BE2441D4BFE}"/>
    <cellStyle name="Currency" xfId="2" builtinId="4"/>
    <cellStyle name="Normal" xfId="0" builtinId="0"/>
    <cellStyle name="Percent" xfId="1" builtinId="5"/>
  </cellStyles>
  <dxfs count="12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numFmt numFmtId="34" formatCode="_-* #,##0.00\ &quot;€&quot;_-;\-* #,##0.00\ &quot;€&quot;_-;_-* &quot;-&quot;??\ &quot;€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numFmt numFmtId="34" formatCode="_-* #,##0.00\ &quot;€&quot;_-;\-* #,##0.00\ &quot;€&quot;_-;_-* &quot;-&quot;??\ &quot;€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34" formatCode="_-* #,##0.00\ &quot;€&quot;_-;\-* #,##0.00\ &quot;€&quot;_-;_-* &quot;-&quot;??\ &quot;€&quot;_-;_-@_-"/>
    </dxf>
  </dxfs>
  <tableStyles count="0" defaultTableStyle="TableStyleMedium9" defaultPivotStyle="PivotStyleLight16"/>
  <colors>
    <mruColors>
      <color rgb="FFEBF1DE"/>
      <color rgb="FF4A7EBB"/>
      <color rgb="FF329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1'!$A$18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1'!$B$18:$W$18</c:f>
              <c:numCache>
                <c:formatCode>General</c:formatCode>
                <c:ptCount val="22"/>
                <c:pt idx="0">
                  <c:v>64</c:v>
                </c:pt>
                <c:pt idx="1">
                  <c:v>64</c:v>
                </c:pt>
                <c:pt idx="2">
                  <c:v>60</c:v>
                </c:pt>
                <c:pt idx="3">
                  <c:v>57</c:v>
                </c:pt>
                <c:pt idx="4">
                  <c:v>54</c:v>
                </c:pt>
                <c:pt idx="5">
                  <c:v>51</c:v>
                </c:pt>
                <c:pt idx="6">
                  <c:v>49</c:v>
                </c:pt>
                <c:pt idx="7">
                  <c:v>45</c:v>
                </c:pt>
                <c:pt idx="8">
                  <c:v>41</c:v>
                </c:pt>
                <c:pt idx="9">
                  <c:v>38</c:v>
                </c:pt>
                <c:pt idx="10">
                  <c:v>35</c:v>
                </c:pt>
                <c:pt idx="11">
                  <c:v>32</c:v>
                </c:pt>
                <c:pt idx="12">
                  <c:v>29</c:v>
                </c:pt>
                <c:pt idx="13">
                  <c:v>26</c:v>
                </c:pt>
                <c:pt idx="14">
                  <c:v>23</c:v>
                </c:pt>
                <c:pt idx="15">
                  <c:v>19</c:v>
                </c:pt>
                <c:pt idx="16">
                  <c:v>16</c:v>
                </c:pt>
                <c:pt idx="17">
                  <c:v>13</c:v>
                </c:pt>
                <c:pt idx="18">
                  <c:v>10</c:v>
                </c:pt>
                <c:pt idx="19">
                  <c:v>7</c:v>
                </c:pt>
                <c:pt idx="20">
                  <c:v>4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3-41D0-9A50-A5708B8DF760}"/>
            </c:ext>
          </c:extLst>
        </c:ser>
        <c:ser>
          <c:idx val="1"/>
          <c:order val="1"/>
          <c:tx>
            <c:strRef>
              <c:f>'Classe 1'!$A$19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1'!$B$19:$W$19</c:f>
              <c:numCache>
                <c:formatCode>General</c:formatCode>
                <c:ptCount val="22"/>
                <c:pt idx="0">
                  <c:v>115</c:v>
                </c:pt>
                <c:pt idx="1">
                  <c:v>114</c:v>
                </c:pt>
                <c:pt idx="2">
                  <c:v>95</c:v>
                </c:pt>
                <c:pt idx="3">
                  <c:v>92</c:v>
                </c:pt>
                <c:pt idx="4">
                  <c:v>86</c:v>
                </c:pt>
                <c:pt idx="5">
                  <c:v>84</c:v>
                </c:pt>
                <c:pt idx="6">
                  <c:v>84</c:v>
                </c:pt>
                <c:pt idx="7">
                  <c:v>78</c:v>
                </c:pt>
                <c:pt idx="8">
                  <c:v>70</c:v>
                </c:pt>
                <c:pt idx="9">
                  <c:v>69</c:v>
                </c:pt>
                <c:pt idx="10">
                  <c:v>68</c:v>
                </c:pt>
                <c:pt idx="11">
                  <c:v>62</c:v>
                </c:pt>
                <c:pt idx="12">
                  <c:v>57</c:v>
                </c:pt>
                <c:pt idx="13">
                  <c:v>48</c:v>
                </c:pt>
                <c:pt idx="14">
                  <c:v>46</c:v>
                </c:pt>
                <c:pt idx="15">
                  <c:v>34</c:v>
                </c:pt>
                <c:pt idx="16">
                  <c:v>30</c:v>
                </c:pt>
                <c:pt idx="17">
                  <c:v>29</c:v>
                </c:pt>
                <c:pt idx="18">
                  <c:v>22</c:v>
                </c:pt>
                <c:pt idx="19">
                  <c:v>15</c:v>
                </c:pt>
                <c:pt idx="20">
                  <c:v>11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3-41D0-9A50-A5708B8DF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1'!$A$22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1'!$B$22:$W$22</c:f>
              <c:numCache>
                <c:formatCode>0%</c:formatCode>
                <c:ptCount val="22"/>
                <c:pt idx="0">
                  <c:v>0.35754189944134079</c:v>
                </c:pt>
                <c:pt idx="1">
                  <c:v>0.3595505617977528</c:v>
                </c:pt>
                <c:pt idx="2">
                  <c:v>0.38709677419354838</c:v>
                </c:pt>
                <c:pt idx="3">
                  <c:v>0.3825503355704698</c:v>
                </c:pt>
                <c:pt idx="4">
                  <c:v>0.38571428571428573</c:v>
                </c:pt>
                <c:pt idx="5">
                  <c:v>0.37777777777777777</c:v>
                </c:pt>
                <c:pt idx="6">
                  <c:v>0.36842105263157893</c:v>
                </c:pt>
                <c:pt idx="7">
                  <c:v>0.36585365853658536</c:v>
                </c:pt>
                <c:pt idx="8">
                  <c:v>0.36936936936936937</c:v>
                </c:pt>
                <c:pt idx="9">
                  <c:v>0.35514018691588783</c:v>
                </c:pt>
                <c:pt idx="10">
                  <c:v>0.33980582524271846</c:v>
                </c:pt>
                <c:pt idx="11">
                  <c:v>0.34042553191489361</c:v>
                </c:pt>
                <c:pt idx="12">
                  <c:v>0.33720930232558138</c:v>
                </c:pt>
                <c:pt idx="13">
                  <c:v>0.35135135135135137</c:v>
                </c:pt>
                <c:pt idx="14">
                  <c:v>0.33333333333333331</c:v>
                </c:pt>
                <c:pt idx="15">
                  <c:v>0.35849056603773582</c:v>
                </c:pt>
                <c:pt idx="16">
                  <c:v>0.34782608695652173</c:v>
                </c:pt>
                <c:pt idx="17">
                  <c:v>0.30952380952380953</c:v>
                </c:pt>
                <c:pt idx="18">
                  <c:v>0.3125</c:v>
                </c:pt>
                <c:pt idx="19">
                  <c:v>0.31818181818181818</c:v>
                </c:pt>
                <c:pt idx="20">
                  <c:v>0.26666666666666666</c:v>
                </c:pt>
                <c:pt idx="21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43-41D0-9A50-A5708B8DF760}"/>
            </c:ext>
          </c:extLst>
        </c:ser>
        <c:ser>
          <c:idx val="3"/>
          <c:order val="3"/>
          <c:tx>
            <c:strRef>
              <c:f>'Classe 1'!$A$21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1'!$B$21:$W$21</c:f>
              <c:numCache>
                <c:formatCode>0%</c:formatCode>
                <c:ptCount val="22"/>
                <c:pt idx="0">
                  <c:v>1</c:v>
                </c:pt>
                <c:pt idx="1">
                  <c:v>0.99130434782608701</c:v>
                </c:pt>
                <c:pt idx="2">
                  <c:v>0.82608695652173914</c:v>
                </c:pt>
                <c:pt idx="3">
                  <c:v>0.8</c:v>
                </c:pt>
                <c:pt idx="4">
                  <c:v>0.74782608695652175</c:v>
                </c:pt>
                <c:pt idx="5">
                  <c:v>0.73043478260869565</c:v>
                </c:pt>
                <c:pt idx="6">
                  <c:v>0.73043478260869565</c:v>
                </c:pt>
                <c:pt idx="7">
                  <c:v>0.67826086956521736</c:v>
                </c:pt>
                <c:pt idx="8">
                  <c:v>0.60869565217391308</c:v>
                </c:pt>
                <c:pt idx="9">
                  <c:v>0.6</c:v>
                </c:pt>
                <c:pt idx="10">
                  <c:v>0.59130434782608698</c:v>
                </c:pt>
                <c:pt idx="11">
                  <c:v>0.53913043478260869</c:v>
                </c:pt>
                <c:pt idx="12">
                  <c:v>0.4956521739130435</c:v>
                </c:pt>
                <c:pt idx="13">
                  <c:v>0.41739130434782606</c:v>
                </c:pt>
                <c:pt idx="14">
                  <c:v>0.4</c:v>
                </c:pt>
                <c:pt idx="15">
                  <c:v>0.29565217391304349</c:v>
                </c:pt>
                <c:pt idx="16">
                  <c:v>0.2608695652173913</c:v>
                </c:pt>
                <c:pt idx="17">
                  <c:v>0.25217391304347825</c:v>
                </c:pt>
                <c:pt idx="18">
                  <c:v>0.19130434782608696</c:v>
                </c:pt>
                <c:pt idx="19">
                  <c:v>0.13043478260869565</c:v>
                </c:pt>
                <c:pt idx="20">
                  <c:v>9.5652173913043481E-2</c:v>
                </c:pt>
                <c:pt idx="21">
                  <c:v>1.7391304347826087E-2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E38-4981-9B10-913EABBB2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1'!$A$24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1'!$B$24:$W$24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7</c:v>
                </c:pt>
                <c:pt idx="4">
                  <c:v>10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23</c:v>
                </c:pt>
                <c:pt idx="9">
                  <c:v>26</c:v>
                </c:pt>
                <c:pt idx="10">
                  <c:v>29</c:v>
                </c:pt>
                <c:pt idx="11">
                  <c:v>32</c:v>
                </c:pt>
                <c:pt idx="12">
                  <c:v>35</c:v>
                </c:pt>
                <c:pt idx="13">
                  <c:v>38</c:v>
                </c:pt>
                <c:pt idx="14">
                  <c:v>41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F-437E-BE8D-F7A2D330508B}"/>
            </c:ext>
          </c:extLst>
        </c:ser>
        <c:ser>
          <c:idx val="1"/>
          <c:order val="1"/>
          <c:tx>
            <c:strRef>
              <c:f>'Classe 1'!$A$25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1'!$B$25:$W$25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20</c:v>
                </c:pt>
                <c:pt idx="3">
                  <c:v>23</c:v>
                </c:pt>
                <c:pt idx="4">
                  <c:v>29</c:v>
                </c:pt>
                <c:pt idx="5">
                  <c:v>31</c:v>
                </c:pt>
                <c:pt idx="6">
                  <c:v>31</c:v>
                </c:pt>
                <c:pt idx="7">
                  <c:v>37</c:v>
                </c:pt>
                <c:pt idx="8">
                  <c:v>45</c:v>
                </c:pt>
                <c:pt idx="9">
                  <c:v>46</c:v>
                </c:pt>
                <c:pt idx="10">
                  <c:v>47</c:v>
                </c:pt>
                <c:pt idx="11">
                  <c:v>53</c:v>
                </c:pt>
                <c:pt idx="12">
                  <c:v>58</c:v>
                </c:pt>
                <c:pt idx="13">
                  <c:v>67</c:v>
                </c:pt>
                <c:pt idx="14">
                  <c:v>69</c:v>
                </c:pt>
                <c:pt idx="15">
                  <c:v>81</c:v>
                </c:pt>
                <c:pt idx="16">
                  <c:v>85</c:v>
                </c:pt>
                <c:pt idx="17">
                  <c:v>86</c:v>
                </c:pt>
                <c:pt idx="18">
                  <c:v>93</c:v>
                </c:pt>
                <c:pt idx="19">
                  <c:v>100</c:v>
                </c:pt>
                <c:pt idx="20">
                  <c:v>104</c:v>
                </c:pt>
                <c:pt idx="2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F-437E-BE8D-F7A2D3305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1'!$A$22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1'!$B$22:$W$22</c:f>
              <c:numCache>
                <c:formatCode>0%</c:formatCode>
                <c:ptCount val="22"/>
                <c:pt idx="0">
                  <c:v>0.35754189944134079</c:v>
                </c:pt>
                <c:pt idx="1">
                  <c:v>0.3595505617977528</c:v>
                </c:pt>
                <c:pt idx="2">
                  <c:v>0.38709677419354838</c:v>
                </c:pt>
                <c:pt idx="3">
                  <c:v>0.3825503355704698</c:v>
                </c:pt>
                <c:pt idx="4">
                  <c:v>0.38571428571428573</c:v>
                </c:pt>
                <c:pt idx="5">
                  <c:v>0.37777777777777777</c:v>
                </c:pt>
                <c:pt idx="6">
                  <c:v>0.36842105263157893</c:v>
                </c:pt>
                <c:pt idx="7">
                  <c:v>0.36585365853658536</c:v>
                </c:pt>
                <c:pt idx="8">
                  <c:v>0.36936936936936937</c:v>
                </c:pt>
                <c:pt idx="9">
                  <c:v>0.35514018691588783</c:v>
                </c:pt>
                <c:pt idx="10">
                  <c:v>0.33980582524271846</c:v>
                </c:pt>
                <c:pt idx="11">
                  <c:v>0.34042553191489361</c:v>
                </c:pt>
                <c:pt idx="12">
                  <c:v>0.33720930232558138</c:v>
                </c:pt>
                <c:pt idx="13">
                  <c:v>0.35135135135135137</c:v>
                </c:pt>
                <c:pt idx="14">
                  <c:v>0.33333333333333331</c:v>
                </c:pt>
                <c:pt idx="15">
                  <c:v>0.35849056603773582</c:v>
                </c:pt>
                <c:pt idx="16">
                  <c:v>0.34782608695652173</c:v>
                </c:pt>
                <c:pt idx="17">
                  <c:v>0.30952380952380953</c:v>
                </c:pt>
                <c:pt idx="18">
                  <c:v>0.3125</c:v>
                </c:pt>
                <c:pt idx="19">
                  <c:v>0.31818181818181818</c:v>
                </c:pt>
                <c:pt idx="20">
                  <c:v>0.26666666666666666</c:v>
                </c:pt>
                <c:pt idx="21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F-437E-BE8D-F7A2D330508B}"/>
            </c:ext>
          </c:extLst>
        </c:ser>
        <c:ser>
          <c:idx val="3"/>
          <c:order val="3"/>
          <c:tx>
            <c:strRef>
              <c:f>'Classe 1'!$A$21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1'!$B$21:$W$21</c:f>
              <c:numCache>
                <c:formatCode>0%</c:formatCode>
                <c:ptCount val="22"/>
                <c:pt idx="0">
                  <c:v>1</c:v>
                </c:pt>
                <c:pt idx="1">
                  <c:v>0.99130434782608701</c:v>
                </c:pt>
                <c:pt idx="2">
                  <c:v>0.82608695652173914</c:v>
                </c:pt>
                <c:pt idx="3">
                  <c:v>0.8</c:v>
                </c:pt>
                <c:pt idx="4">
                  <c:v>0.74782608695652175</c:v>
                </c:pt>
                <c:pt idx="5">
                  <c:v>0.73043478260869565</c:v>
                </c:pt>
                <c:pt idx="6">
                  <c:v>0.73043478260869565</c:v>
                </c:pt>
                <c:pt idx="7">
                  <c:v>0.67826086956521736</c:v>
                </c:pt>
                <c:pt idx="8">
                  <c:v>0.60869565217391308</c:v>
                </c:pt>
                <c:pt idx="9">
                  <c:v>0.6</c:v>
                </c:pt>
                <c:pt idx="10">
                  <c:v>0.59130434782608698</c:v>
                </c:pt>
                <c:pt idx="11">
                  <c:v>0.53913043478260869</c:v>
                </c:pt>
                <c:pt idx="12">
                  <c:v>0.4956521739130435</c:v>
                </c:pt>
                <c:pt idx="13">
                  <c:v>0.41739130434782606</c:v>
                </c:pt>
                <c:pt idx="14">
                  <c:v>0.4</c:v>
                </c:pt>
                <c:pt idx="15">
                  <c:v>0.29565217391304349</c:v>
                </c:pt>
                <c:pt idx="16">
                  <c:v>0.2608695652173913</c:v>
                </c:pt>
                <c:pt idx="17">
                  <c:v>0.25217391304347825</c:v>
                </c:pt>
                <c:pt idx="18">
                  <c:v>0.19130434782608696</c:v>
                </c:pt>
                <c:pt idx="19">
                  <c:v>0.13043478260869565</c:v>
                </c:pt>
                <c:pt idx="20">
                  <c:v>9.5652173913043481E-2</c:v>
                </c:pt>
                <c:pt idx="21">
                  <c:v>1.7391304347826087E-2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9F-437E-BE8D-F7A2D3305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'48 &amp; 7'!$A$18</c:f>
              <c:strCache>
                <c:ptCount val="1"/>
                <c:pt idx="0">
                  <c:v>False Positive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7'!$B$18:$W$18</c:f>
              <c:numCache>
                <c:formatCode>General</c:formatCode>
                <c:ptCount val="22"/>
                <c:pt idx="0">
                  <c:v>38</c:v>
                </c:pt>
                <c:pt idx="1">
                  <c:v>38</c:v>
                </c:pt>
                <c:pt idx="2">
                  <c:v>37</c:v>
                </c:pt>
                <c:pt idx="3">
                  <c:v>34</c:v>
                </c:pt>
                <c:pt idx="4">
                  <c:v>32</c:v>
                </c:pt>
                <c:pt idx="5">
                  <c:v>30</c:v>
                </c:pt>
                <c:pt idx="6">
                  <c:v>28</c:v>
                </c:pt>
                <c:pt idx="7">
                  <c:v>26</c:v>
                </c:pt>
                <c:pt idx="8">
                  <c:v>25</c:v>
                </c:pt>
                <c:pt idx="9">
                  <c:v>23</c:v>
                </c:pt>
                <c:pt idx="10">
                  <c:v>21</c:v>
                </c:pt>
                <c:pt idx="11">
                  <c:v>19</c:v>
                </c:pt>
                <c:pt idx="12">
                  <c:v>17</c:v>
                </c:pt>
                <c:pt idx="13">
                  <c:v>15</c:v>
                </c:pt>
                <c:pt idx="14">
                  <c:v>13</c:v>
                </c:pt>
                <c:pt idx="15">
                  <c:v>12</c:v>
                </c:pt>
                <c:pt idx="16">
                  <c:v>10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  <c:pt idx="20">
                  <c:v>2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9-4578-BF3E-AB3FE39C946E}"/>
            </c:ext>
          </c:extLst>
        </c:ser>
        <c:ser>
          <c:idx val="1"/>
          <c:order val="1"/>
          <c:tx>
            <c:strRef>
              <c:f>'48 &amp; 7'!$A$19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7'!$B$19:$W$19</c:f>
              <c:numCache>
                <c:formatCode>General</c:formatCode>
                <c:ptCount val="22"/>
                <c:pt idx="0">
                  <c:v>48</c:v>
                </c:pt>
                <c:pt idx="1">
                  <c:v>48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41</c:v>
                </c:pt>
                <c:pt idx="7">
                  <c:v>32</c:v>
                </c:pt>
                <c:pt idx="8">
                  <c:v>30</c:v>
                </c:pt>
                <c:pt idx="9">
                  <c:v>30</c:v>
                </c:pt>
                <c:pt idx="10">
                  <c:v>21</c:v>
                </c:pt>
                <c:pt idx="11">
                  <c:v>17</c:v>
                </c:pt>
                <c:pt idx="12">
                  <c:v>15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  <c:pt idx="20">
                  <c:v>2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9-4578-BF3E-AB3FE39C9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'48 &amp; 7'!$A$22</c:f>
              <c:strCache>
                <c:ptCount val="1"/>
                <c:pt idx="0">
                  <c:v>Flase Positive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7'!$B$22:$W$22</c:f>
              <c:numCache>
                <c:formatCode>0%</c:formatCode>
                <c:ptCount val="22"/>
                <c:pt idx="0">
                  <c:v>0.44186046511627908</c:v>
                </c:pt>
                <c:pt idx="1">
                  <c:v>0.44186046511627908</c:v>
                </c:pt>
                <c:pt idx="2">
                  <c:v>0.45121951219512196</c:v>
                </c:pt>
                <c:pt idx="3">
                  <c:v>0.43037974683544306</c:v>
                </c:pt>
                <c:pt idx="4">
                  <c:v>0.41558441558441561</c:v>
                </c:pt>
                <c:pt idx="5">
                  <c:v>0.4</c:v>
                </c:pt>
                <c:pt idx="6">
                  <c:v>0.40579710144927539</c:v>
                </c:pt>
                <c:pt idx="7">
                  <c:v>0.44827586206896552</c:v>
                </c:pt>
                <c:pt idx="8">
                  <c:v>0.45454545454545453</c:v>
                </c:pt>
                <c:pt idx="9">
                  <c:v>0.43396226415094341</c:v>
                </c:pt>
                <c:pt idx="10">
                  <c:v>0.5</c:v>
                </c:pt>
                <c:pt idx="11">
                  <c:v>0.52777777777777779</c:v>
                </c:pt>
                <c:pt idx="12">
                  <c:v>0.53125</c:v>
                </c:pt>
                <c:pt idx="13">
                  <c:v>0.6</c:v>
                </c:pt>
                <c:pt idx="14">
                  <c:v>0.56521739130434778</c:v>
                </c:pt>
                <c:pt idx="15">
                  <c:v>0.54545454545454541</c:v>
                </c:pt>
                <c:pt idx="16">
                  <c:v>0.52631578947368418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C9-4578-BF3E-AB3FE39C946E}"/>
            </c:ext>
          </c:extLst>
        </c:ser>
        <c:ser>
          <c:idx val="3"/>
          <c:order val="3"/>
          <c:tx>
            <c:strRef>
              <c:f>'48 &amp;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0.9375</c:v>
                </c:pt>
                <c:pt idx="3">
                  <c:v>0.9375</c:v>
                </c:pt>
                <c:pt idx="4">
                  <c:v>0.9375</c:v>
                </c:pt>
                <c:pt idx="5">
                  <c:v>0.9375</c:v>
                </c:pt>
                <c:pt idx="6">
                  <c:v>0.85416666666666663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0.625</c:v>
                </c:pt>
                <c:pt idx="10">
                  <c:v>0.4375</c:v>
                </c:pt>
                <c:pt idx="11">
                  <c:v>0.35416666666666669</c:v>
                </c:pt>
                <c:pt idx="12">
                  <c:v>0.3125</c:v>
                </c:pt>
                <c:pt idx="13">
                  <c:v>0.20833333333333334</c:v>
                </c:pt>
                <c:pt idx="14">
                  <c:v>0.20833333333333334</c:v>
                </c:pt>
                <c:pt idx="15">
                  <c:v>0.20833333333333334</c:v>
                </c:pt>
                <c:pt idx="16">
                  <c:v>0.1875</c:v>
                </c:pt>
                <c:pt idx="17">
                  <c:v>0.16666666666666666</c:v>
                </c:pt>
                <c:pt idx="18">
                  <c:v>0.125</c:v>
                </c:pt>
                <c:pt idx="19">
                  <c:v>0.10416666666666667</c:v>
                </c:pt>
                <c:pt idx="20">
                  <c:v>4.1666666666666664E-2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C9-4578-BF3E-AB3FE39C9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'26 &amp; 7'!$A$18</c:f>
              <c:strCache>
                <c:ptCount val="1"/>
                <c:pt idx="0">
                  <c:v>False Positive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7'!$B$18:$W$18</c:f>
              <c:numCache>
                <c:formatCode>General</c:formatCode>
                <c:ptCount val="22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3-4DD2-9A16-10AF057A4FD7}"/>
            </c:ext>
          </c:extLst>
        </c:ser>
        <c:ser>
          <c:idx val="1"/>
          <c:order val="1"/>
          <c:tx>
            <c:strRef>
              <c:f>'26 &amp; 7'!$A$19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7'!$B$19:$W$19</c:f>
              <c:numCache>
                <c:formatCode>General</c:formatCode>
                <c:ptCount val="22"/>
                <c:pt idx="0">
                  <c:v>26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</c:v>
                </c:pt>
                <c:pt idx="12">
                  <c:v>22</c:v>
                </c:pt>
                <c:pt idx="13">
                  <c:v>14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3-4DD2-9A16-10AF057A4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'26 &amp; 7'!$A$22</c:f>
              <c:strCache>
                <c:ptCount val="1"/>
                <c:pt idx="0">
                  <c:v>Flase Positive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7'!$B$22:$W$22</c:f>
              <c:numCache>
                <c:formatCode>0%</c:formatCode>
                <c:ptCount val="22"/>
                <c:pt idx="0">
                  <c:v>0.35</c:v>
                </c:pt>
                <c:pt idx="1">
                  <c:v>0.36842105263157893</c:v>
                </c:pt>
                <c:pt idx="2">
                  <c:v>0.36842105263157893</c:v>
                </c:pt>
                <c:pt idx="3">
                  <c:v>0.36842105263157893</c:v>
                </c:pt>
                <c:pt idx="4">
                  <c:v>0.36842105263157893</c:v>
                </c:pt>
                <c:pt idx="5">
                  <c:v>0.36842105263157893</c:v>
                </c:pt>
                <c:pt idx="6">
                  <c:v>0.36842105263157893</c:v>
                </c:pt>
                <c:pt idx="7">
                  <c:v>0.36842105263157893</c:v>
                </c:pt>
                <c:pt idx="8">
                  <c:v>0.36842105263157893</c:v>
                </c:pt>
                <c:pt idx="9">
                  <c:v>0.25</c:v>
                </c:pt>
                <c:pt idx="10">
                  <c:v>0.25</c:v>
                </c:pt>
                <c:pt idx="11">
                  <c:v>0.23333333333333334</c:v>
                </c:pt>
                <c:pt idx="12">
                  <c:v>0.21428571428571427</c:v>
                </c:pt>
                <c:pt idx="13">
                  <c:v>0.3</c:v>
                </c:pt>
                <c:pt idx="14">
                  <c:v>0.27777777777777779</c:v>
                </c:pt>
                <c:pt idx="15">
                  <c:v>0.27777777777777779</c:v>
                </c:pt>
                <c:pt idx="16">
                  <c:v>0.27777777777777779</c:v>
                </c:pt>
                <c:pt idx="17">
                  <c:v>0.21428571428571427</c:v>
                </c:pt>
                <c:pt idx="18">
                  <c:v>0.15384615384615385</c:v>
                </c:pt>
                <c:pt idx="19">
                  <c:v>0.15384615384615385</c:v>
                </c:pt>
                <c:pt idx="20">
                  <c:v>0.25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63-4DD2-9A16-10AF057A4FD7}"/>
            </c:ext>
          </c:extLst>
        </c:ser>
        <c:ser>
          <c:idx val="3"/>
          <c:order val="3"/>
          <c:tx>
            <c:strRef>
              <c:f>'26 &amp;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7'!$B$21:$W$21</c:f>
              <c:numCache>
                <c:formatCode>0%</c:formatCode>
                <c:ptCount val="22"/>
                <c:pt idx="0">
                  <c:v>1</c:v>
                </c:pt>
                <c:pt idx="1">
                  <c:v>0.92307692307692313</c:v>
                </c:pt>
                <c:pt idx="2">
                  <c:v>0.92307692307692313</c:v>
                </c:pt>
                <c:pt idx="3">
                  <c:v>0.92307692307692313</c:v>
                </c:pt>
                <c:pt idx="4">
                  <c:v>0.92307692307692313</c:v>
                </c:pt>
                <c:pt idx="5">
                  <c:v>0.92307692307692313</c:v>
                </c:pt>
                <c:pt idx="6">
                  <c:v>0.92307692307692313</c:v>
                </c:pt>
                <c:pt idx="7">
                  <c:v>0.92307692307692313</c:v>
                </c:pt>
                <c:pt idx="8">
                  <c:v>0.92307692307692313</c:v>
                </c:pt>
                <c:pt idx="9">
                  <c:v>0.92307692307692313</c:v>
                </c:pt>
                <c:pt idx="10">
                  <c:v>0.92307692307692313</c:v>
                </c:pt>
                <c:pt idx="11">
                  <c:v>0.88461538461538458</c:v>
                </c:pt>
                <c:pt idx="12">
                  <c:v>0.84615384615384615</c:v>
                </c:pt>
                <c:pt idx="13">
                  <c:v>0.53846153846153844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0.42307692307692307</c:v>
                </c:pt>
                <c:pt idx="18">
                  <c:v>0.42307692307692307</c:v>
                </c:pt>
                <c:pt idx="19">
                  <c:v>0.42307692307692307</c:v>
                </c:pt>
                <c:pt idx="20">
                  <c:v>0.11538461538461539</c:v>
                </c:pt>
                <c:pt idx="21">
                  <c:v>3.8461538461538464E-2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63-4DD2-9A16-10AF057A4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3'!$A$18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3'!$B$18:$W$18</c:f>
              <c:numCache>
                <c:formatCode>General</c:formatCode>
                <c:ptCount val="22"/>
                <c:pt idx="0">
                  <c:v>37</c:v>
                </c:pt>
                <c:pt idx="1">
                  <c:v>37</c:v>
                </c:pt>
                <c:pt idx="2">
                  <c:v>35</c:v>
                </c:pt>
                <c:pt idx="3">
                  <c:v>33</c:v>
                </c:pt>
                <c:pt idx="4">
                  <c:v>31</c:v>
                </c:pt>
                <c:pt idx="5">
                  <c:v>29</c:v>
                </c:pt>
                <c:pt idx="6">
                  <c:v>28</c:v>
                </c:pt>
                <c:pt idx="7">
                  <c:v>27</c:v>
                </c:pt>
                <c:pt idx="8">
                  <c:v>27</c:v>
                </c:pt>
                <c:pt idx="9">
                  <c:v>22</c:v>
                </c:pt>
                <c:pt idx="10">
                  <c:v>20</c:v>
                </c:pt>
                <c:pt idx="11">
                  <c:v>19</c:v>
                </c:pt>
                <c:pt idx="12">
                  <c:v>17</c:v>
                </c:pt>
                <c:pt idx="13">
                  <c:v>15</c:v>
                </c:pt>
                <c:pt idx="14">
                  <c:v>13</c:v>
                </c:pt>
                <c:pt idx="15">
                  <c:v>11</c:v>
                </c:pt>
                <c:pt idx="16">
                  <c:v>10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2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C-4CEC-9CB8-30F9DCD779CA}"/>
            </c:ext>
          </c:extLst>
        </c:ser>
        <c:ser>
          <c:idx val="1"/>
          <c:order val="1"/>
          <c:tx>
            <c:strRef>
              <c:f>'Classe 3'!$A$19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3'!$B$19:$W$19</c:f>
              <c:numCache>
                <c:formatCode>General</c:formatCode>
                <c:ptCount val="22"/>
                <c:pt idx="0">
                  <c:v>101</c:v>
                </c:pt>
                <c:pt idx="1">
                  <c:v>101</c:v>
                </c:pt>
                <c:pt idx="2">
                  <c:v>96</c:v>
                </c:pt>
                <c:pt idx="3">
                  <c:v>91</c:v>
                </c:pt>
                <c:pt idx="4">
                  <c:v>91</c:v>
                </c:pt>
                <c:pt idx="5">
                  <c:v>91</c:v>
                </c:pt>
                <c:pt idx="6">
                  <c:v>89</c:v>
                </c:pt>
                <c:pt idx="7">
                  <c:v>87</c:v>
                </c:pt>
                <c:pt idx="8">
                  <c:v>87</c:v>
                </c:pt>
                <c:pt idx="9">
                  <c:v>73</c:v>
                </c:pt>
                <c:pt idx="10">
                  <c:v>66</c:v>
                </c:pt>
                <c:pt idx="11">
                  <c:v>65</c:v>
                </c:pt>
                <c:pt idx="12">
                  <c:v>62</c:v>
                </c:pt>
                <c:pt idx="13">
                  <c:v>57</c:v>
                </c:pt>
                <c:pt idx="14">
                  <c:v>55</c:v>
                </c:pt>
                <c:pt idx="15">
                  <c:v>54</c:v>
                </c:pt>
                <c:pt idx="16">
                  <c:v>49</c:v>
                </c:pt>
                <c:pt idx="17">
                  <c:v>35</c:v>
                </c:pt>
                <c:pt idx="18">
                  <c:v>27</c:v>
                </c:pt>
                <c:pt idx="19">
                  <c:v>20</c:v>
                </c:pt>
                <c:pt idx="20">
                  <c:v>14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C-4CEC-9CB8-30F9DCD77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3'!$A$22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3'!$B$22:$W$22</c:f>
              <c:numCache>
                <c:formatCode>0%</c:formatCode>
                <c:ptCount val="22"/>
                <c:pt idx="0">
                  <c:v>0.26811594202898553</c:v>
                </c:pt>
                <c:pt idx="1">
                  <c:v>0.26811594202898553</c:v>
                </c:pt>
                <c:pt idx="2">
                  <c:v>0.26717557251908397</c:v>
                </c:pt>
                <c:pt idx="3">
                  <c:v>0.2661290322580645</c:v>
                </c:pt>
                <c:pt idx="4">
                  <c:v>0.25409836065573771</c:v>
                </c:pt>
                <c:pt idx="5">
                  <c:v>0.24166666666666667</c:v>
                </c:pt>
                <c:pt idx="6">
                  <c:v>0.23931623931623933</c:v>
                </c:pt>
                <c:pt idx="7">
                  <c:v>0.23684210526315788</c:v>
                </c:pt>
                <c:pt idx="8">
                  <c:v>0.23684210526315788</c:v>
                </c:pt>
                <c:pt idx="9">
                  <c:v>0.23157894736842105</c:v>
                </c:pt>
                <c:pt idx="10">
                  <c:v>0.23255813953488372</c:v>
                </c:pt>
                <c:pt idx="11">
                  <c:v>0.22619047619047619</c:v>
                </c:pt>
                <c:pt idx="12">
                  <c:v>0.21518987341772153</c:v>
                </c:pt>
                <c:pt idx="13">
                  <c:v>0.20833333333333334</c:v>
                </c:pt>
                <c:pt idx="14">
                  <c:v>0.19117647058823528</c:v>
                </c:pt>
                <c:pt idx="15">
                  <c:v>0.16923076923076924</c:v>
                </c:pt>
                <c:pt idx="16">
                  <c:v>0.16949152542372881</c:v>
                </c:pt>
                <c:pt idx="17">
                  <c:v>0.18604651162790697</c:v>
                </c:pt>
                <c:pt idx="18">
                  <c:v>0.18181818181818182</c:v>
                </c:pt>
                <c:pt idx="19">
                  <c:v>0.16666666666666666</c:v>
                </c:pt>
                <c:pt idx="20">
                  <c:v>0.125</c:v>
                </c:pt>
                <c:pt idx="21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EC-4CEC-9CB8-30F9DCD779CA}"/>
            </c:ext>
          </c:extLst>
        </c:ser>
        <c:ser>
          <c:idx val="3"/>
          <c:order val="3"/>
          <c:tx>
            <c:strRef>
              <c:f>'Classe 3'!$A$21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3'!$B$21:$W$21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0.95049504950495045</c:v>
                </c:pt>
                <c:pt idx="3">
                  <c:v>0.90099009900990101</c:v>
                </c:pt>
                <c:pt idx="4">
                  <c:v>0.90099009900990101</c:v>
                </c:pt>
                <c:pt idx="5">
                  <c:v>0.90099009900990101</c:v>
                </c:pt>
                <c:pt idx="6">
                  <c:v>0.88118811881188119</c:v>
                </c:pt>
                <c:pt idx="7">
                  <c:v>0.86138613861386137</c:v>
                </c:pt>
                <c:pt idx="8">
                  <c:v>0.86138613861386137</c:v>
                </c:pt>
                <c:pt idx="9">
                  <c:v>0.72277227722772275</c:v>
                </c:pt>
                <c:pt idx="10">
                  <c:v>0.65346534653465349</c:v>
                </c:pt>
                <c:pt idx="11">
                  <c:v>0.64356435643564358</c:v>
                </c:pt>
                <c:pt idx="12">
                  <c:v>0.61386138613861385</c:v>
                </c:pt>
                <c:pt idx="13">
                  <c:v>0.5643564356435643</c:v>
                </c:pt>
                <c:pt idx="14">
                  <c:v>0.54455445544554459</c:v>
                </c:pt>
                <c:pt idx="15">
                  <c:v>0.53465346534653468</c:v>
                </c:pt>
                <c:pt idx="16">
                  <c:v>0.48514851485148514</c:v>
                </c:pt>
                <c:pt idx="17">
                  <c:v>0.34653465346534651</c:v>
                </c:pt>
                <c:pt idx="18">
                  <c:v>0.26732673267326734</c:v>
                </c:pt>
                <c:pt idx="19">
                  <c:v>0.19801980198019803</c:v>
                </c:pt>
                <c:pt idx="20">
                  <c:v>0.13861386138613863</c:v>
                </c:pt>
                <c:pt idx="21">
                  <c:v>9.9009900990099015E-2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EC-4CEC-9CB8-30F9DCD77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3'!$A$24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3'!$B$24:$W$24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20</c:v>
                </c:pt>
                <c:pt idx="13">
                  <c:v>22</c:v>
                </c:pt>
                <c:pt idx="14">
                  <c:v>24</c:v>
                </c:pt>
                <c:pt idx="15">
                  <c:v>26</c:v>
                </c:pt>
                <c:pt idx="16">
                  <c:v>27</c:v>
                </c:pt>
                <c:pt idx="17">
                  <c:v>29</c:v>
                </c:pt>
                <c:pt idx="18">
                  <c:v>31</c:v>
                </c:pt>
                <c:pt idx="19">
                  <c:v>33</c:v>
                </c:pt>
                <c:pt idx="20">
                  <c:v>35</c:v>
                </c:pt>
                <c:pt idx="2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0-4CD3-ABBE-AC7AE829C375}"/>
            </c:ext>
          </c:extLst>
        </c:ser>
        <c:ser>
          <c:idx val="1"/>
          <c:order val="1"/>
          <c:tx>
            <c:strRef>
              <c:f>'Classe 3'!$A$25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3'!$B$25:$W$25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  <c:pt idx="9">
                  <c:v>28</c:v>
                </c:pt>
                <c:pt idx="10">
                  <c:v>35</c:v>
                </c:pt>
                <c:pt idx="11">
                  <c:v>36</c:v>
                </c:pt>
                <c:pt idx="12">
                  <c:v>39</c:v>
                </c:pt>
                <c:pt idx="13">
                  <c:v>44</c:v>
                </c:pt>
                <c:pt idx="14">
                  <c:v>46</c:v>
                </c:pt>
                <c:pt idx="15">
                  <c:v>47</c:v>
                </c:pt>
                <c:pt idx="16">
                  <c:v>52</c:v>
                </c:pt>
                <c:pt idx="17">
                  <c:v>66</c:v>
                </c:pt>
                <c:pt idx="18">
                  <c:v>74</c:v>
                </c:pt>
                <c:pt idx="19">
                  <c:v>81</c:v>
                </c:pt>
                <c:pt idx="20">
                  <c:v>87</c:v>
                </c:pt>
                <c:pt idx="2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0-4CD3-ABBE-AC7AE829C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3'!$A$22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3'!$B$22:$W$22</c:f>
              <c:numCache>
                <c:formatCode>0%</c:formatCode>
                <c:ptCount val="22"/>
                <c:pt idx="0">
                  <c:v>0.26811594202898553</c:v>
                </c:pt>
                <c:pt idx="1">
                  <c:v>0.26811594202898553</c:v>
                </c:pt>
                <c:pt idx="2">
                  <c:v>0.26717557251908397</c:v>
                </c:pt>
                <c:pt idx="3">
                  <c:v>0.2661290322580645</c:v>
                </c:pt>
                <c:pt idx="4">
                  <c:v>0.25409836065573771</c:v>
                </c:pt>
                <c:pt idx="5">
                  <c:v>0.24166666666666667</c:v>
                </c:pt>
                <c:pt idx="6">
                  <c:v>0.23931623931623933</c:v>
                </c:pt>
                <c:pt idx="7">
                  <c:v>0.23684210526315788</c:v>
                </c:pt>
                <c:pt idx="8">
                  <c:v>0.23684210526315788</c:v>
                </c:pt>
                <c:pt idx="9">
                  <c:v>0.23157894736842105</c:v>
                </c:pt>
                <c:pt idx="10">
                  <c:v>0.23255813953488372</c:v>
                </c:pt>
                <c:pt idx="11">
                  <c:v>0.22619047619047619</c:v>
                </c:pt>
                <c:pt idx="12">
                  <c:v>0.21518987341772153</c:v>
                </c:pt>
                <c:pt idx="13">
                  <c:v>0.20833333333333334</c:v>
                </c:pt>
                <c:pt idx="14">
                  <c:v>0.19117647058823528</c:v>
                </c:pt>
                <c:pt idx="15">
                  <c:v>0.16923076923076924</c:v>
                </c:pt>
                <c:pt idx="16">
                  <c:v>0.16949152542372881</c:v>
                </c:pt>
                <c:pt idx="17">
                  <c:v>0.18604651162790697</c:v>
                </c:pt>
                <c:pt idx="18">
                  <c:v>0.18181818181818182</c:v>
                </c:pt>
                <c:pt idx="19">
                  <c:v>0.16666666666666666</c:v>
                </c:pt>
                <c:pt idx="20">
                  <c:v>0.125</c:v>
                </c:pt>
                <c:pt idx="21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40-4CD3-ABBE-AC7AE829C375}"/>
            </c:ext>
          </c:extLst>
        </c:ser>
        <c:ser>
          <c:idx val="3"/>
          <c:order val="3"/>
          <c:tx>
            <c:strRef>
              <c:f>'Classe 3'!$A$21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3'!$B$21:$W$21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0.95049504950495045</c:v>
                </c:pt>
                <c:pt idx="3">
                  <c:v>0.90099009900990101</c:v>
                </c:pt>
                <c:pt idx="4">
                  <c:v>0.90099009900990101</c:v>
                </c:pt>
                <c:pt idx="5">
                  <c:v>0.90099009900990101</c:v>
                </c:pt>
                <c:pt idx="6">
                  <c:v>0.88118811881188119</c:v>
                </c:pt>
                <c:pt idx="7">
                  <c:v>0.86138613861386137</c:v>
                </c:pt>
                <c:pt idx="8">
                  <c:v>0.86138613861386137</c:v>
                </c:pt>
                <c:pt idx="9">
                  <c:v>0.72277227722772275</c:v>
                </c:pt>
                <c:pt idx="10">
                  <c:v>0.65346534653465349</c:v>
                </c:pt>
                <c:pt idx="11">
                  <c:v>0.64356435643564358</c:v>
                </c:pt>
                <c:pt idx="12">
                  <c:v>0.61386138613861385</c:v>
                </c:pt>
                <c:pt idx="13">
                  <c:v>0.5643564356435643</c:v>
                </c:pt>
                <c:pt idx="14">
                  <c:v>0.54455445544554459</c:v>
                </c:pt>
                <c:pt idx="15">
                  <c:v>0.53465346534653468</c:v>
                </c:pt>
                <c:pt idx="16">
                  <c:v>0.48514851485148514</c:v>
                </c:pt>
                <c:pt idx="17">
                  <c:v>0.34653465346534651</c:v>
                </c:pt>
                <c:pt idx="18">
                  <c:v>0.26732673267326734</c:v>
                </c:pt>
                <c:pt idx="19">
                  <c:v>0.19801980198019803</c:v>
                </c:pt>
                <c:pt idx="20">
                  <c:v>0.13861386138613863</c:v>
                </c:pt>
                <c:pt idx="21">
                  <c:v>9.9009900990099015E-2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40-4CD3-ABBE-AC7AE829C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4'!$A$18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4'!$B$18:$W$18</c:f>
              <c:numCache>
                <c:formatCode>General</c:formatCode>
                <c:ptCount val="22"/>
                <c:pt idx="0">
                  <c:v>21</c:v>
                </c:pt>
                <c:pt idx="1">
                  <c:v>21</c:v>
                </c:pt>
                <c:pt idx="2">
                  <c:v>20</c:v>
                </c:pt>
                <c:pt idx="3">
                  <c:v>19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0-4CB6-9926-423FE852A946}"/>
            </c:ext>
          </c:extLst>
        </c:ser>
        <c:ser>
          <c:idx val="1"/>
          <c:order val="1"/>
          <c:tx>
            <c:strRef>
              <c:f>'Classe 4'!$A$19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4'!$B$19:$W$19</c:f>
              <c:numCache>
                <c:formatCode>General</c:formatCode>
                <c:ptCount val="2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0-4CB6-9926-423FE852A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4'!$A$22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4'!$B$22:$W$22</c:f>
              <c:numCache>
                <c:formatCode>0%</c:formatCode>
                <c:ptCount val="22"/>
                <c:pt idx="0">
                  <c:v>0.875</c:v>
                </c:pt>
                <c:pt idx="1">
                  <c:v>0.875</c:v>
                </c:pt>
                <c:pt idx="2">
                  <c:v>0.86956521739130432</c:v>
                </c:pt>
                <c:pt idx="3">
                  <c:v>0.86363636363636365</c:v>
                </c:pt>
                <c:pt idx="4">
                  <c:v>0.8571428571428571</c:v>
                </c:pt>
                <c:pt idx="5">
                  <c:v>0.85</c:v>
                </c:pt>
                <c:pt idx="6">
                  <c:v>0.84210526315789469</c:v>
                </c:pt>
                <c:pt idx="7">
                  <c:v>0.83333333333333337</c:v>
                </c:pt>
                <c:pt idx="8">
                  <c:v>0.82352941176470584</c:v>
                </c:pt>
                <c:pt idx="9">
                  <c:v>0.8125</c:v>
                </c:pt>
                <c:pt idx="10">
                  <c:v>0.8571428571428571</c:v>
                </c:pt>
                <c:pt idx="11">
                  <c:v>0.84615384615384615</c:v>
                </c:pt>
                <c:pt idx="12">
                  <c:v>0.83333333333333337</c:v>
                </c:pt>
                <c:pt idx="13">
                  <c:v>0.81818181818181823</c:v>
                </c:pt>
                <c:pt idx="14">
                  <c:v>0.8</c:v>
                </c:pt>
                <c:pt idx="15">
                  <c:v>0.77777777777777779</c:v>
                </c:pt>
                <c:pt idx="16">
                  <c:v>0.8571428571428571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20-4CB6-9926-423FE852A946}"/>
            </c:ext>
          </c:extLst>
        </c:ser>
        <c:ser>
          <c:idx val="3"/>
          <c:order val="3"/>
          <c:tx>
            <c:strRef>
              <c:f>'Classe 4'!$A$21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4'!$B$21:$W$21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0.66666666666666663</c:v>
                </c:pt>
                <c:pt idx="11">
                  <c:v>0.66666666666666663</c:v>
                </c:pt>
                <c:pt idx="12">
                  <c:v>0.66666666666666663</c:v>
                </c:pt>
                <c:pt idx="13">
                  <c:v>0.66666666666666663</c:v>
                </c:pt>
                <c:pt idx="14">
                  <c:v>0.66666666666666663</c:v>
                </c:pt>
                <c:pt idx="15">
                  <c:v>0.66666666666666663</c:v>
                </c:pt>
                <c:pt idx="16">
                  <c:v>0.33333333333333331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20-4CB6-9926-423FE852A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4'!$A$24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4'!$B$24:$W$24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4-4BDB-A4CD-5CC6D93CC323}"/>
            </c:ext>
          </c:extLst>
        </c:ser>
        <c:ser>
          <c:idx val="1"/>
          <c:order val="1"/>
          <c:tx>
            <c:strRef>
              <c:f>'Classe 4'!$A$25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4'!$B$25:$W$25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4-4BDB-A4CD-5CC6D93C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4'!$A$22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4'!$B$22:$W$22</c:f>
              <c:numCache>
                <c:formatCode>0%</c:formatCode>
                <c:ptCount val="22"/>
                <c:pt idx="0">
                  <c:v>0.875</c:v>
                </c:pt>
                <c:pt idx="1">
                  <c:v>0.875</c:v>
                </c:pt>
                <c:pt idx="2">
                  <c:v>0.86956521739130432</c:v>
                </c:pt>
                <c:pt idx="3">
                  <c:v>0.86363636363636365</c:v>
                </c:pt>
                <c:pt idx="4">
                  <c:v>0.8571428571428571</c:v>
                </c:pt>
                <c:pt idx="5">
                  <c:v>0.85</c:v>
                </c:pt>
                <c:pt idx="6">
                  <c:v>0.84210526315789469</c:v>
                </c:pt>
                <c:pt idx="7">
                  <c:v>0.83333333333333337</c:v>
                </c:pt>
                <c:pt idx="8">
                  <c:v>0.82352941176470584</c:v>
                </c:pt>
                <c:pt idx="9">
                  <c:v>0.8125</c:v>
                </c:pt>
                <c:pt idx="10">
                  <c:v>0.8571428571428571</c:v>
                </c:pt>
                <c:pt idx="11">
                  <c:v>0.84615384615384615</c:v>
                </c:pt>
                <c:pt idx="12">
                  <c:v>0.83333333333333337</c:v>
                </c:pt>
                <c:pt idx="13">
                  <c:v>0.81818181818181823</c:v>
                </c:pt>
                <c:pt idx="14">
                  <c:v>0.8</c:v>
                </c:pt>
                <c:pt idx="15">
                  <c:v>0.77777777777777779</c:v>
                </c:pt>
                <c:pt idx="16">
                  <c:v>0.8571428571428571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4-4BDB-A4CD-5CC6D93CC323}"/>
            </c:ext>
          </c:extLst>
        </c:ser>
        <c:ser>
          <c:idx val="3"/>
          <c:order val="3"/>
          <c:tx>
            <c:strRef>
              <c:f>'Classe 4'!$A$21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4'!$B$21:$W$21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0.66666666666666663</c:v>
                </c:pt>
                <c:pt idx="11">
                  <c:v>0.66666666666666663</c:v>
                </c:pt>
                <c:pt idx="12">
                  <c:v>0.66666666666666663</c:v>
                </c:pt>
                <c:pt idx="13">
                  <c:v>0.66666666666666663</c:v>
                </c:pt>
                <c:pt idx="14">
                  <c:v>0.66666666666666663</c:v>
                </c:pt>
                <c:pt idx="15">
                  <c:v>0.66666666666666663</c:v>
                </c:pt>
                <c:pt idx="16">
                  <c:v>0.33333333333333331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A4-4BDB-A4CD-5CC6D93C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6'!$A$18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6'!$B$18:$W$18</c:f>
              <c:numCache>
                <c:formatCode>General</c:formatCode>
                <c:ptCount val="22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C-4196-AA9D-5FA887676F56}"/>
            </c:ext>
          </c:extLst>
        </c:ser>
        <c:ser>
          <c:idx val="1"/>
          <c:order val="1"/>
          <c:tx>
            <c:strRef>
              <c:f>'Classe 6'!$A$19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6'!$B$19:$W$19</c:f>
              <c:numCache>
                <c:formatCode>General</c:formatCode>
                <c:ptCount val="2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C-4196-AA9D-5FA88767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6'!$A$22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6'!$B$22:$W$22</c:f>
              <c:numCache>
                <c:formatCode>0%</c:formatCode>
                <c:ptCount val="22"/>
                <c:pt idx="0">
                  <c:v>0.5714285714285714</c:v>
                </c:pt>
                <c:pt idx="1">
                  <c:v>0.5714285714285714</c:v>
                </c:pt>
                <c:pt idx="2">
                  <c:v>0.55000000000000004</c:v>
                </c:pt>
                <c:pt idx="3">
                  <c:v>0.52631578947368418</c:v>
                </c:pt>
                <c:pt idx="4">
                  <c:v>0.52631578947368418</c:v>
                </c:pt>
                <c:pt idx="5">
                  <c:v>0.5</c:v>
                </c:pt>
                <c:pt idx="6">
                  <c:v>0.5</c:v>
                </c:pt>
                <c:pt idx="7">
                  <c:v>0.47058823529411764</c:v>
                </c:pt>
                <c:pt idx="8">
                  <c:v>0.47058823529411764</c:v>
                </c:pt>
                <c:pt idx="9">
                  <c:v>0.4375</c:v>
                </c:pt>
                <c:pt idx="10">
                  <c:v>0.4375</c:v>
                </c:pt>
                <c:pt idx="11">
                  <c:v>0.4</c:v>
                </c:pt>
                <c:pt idx="12">
                  <c:v>0.38461538461538464</c:v>
                </c:pt>
                <c:pt idx="13">
                  <c:v>0.45454545454545453</c:v>
                </c:pt>
                <c:pt idx="14">
                  <c:v>0.44444444444444442</c:v>
                </c:pt>
                <c:pt idx="15">
                  <c:v>0.44444444444444442</c:v>
                </c:pt>
                <c:pt idx="16">
                  <c:v>0.375</c:v>
                </c:pt>
                <c:pt idx="17">
                  <c:v>0.42857142857142855</c:v>
                </c:pt>
                <c:pt idx="18">
                  <c:v>0.33333333333333331</c:v>
                </c:pt>
                <c:pt idx="19">
                  <c:v>0.33333333333333331</c:v>
                </c:pt>
                <c:pt idx="20">
                  <c:v>0.2</c:v>
                </c:pt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4C-4196-AA9D-5FA887676F56}"/>
            </c:ext>
          </c:extLst>
        </c:ser>
        <c:ser>
          <c:idx val="3"/>
          <c:order val="3"/>
          <c:tx>
            <c:strRef>
              <c:f>'Classe 6'!$A$21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6'!$B$21:$W$21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0.88888888888888884</c:v>
                </c:pt>
                <c:pt idx="13">
                  <c:v>0.66666666666666663</c:v>
                </c:pt>
                <c:pt idx="14">
                  <c:v>0.55555555555555558</c:v>
                </c:pt>
                <c:pt idx="15">
                  <c:v>0.55555555555555558</c:v>
                </c:pt>
                <c:pt idx="16">
                  <c:v>0.55555555555555558</c:v>
                </c:pt>
                <c:pt idx="17">
                  <c:v>0.44444444444444442</c:v>
                </c:pt>
                <c:pt idx="18">
                  <c:v>0.44444444444444442</c:v>
                </c:pt>
                <c:pt idx="19">
                  <c:v>0.44444444444444442</c:v>
                </c:pt>
                <c:pt idx="20">
                  <c:v>0.44444444444444442</c:v>
                </c:pt>
                <c:pt idx="21">
                  <c:v>0.44444444444444442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4C-4196-AA9D-5FA88767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6'!$A$24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6'!$B$24:$W$24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9-4207-95FE-918E3CC29382}"/>
            </c:ext>
          </c:extLst>
        </c:ser>
        <c:ser>
          <c:idx val="1"/>
          <c:order val="1"/>
          <c:tx>
            <c:strRef>
              <c:f>'Classe 6'!$A$25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6'!$B$25:$W$25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89-4207-95FE-918E3CC29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6'!$A$22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6'!$B$22:$W$22</c:f>
              <c:numCache>
                <c:formatCode>0%</c:formatCode>
                <c:ptCount val="22"/>
                <c:pt idx="0">
                  <c:v>0.5714285714285714</c:v>
                </c:pt>
                <c:pt idx="1">
                  <c:v>0.5714285714285714</c:v>
                </c:pt>
                <c:pt idx="2">
                  <c:v>0.55000000000000004</c:v>
                </c:pt>
                <c:pt idx="3">
                  <c:v>0.52631578947368418</c:v>
                </c:pt>
                <c:pt idx="4">
                  <c:v>0.52631578947368418</c:v>
                </c:pt>
                <c:pt idx="5">
                  <c:v>0.5</c:v>
                </c:pt>
                <c:pt idx="6">
                  <c:v>0.5</c:v>
                </c:pt>
                <c:pt idx="7">
                  <c:v>0.47058823529411764</c:v>
                </c:pt>
                <c:pt idx="8">
                  <c:v>0.47058823529411764</c:v>
                </c:pt>
                <c:pt idx="9">
                  <c:v>0.4375</c:v>
                </c:pt>
                <c:pt idx="10">
                  <c:v>0.4375</c:v>
                </c:pt>
                <c:pt idx="11">
                  <c:v>0.4</c:v>
                </c:pt>
                <c:pt idx="12">
                  <c:v>0.38461538461538464</c:v>
                </c:pt>
                <c:pt idx="13">
                  <c:v>0.45454545454545453</c:v>
                </c:pt>
                <c:pt idx="14">
                  <c:v>0.44444444444444442</c:v>
                </c:pt>
                <c:pt idx="15">
                  <c:v>0.44444444444444442</c:v>
                </c:pt>
                <c:pt idx="16">
                  <c:v>0.375</c:v>
                </c:pt>
                <c:pt idx="17">
                  <c:v>0.42857142857142855</c:v>
                </c:pt>
                <c:pt idx="18">
                  <c:v>0.33333333333333331</c:v>
                </c:pt>
                <c:pt idx="19">
                  <c:v>0.33333333333333331</c:v>
                </c:pt>
                <c:pt idx="20">
                  <c:v>0.2</c:v>
                </c:pt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89-4207-95FE-918E3CC29382}"/>
            </c:ext>
          </c:extLst>
        </c:ser>
        <c:ser>
          <c:idx val="3"/>
          <c:order val="3"/>
          <c:tx>
            <c:strRef>
              <c:f>'Classe 6'!$A$21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6'!$B$21:$W$21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0.88888888888888884</c:v>
                </c:pt>
                <c:pt idx="13">
                  <c:v>0.66666666666666663</c:v>
                </c:pt>
                <c:pt idx="14">
                  <c:v>0.55555555555555558</c:v>
                </c:pt>
                <c:pt idx="15">
                  <c:v>0.55555555555555558</c:v>
                </c:pt>
                <c:pt idx="16">
                  <c:v>0.55555555555555558</c:v>
                </c:pt>
                <c:pt idx="17">
                  <c:v>0.44444444444444442</c:v>
                </c:pt>
                <c:pt idx="18">
                  <c:v>0.44444444444444442</c:v>
                </c:pt>
                <c:pt idx="19">
                  <c:v>0.44444444444444442</c:v>
                </c:pt>
                <c:pt idx="20">
                  <c:v>0.44444444444444442</c:v>
                </c:pt>
                <c:pt idx="21">
                  <c:v>0.44444444444444442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89-4207-95FE-918E3CC29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7'!$A$18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7'!$B$18:$W$18</c:f>
              <c:numCache>
                <c:formatCode>General</c:formatCode>
                <c:ptCount val="22"/>
                <c:pt idx="0">
                  <c:v>18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15</c:v>
                </c:pt>
                <c:pt idx="5">
                  <c:v>14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2-4542-A54E-F64E5BA2B1B4}"/>
            </c:ext>
          </c:extLst>
        </c:ser>
        <c:ser>
          <c:idx val="1"/>
          <c:order val="1"/>
          <c:tx>
            <c:strRef>
              <c:f>'Classe 7'!$A$19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7'!$B$19:$W$19</c:f>
              <c:numCache>
                <c:formatCode>General</c:formatCode>
                <c:ptCount val="22"/>
                <c:pt idx="0">
                  <c:v>102</c:v>
                </c:pt>
                <c:pt idx="1">
                  <c:v>94</c:v>
                </c:pt>
                <c:pt idx="2">
                  <c:v>94</c:v>
                </c:pt>
                <c:pt idx="3">
                  <c:v>94</c:v>
                </c:pt>
                <c:pt idx="4">
                  <c:v>91</c:v>
                </c:pt>
                <c:pt idx="5">
                  <c:v>78</c:v>
                </c:pt>
                <c:pt idx="6">
                  <c:v>74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62</c:v>
                </c:pt>
                <c:pt idx="11">
                  <c:v>55</c:v>
                </c:pt>
                <c:pt idx="12">
                  <c:v>41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25</c:v>
                </c:pt>
                <c:pt idx="18">
                  <c:v>15</c:v>
                </c:pt>
                <c:pt idx="19">
                  <c:v>9</c:v>
                </c:pt>
                <c:pt idx="20">
                  <c:v>5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2-4542-A54E-F64E5BA2B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7'!$A$22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7'!$B$22:$W$22</c:f>
              <c:numCache>
                <c:formatCode>0%</c:formatCode>
                <c:ptCount val="22"/>
                <c:pt idx="0">
                  <c:v>0.15</c:v>
                </c:pt>
                <c:pt idx="1">
                  <c:v>0.16071428571428573</c:v>
                </c:pt>
                <c:pt idx="2">
                  <c:v>0.15315315315315314</c:v>
                </c:pt>
                <c:pt idx="3">
                  <c:v>0.15315315315315314</c:v>
                </c:pt>
                <c:pt idx="4">
                  <c:v>0.14150943396226415</c:v>
                </c:pt>
                <c:pt idx="5">
                  <c:v>0.15217391304347827</c:v>
                </c:pt>
                <c:pt idx="6">
                  <c:v>0.14942528735632185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0.1388888888888889</c:v>
                </c:pt>
                <c:pt idx="11">
                  <c:v>0.140625</c:v>
                </c:pt>
                <c:pt idx="12">
                  <c:v>0.16326530612244897</c:v>
                </c:pt>
                <c:pt idx="13">
                  <c:v>0.1891891891891892</c:v>
                </c:pt>
                <c:pt idx="14">
                  <c:v>0.1891891891891892</c:v>
                </c:pt>
                <c:pt idx="15">
                  <c:v>0.1891891891891892</c:v>
                </c:pt>
                <c:pt idx="16">
                  <c:v>0.14285714285714285</c:v>
                </c:pt>
                <c:pt idx="17">
                  <c:v>0.13793103448275862</c:v>
                </c:pt>
                <c:pt idx="18">
                  <c:v>0.16666666666666666</c:v>
                </c:pt>
                <c:pt idx="19">
                  <c:v>0.18181818181818182</c:v>
                </c:pt>
                <c:pt idx="20">
                  <c:v>0.2857142857142857</c:v>
                </c:pt>
                <c:pt idx="21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42-4542-A54E-F64E5BA2B1B4}"/>
            </c:ext>
          </c:extLst>
        </c:ser>
        <c:ser>
          <c:idx val="3"/>
          <c:order val="3"/>
          <c:tx>
            <c:strRef>
              <c:f>'Classe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7'!$B$21:$W$21</c:f>
              <c:numCache>
                <c:formatCode>0%</c:formatCode>
                <c:ptCount val="22"/>
                <c:pt idx="0">
                  <c:v>1</c:v>
                </c:pt>
                <c:pt idx="1">
                  <c:v>0.92156862745098034</c:v>
                </c:pt>
                <c:pt idx="2">
                  <c:v>0.92156862745098034</c:v>
                </c:pt>
                <c:pt idx="3">
                  <c:v>0.92156862745098034</c:v>
                </c:pt>
                <c:pt idx="4">
                  <c:v>0.89215686274509809</c:v>
                </c:pt>
                <c:pt idx="5">
                  <c:v>0.76470588235294112</c:v>
                </c:pt>
                <c:pt idx="6">
                  <c:v>0.72549019607843135</c:v>
                </c:pt>
                <c:pt idx="7">
                  <c:v>0.66666666666666663</c:v>
                </c:pt>
                <c:pt idx="8">
                  <c:v>0.66666666666666663</c:v>
                </c:pt>
                <c:pt idx="9">
                  <c:v>0.66666666666666663</c:v>
                </c:pt>
                <c:pt idx="10">
                  <c:v>0.60784313725490191</c:v>
                </c:pt>
                <c:pt idx="11">
                  <c:v>0.53921568627450978</c:v>
                </c:pt>
                <c:pt idx="12">
                  <c:v>0.40196078431372551</c:v>
                </c:pt>
                <c:pt idx="13">
                  <c:v>0.29411764705882354</c:v>
                </c:pt>
                <c:pt idx="14">
                  <c:v>0.29411764705882354</c:v>
                </c:pt>
                <c:pt idx="15">
                  <c:v>0.29411764705882354</c:v>
                </c:pt>
                <c:pt idx="16">
                  <c:v>0.29411764705882354</c:v>
                </c:pt>
                <c:pt idx="17">
                  <c:v>0.24509803921568626</c:v>
                </c:pt>
                <c:pt idx="18">
                  <c:v>0.14705882352941177</c:v>
                </c:pt>
                <c:pt idx="19">
                  <c:v>8.8235294117647065E-2</c:v>
                </c:pt>
                <c:pt idx="20">
                  <c:v>4.9019607843137254E-2</c:v>
                </c:pt>
                <c:pt idx="21">
                  <c:v>4.9019607843137254E-2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42-4542-A54E-F64E5BA2B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7'!$A$24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7'!$B$24:$W$24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F-4AA6-971B-0CD7F4E92AC8}"/>
            </c:ext>
          </c:extLst>
        </c:ser>
        <c:ser>
          <c:idx val="1"/>
          <c:order val="1"/>
          <c:tx>
            <c:strRef>
              <c:f>'Classe 7'!$A$25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7'!$B$25:$W$25</c:f>
              <c:numCache>
                <c:formatCode>General</c:formatCode>
                <c:ptCount val="22"/>
                <c:pt idx="0">
                  <c:v>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11</c:v>
                </c:pt>
                <c:pt idx="5">
                  <c:v>24</c:v>
                </c:pt>
                <c:pt idx="6">
                  <c:v>28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40</c:v>
                </c:pt>
                <c:pt idx="11">
                  <c:v>47</c:v>
                </c:pt>
                <c:pt idx="12">
                  <c:v>61</c:v>
                </c:pt>
                <c:pt idx="13">
                  <c:v>72</c:v>
                </c:pt>
                <c:pt idx="14">
                  <c:v>72</c:v>
                </c:pt>
                <c:pt idx="15">
                  <c:v>72</c:v>
                </c:pt>
                <c:pt idx="16">
                  <c:v>72</c:v>
                </c:pt>
                <c:pt idx="17">
                  <c:v>77</c:v>
                </c:pt>
                <c:pt idx="18">
                  <c:v>87</c:v>
                </c:pt>
                <c:pt idx="19">
                  <c:v>93</c:v>
                </c:pt>
                <c:pt idx="20">
                  <c:v>97</c:v>
                </c:pt>
                <c:pt idx="21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F-4AA6-971B-0CD7F4E92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7'!$A$22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7'!$B$22:$W$22</c:f>
              <c:numCache>
                <c:formatCode>0%</c:formatCode>
                <c:ptCount val="22"/>
                <c:pt idx="0">
                  <c:v>0.15</c:v>
                </c:pt>
                <c:pt idx="1">
                  <c:v>0.16071428571428573</c:v>
                </c:pt>
                <c:pt idx="2">
                  <c:v>0.15315315315315314</c:v>
                </c:pt>
                <c:pt idx="3">
                  <c:v>0.15315315315315314</c:v>
                </c:pt>
                <c:pt idx="4">
                  <c:v>0.14150943396226415</c:v>
                </c:pt>
                <c:pt idx="5">
                  <c:v>0.15217391304347827</c:v>
                </c:pt>
                <c:pt idx="6">
                  <c:v>0.14942528735632185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0.1388888888888889</c:v>
                </c:pt>
                <c:pt idx="11">
                  <c:v>0.140625</c:v>
                </c:pt>
                <c:pt idx="12">
                  <c:v>0.16326530612244897</c:v>
                </c:pt>
                <c:pt idx="13">
                  <c:v>0.1891891891891892</c:v>
                </c:pt>
                <c:pt idx="14">
                  <c:v>0.1891891891891892</c:v>
                </c:pt>
                <c:pt idx="15">
                  <c:v>0.1891891891891892</c:v>
                </c:pt>
                <c:pt idx="16">
                  <c:v>0.14285714285714285</c:v>
                </c:pt>
                <c:pt idx="17">
                  <c:v>0.13793103448275862</c:v>
                </c:pt>
                <c:pt idx="18">
                  <c:v>0.16666666666666666</c:v>
                </c:pt>
                <c:pt idx="19">
                  <c:v>0.18181818181818182</c:v>
                </c:pt>
                <c:pt idx="20">
                  <c:v>0.2857142857142857</c:v>
                </c:pt>
                <c:pt idx="21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1F-4AA6-971B-0CD7F4E92AC8}"/>
            </c:ext>
          </c:extLst>
        </c:ser>
        <c:ser>
          <c:idx val="3"/>
          <c:order val="3"/>
          <c:tx>
            <c:strRef>
              <c:f>'Classe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7'!$B$21:$W$21</c:f>
              <c:numCache>
                <c:formatCode>0%</c:formatCode>
                <c:ptCount val="22"/>
                <c:pt idx="0">
                  <c:v>1</c:v>
                </c:pt>
                <c:pt idx="1">
                  <c:v>0.92156862745098034</c:v>
                </c:pt>
                <c:pt idx="2">
                  <c:v>0.92156862745098034</c:v>
                </c:pt>
                <c:pt idx="3">
                  <c:v>0.92156862745098034</c:v>
                </c:pt>
                <c:pt idx="4">
                  <c:v>0.89215686274509809</c:v>
                </c:pt>
                <c:pt idx="5">
                  <c:v>0.76470588235294112</c:v>
                </c:pt>
                <c:pt idx="6">
                  <c:v>0.72549019607843135</c:v>
                </c:pt>
                <c:pt idx="7">
                  <c:v>0.66666666666666663</c:v>
                </c:pt>
                <c:pt idx="8">
                  <c:v>0.66666666666666663</c:v>
                </c:pt>
                <c:pt idx="9">
                  <c:v>0.66666666666666663</c:v>
                </c:pt>
                <c:pt idx="10">
                  <c:v>0.60784313725490191</c:v>
                </c:pt>
                <c:pt idx="11">
                  <c:v>0.53921568627450978</c:v>
                </c:pt>
                <c:pt idx="12">
                  <c:v>0.40196078431372551</c:v>
                </c:pt>
                <c:pt idx="13">
                  <c:v>0.29411764705882354</c:v>
                </c:pt>
                <c:pt idx="14">
                  <c:v>0.29411764705882354</c:v>
                </c:pt>
                <c:pt idx="15">
                  <c:v>0.29411764705882354</c:v>
                </c:pt>
                <c:pt idx="16">
                  <c:v>0.29411764705882354</c:v>
                </c:pt>
                <c:pt idx="17">
                  <c:v>0.24509803921568626</c:v>
                </c:pt>
                <c:pt idx="18">
                  <c:v>0.14705882352941177</c:v>
                </c:pt>
                <c:pt idx="19">
                  <c:v>8.8235294117647065E-2</c:v>
                </c:pt>
                <c:pt idx="20">
                  <c:v>4.9019607843137254E-2</c:v>
                </c:pt>
                <c:pt idx="21">
                  <c:v>4.9019607843137254E-2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1F-4AA6-971B-0CD7F4E92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28</xdr:row>
      <xdr:rowOff>146050</xdr:rowOff>
    </xdr:from>
    <xdr:to>
      <xdr:col>8</xdr:col>
      <xdr:colOff>1010067</xdr:colOff>
      <xdr:row>68</xdr:row>
      <xdr:rowOff>53729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BDA734-E011-486F-A3D4-5A5D93826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1076742</xdr:colOff>
      <xdr:row>68</xdr:row>
      <xdr:rowOff>98179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DE2B6-5A2D-489C-97C7-D9C76F929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24</xdr:row>
      <xdr:rowOff>63500</xdr:rowOff>
    </xdr:from>
    <xdr:to>
      <xdr:col>7</xdr:col>
      <xdr:colOff>1248192</xdr:colOff>
      <xdr:row>63</xdr:row>
      <xdr:rowOff>161679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30529A-75C6-4834-9537-53520C80A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24</xdr:row>
      <xdr:rowOff>63500</xdr:rowOff>
    </xdr:from>
    <xdr:to>
      <xdr:col>7</xdr:col>
      <xdr:colOff>1248192</xdr:colOff>
      <xdr:row>63</xdr:row>
      <xdr:rowOff>161679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D22E5-61AB-48D9-B910-452DC9480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28</xdr:row>
      <xdr:rowOff>146050</xdr:rowOff>
    </xdr:from>
    <xdr:to>
      <xdr:col>8</xdr:col>
      <xdr:colOff>1010067</xdr:colOff>
      <xdr:row>68</xdr:row>
      <xdr:rowOff>53729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99CC8E-0476-450B-80C3-19D12D2AF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1076742</xdr:colOff>
      <xdr:row>68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6B3133-1134-4F9A-B1FF-2662EB58E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28</xdr:row>
      <xdr:rowOff>146050</xdr:rowOff>
    </xdr:from>
    <xdr:to>
      <xdr:col>8</xdr:col>
      <xdr:colOff>1010067</xdr:colOff>
      <xdr:row>68</xdr:row>
      <xdr:rowOff>53729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F4B2B-E53A-425F-8063-D2A2C45D8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1076742</xdr:colOff>
      <xdr:row>68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C5B218-AF5E-44EA-A497-B97104820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28</xdr:row>
      <xdr:rowOff>146050</xdr:rowOff>
    </xdr:from>
    <xdr:to>
      <xdr:col>8</xdr:col>
      <xdr:colOff>1010067</xdr:colOff>
      <xdr:row>68</xdr:row>
      <xdr:rowOff>53729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2707DB-391F-407F-B03D-67AD9879D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1076742</xdr:colOff>
      <xdr:row>68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C6597A-4622-4082-8D0A-7C504E0DE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28</xdr:row>
      <xdr:rowOff>146050</xdr:rowOff>
    </xdr:from>
    <xdr:to>
      <xdr:col>8</xdr:col>
      <xdr:colOff>1010067</xdr:colOff>
      <xdr:row>68</xdr:row>
      <xdr:rowOff>53729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388DD0-6A87-4648-8A9F-729BD10B6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1076742</xdr:colOff>
      <xdr:row>68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5E1A15-505F-49ED-B579-54C553C00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i, Sepehr" refreshedDate="45938.645723842594" createdVersion="8" refreshedVersion="8" minRefreshableVersion="3" recordCount="961" xr:uid="{687FFF08-AF14-4FBB-9749-37E7449933D6}">
  <cacheSource type="worksheet">
    <worksheetSource ref="A1:CK962" sheet="Data"/>
  </cacheSource>
  <cacheFields count="89">
    <cacheField name="POSIZIONE" numFmtId="0">
      <sharedItems containsSemiMixedTypes="0" containsString="0" containsNumber="1" containsInteger="1" minValue="329158" maxValue="360665"/>
    </cacheField>
    <cacheField name="CODICE" numFmtId="0">
      <sharedItems/>
    </cacheField>
    <cacheField name="DESCRIZIONE" numFmtId="0">
      <sharedItems/>
    </cacheField>
    <cacheField name="RILEVATA" numFmtId="164">
      <sharedItems containsSemiMixedTypes="0" containsNonDate="0" containsDate="1" containsString="0" minDate="2025-04-02T00:00:00" maxDate="2025-07-02T00:00:00"/>
    </cacheField>
    <cacheField name="INTERMEDIARIO" numFmtId="0">
      <sharedItems containsSemiMixedTypes="0" containsString="0" containsNumber="1" containsInteger="1" minValue="53850" maxValue="53850"/>
    </cacheField>
    <cacheField name="DIPENDENZA" numFmtId="0">
      <sharedItems containsSemiMixedTypes="0" containsString="0" containsNumber="1" containsInteger="1" minValue="99" maxValue="287"/>
    </cacheField>
    <cacheField name="IN CARICO A" numFmtId="0">
      <sharedItems/>
    </cacheField>
    <cacheField name="SISTEMA AR" numFmtId="0">
      <sharedItems/>
    </cacheField>
    <cacheField name="STATO" numFmtId="0">
      <sharedItems/>
    </cacheField>
    <cacheField name="INDICE PREDITTIVO" numFmtId="0">
      <sharedItems containsNonDate="0" containsString="0" containsBlank="1"/>
    </cacheField>
    <cacheField name="REGISTRAZIONE" numFmtId="0">
      <sharedItems containsMixedTypes="1" containsNumber="1" containsInteger="1" minValue="202504017856853" maxValue="202506308141975"/>
    </cacheField>
    <cacheField name="NUMERO RAPPORTO" numFmtId="0">
      <sharedItems containsSemiMixedTypes="0" containsString="0" containsNumber="1" containsInteger="1" minValue="999361870311" maxValue="2873300000860"/>
    </cacheField>
    <cacheField name="DATA OPERAZIONE" numFmtId="0">
      <sharedItems containsSemiMixedTypes="0" containsString="0" containsNumber="1" containsInteger="1" minValue="20250401" maxValue="20250630"/>
    </cacheField>
    <cacheField name="CAUSALE ANALITICA" numFmtId="0">
      <sharedItems count="34">
        <s v="SPECIAL"/>
        <s v="48 - Bonifico in arrivo"/>
        <s v="15 - Rimborso finanziamenti"/>
        <s v="26 - Bonifico in partenza"/>
        <s v="31 - Effetti ritirati"/>
        <s v="A7 - Erogazione finanziamenti diversi e prestiti personali"/>
        <s v="13 - Addebito per estinzione assegno"/>
        <s v="BB - Acquisto a pronti titoli e diritti d'opzione"/>
        <s v="39 - Disposizione per emolumenti"/>
        <s v="10 - Emisione assegni circolari e titoli similari vaglia"/>
        <s v="27 - Emolumenti"/>
        <s v="25 - Pagamento di documenti su Italia"/>
        <s v="BL - Rimborso finanziamento import"/>
        <s v="AF - Disp.giro conti diversi intestati ordinante(stesso intermed.)"/>
        <s v="C6 - Uscita dossier titoli a fronte c/c diversam.intestato(portatore)"/>
        <s v="50 - Pagamenti diversi"/>
        <s v="D7 - Addebito o incasso per contratti derivati"/>
        <s v="D6 - Accred.o incasso per contratti derivati"/>
        <s v="BT - Rimborso su libretti a risparmio"/>
        <s v="BU - Deposito su libretti a risparmio"/>
        <s v="BE - Sottoscrizione titoli e/o fondi comuni"/>
        <s v="BF - Rimborso titoli e/o fondi comuni"/>
        <s v="54 - Incassi diversi"/>
        <s v="52 - Prelevamento con moduli di sportello"/>
        <s v="BI - Erogazione finanziamento import"/>
        <s v="BQ - Pagam. rimesse docum. da o per estero"/>
        <s v="C4 - Trasferim.titoli a altro istituto(portatore)"/>
        <s v="C2 - Trasf.titoli tra dossier(immissione)"/>
        <s v="29 - Accrediti o incasso RI.BA."/>
        <s v="C5 - Immiss.dossier titoli a fronte c/c diversam.intestato(portatore)"/>
        <s v="AA - Bonifico da e per estero"/>
        <s v="BA - Vendita a prodotti titoli e diritti d'opzione"/>
        <s v="C1 - Trasferim.titoli tra dossier(uscita)"/>
        <s v="56 - Ricavo effetti o assegni in euro e/o valuta estera al dopo incasso"/>
      </sharedItems>
    </cacheField>
    <cacheField name="CAUSALE SINTETICA" numFmtId="0">
      <sharedItems containsNonDate="0" containsString="0" containsBlank="1"/>
    </cacheField>
    <cacheField name="PAESE INTERMED. CONTROP." numFmtId="0">
      <sharedItems containsBlank="1"/>
    </cacheField>
    <cacheField name="SEGNO" numFmtId="0">
      <sharedItems/>
    </cacheField>
    <cacheField name="IMPORTO" numFmtId="0">
      <sharedItems containsSemiMixedTypes="0" containsString="0" containsNumber="1" minValue="1000" maxValue="75195700.159999996"/>
    </cacheField>
    <cacheField name="DI CUI CONTANTE" numFmtId="0">
      <sharedItems containsSemiMixedTypes="0" containsString="0" containsNumber="1" minValue="0" maxValue="1078.94"/>
    </cacheField>
    <cacheField name="TITOLARE NDG" numFmtId="0">
      <sharedItems containsSemiMixedTypes="0" containsString="0" containsNumber="1" containsInteger="1" minValue="4019" maxValue="4996689"/>
    </cacheField>
    <cacheField name="CODICE FISCALE" numFmtId="0">
      <sharedItems containsBlank="1" containsMixedTypes="1" containsNumber="1" containsInteger="1" minValue="55560775" maxValue="92008910637"/>
    </cacheField>
    <cacheField name="COGNOME E NOME / RAGIONE SOCIALE" numFmtId="0">
      <sharedItems/>
    </cacheField>
    <cacheField name="D21 SAE" numFmtId="0">
      <sharedItems/>
    </cacheField>
    <cacheField name="D22 ATECO" numFmtId="0">
      <sharedItems containsBlank="1"/>
    </cacheField>
    <cacheField name="PAESE RESIDENZA" numFmtId="0">
      <sharedItems/>
    </cacheField>
    <cacheField name="GESTORE" numFmtId="0">
      <sharedItems containsString="0" containsBlank="1" containsNumber="1" containsInteger="1" minValue="363" maxValue="1961"/>
    </cacheField>
    <cacheField name="STATO VALUTAZIONE" numFmtId="0">
      <sharedItems containsNonDate="0" containsString="0" containsBlank="1"/>
    </cacheField>
    <cacheField name="ID ECCEZIONE" numFmtId="0">
      <sharedItems containsNonDate="0" containsString="0" containsBlank="1"/>
    </cacheField>
    <cacheField name="DATA ULT. VALUTAZIONE" numFmtId="0">
      <sharedItems containsNonDate="0" containsString="0" containsBlank="1"/>
    </cacheField>
    <cacheField name="UFFICIO" numFmtId="0">
      <sharedItems containsNonDate="0" containsString="0" containsBlank="1"/>
    </cacheField>
    <cacheField name="AUTORE" numFmtId="0">
      <sharedItems containsNonDate="0" containsString="0" containsBlank="1"/>
    </cacheField>
    <cacheField name="ULTIMA VALUTAZIONE" numFmtId="0">
      <sharedItems containsNonDate="0" containsString="0" containsBlank="1"/>
    </cacheField>
    <cacheField name="PRESENZA ALLEGATI" numFmtId="0">
      <sharedItems containsNonDate="0" containsString="0" containsBlank="1"/>
    </cacheField>
    <cacheField name="ALTRE VALUTAZIONI" numFmtId="0">
      <sharedItems containsSemiMixedTypes="0" containsString="0" containsNumber="1" containsInteger="1" minValue="0" maxValue="0"/>
    </cacheField>
    <cacheField name="ANNOMESE" numFmtId="0">
      <sharedItems containsSemiMixedTypes="0" containsString="0" containsNumber="1" containsInteger="1" minValue="202504" maxValue="202506"/>
    </cacheField>
    <cacheField name="Stato2" numFmtId="0">
      <sharedItems containsBlank="1"/>
    </cacheField>
    <cacheField name="flag_stato" numFmtId="0">
      <sharedItems containsSemiMixedTypes="0" containsString="0" containsNumber="1" containsInteger="1" minValue="0" maxValue="1" count="2">
        <n v="0"/>
        <n v="1"/>
      </sharedItems>
    </cacheField>
    <cacheField name="flg_SCEN_IN_USO" numFmtId="0">
      <sharedItems containsSemiMixedTypes="0" containsString="0" containsNumber="1" containsInteger="1" minValue="1" maxValue="1"/>
    </cacheField>
    <cacheField name="CDG" numFmtId="0">
      <sharedItems containsNonDate="0" containsString="0" containsBlank="1"/>
    </cacheField>
    <cacheField name="flag_OggValut" numFmtId="0">
      <sharedItems containsNonDate="0" containsString="0" containsBlank="1"/>
    </cacheField>
    <cacheField name="flag_anom_causale" numFmtId="0">
      <sharedItems containsSemiMixedTypes="0" containsString="0" containsNumber="1" containsInteger="1" minValue="0" maxValue="1"/>
    </cacheField>
    <cacheField name="ATECO_CODE" numFmtId="0">
      <sharedItems containsSemiMixedTypes="0" containsString="0" containsNumber="1" containsInteger="1" minValue="236" maxValue="999"/>
    </cacheField>
    <cacheField name="SAE_CODE" numFmtId="0">
      <sharedItems containsSemiMixedTypes="0" containsString="0" containsNumber="1" containsInteger="1" minValue="102" maxValue="775"/>
    </cacheField>
    <cacheField name="SAE_ATECO_CODE" numFmtId="0">
      <sharedItems containsSemiMixedTypes="0" containsString="0" containsNumber="1" containsInteger="1" minValue="102999" maxValue="775999"/>
    </cacheField>
    <cacheField name="Classe_old" numFmtId="0">
      <sharedItems containsBlank="1"/>
    </cacheField>
    <cacheField name="RES_ATECO" numFmtId="0">
      <sharedItems containsString="0" containsBlank="1" containsNumber="1" containsInteger="1" minValue="1" maxValue="1"/>
    </cacheField>
    <cacheField name="Classe" numFmtId="0">
      <sharedItems count="7">
        <s v="Classe di rischio 0"/>
        <s v="Classe di rischio 7"/>
        <s v="Classe di rischio 4"/>
        <s v="Classe di rischio 1"/>
        <s v="Classe di rischio 3"/>
        <s v="Classe di rischio 2"/>
        <s v="Classe di rischio 6"/>
      </sharedItems>
    </cacheField>
    <cacheField name="Percentile_00" numFmtId="0">
      <sharedItems containsString="0" containsBlank="1" containsNumber="1" minValue="1004.79" maxValue="15000000"/>
    </cacheField>
    <cacheField name="Percentile_05" numFmtId="0">
      <sharedItems containsString="0" containsBlank="1" containsNumber="1" minValue="1022.5295" maxValue="15000000"/>
    </cacheField>
    <cacheField name="Percentile_10" numFmtId="0">
      <sharedItems containsString="0" containsBlank="1" containsNumber="1" minValue="1032.5340000000001" maxValue="15000000"/>
    </cacheField>
    <cacheField name="Percentile_15" numFmtId="0">
      <sharedItems containsString="0" containsBlank="1" containsNumber="1" minValue="1093.4939999999999" maxValue="15000000"/>
    </cacheField>
    <cacheField name="Percentile_20" numFmtId="0">
      <sharedItems containsString="0" containsBlank="1" containsNumber="1" minValue="1160.46" maxValue="15000000"/>
    </cacheField>
    <cacheField name="Percentile_25" numFmtId="0">
      <sharedItems containsString="0" containsBlank="1" containsNumber="1" minValue="1198.615" maxValue="15000000"/>
    </cacheField>
    <cacheField name="Percentile_30" numFmtId="0">
      <sharedItems containsString="0" containsBlank="1" containsNumber="1" minValue="1236.346" maxValue="15000000"/>
    </cacheField>
    <cacheField name="Percentile_35" numFmtId="0">
      <sharedItems containsString="0" containsBlank="1" containsNumber="1" minValue="1329.982" maxValue="15000000"/>
    </cacheField>
    <cacheField name="Percentile_40" numFmtId="0">
      <sharedItems containsString="0" containsBlank="1" containsNumber="1" minValue="1462.298" maxValue="15000000"/>
    </cacheField>
    <cacheField name="Percentile_45" numFmtId="0">
      <sharedItems containsString="0" containsBlank="1" containsNumber="1" minValue="1576.251" maxValue="15000000"/>
    </cacheField>
    <cacheField name="Percentile_50" numFmtId="0">
      <sharedItems containsString="0" containsBlank="1" containsNumber="1" minValue="1740.5650000000001" maxValue="15000000"/>
    </cacheField>
    <cacheField name="Percentile_55" numFmtId="0">
      <sharedItems containsString="0" containsBlank="1" containsNumber="1" minValue="1870.8030000000001" maxValue="15000000"/>
    </cacheField>
    <cacheField name="Percentile_60" numFmtId="0">
      <sharedItems containsString="0" containsBlank="1" containsNumber="1" minValue="1911.9860000000001" maxValue="15000000"/>
    </cacheField>
    <cacheField name="Percentile_65" numFmtId="0">
      <sharedItems containsString="0" containsBlank="1" containsNumber="1" minValue="2001.66" maxValue="15000000"/>
    </cacheField>
    <cacheField name="Percentile_70" numFmtId="0">
      <sharedItems containsString="0" containsBlank="1" containsNumber="1" minValue="2015.43" maxValue="15000000"/>
    </cacheField>
    <cacheField name="Percentile_75" numFmtId="0">
      <sharedItems containsString="0" containsBlank="1" containsNumber="1" minValue="2053.8674999999998" maxValue="15000000"/>
    </cacheField>
    <cacheField name="Percentile_80" numFmtId="0">
      <sharedItems containsString="0" containsBlank="1" containsNumber="1" minValue="2113.5100000000002" maxValue="15000000"/>
    </cacheField>
    <cacheField name="Percentile_85" numFmtId="0">
      <sharedItems containsString="0" containsBlank="1" containsNumber="1" minValue="2273.3445000000002" maxValue="15000000"/>
    </cacheField>
    <cacheField name="Percentile_90" numFmtId="0">
      <sharedItems containsString="0" containsBlank="1" containsNumber="1" minValue="13659.61300000003" maxValue="15000000"/>
    </cacheField>
    <cacheField name="Percentile_95" numFmtId="0">
      <sharedItems containsString="0" containsBlank="1" containsNumber="1" minValue="40752.654000000002" maxValue="15000000"/>
    </cacheField>
    <cacheField name="Percentile_100" numFmtId="0">
      <sharedItems containsString="0" containsBlank="1" containsNumber="1" minValue="42791.93" maxValue="15500000"/>
    </cacheField>
    <cacheField name="flag_Percentile_00" numFmtId="0">
      <sharedItems containsSemiMixedTypes="0" containsString="0" containsNumber="1" containsInteger="1" minValue="0" maxValue="1"/>
    </cacheField>
    <cacheField name="flag_Percentile_05" numFmtId="0">
      <sharedItems containsSemiMixedTypes="0" containsString="0" containsNumber="1" containsInteger="1" minValue="0" maxValue="1"/>
    </cacheField>
    <cacheField name="flag_Percentile_10" numFmtId="0">
      <sharedItems containsSemiMixedTypes="0" containsString="0" containsNumber="1" containsInteger="1" minValue="0" maxValue="1"/>
    </cacheField>
    <cacheField name="flag_Percentile_15" numFmtId="0">
      <sharedItems containsSemiMixedTypes="0" containsString="0" containsNumber="1" containsInteger="1" minValue="0" maxValue="1"/>
    </cacheField>
    <cacheField name="flag_Percentile_20" numFmtId="0">
      <sharedItems containsSemiMixedTypes="0" containsString="0" containsNumber="1" containsInteger="1" minValue="0" maxValue="1"/>
    </cacheField>
    <cacheField name="flag_Percentile_25" numFmtId="0">
      <sharedItems containsSemiMixedTypes="0" containsString="0" containsNumber="1" containsInteger="1" minValue="0" maxValue="1"/>
    </cacheField>
    <cacheField name="flag_Percentile_30" numFmtId="0">
      <sharedItems containsSemiMixedTypes="0" containsString="0" containsNumber="1" containsInteger="1" minValue="0" maxValue="1"/>
    </cacheField>
    <cacheField name="flag_Percentile_35" numFmtId="0">
      <sharedItems containsSemiMixedTypes="0" containsString="0" containsNumber="1" containsInteger="1" minValue="0" maxValue="1"/>
    </cacheField>
    <cacheField name="flag_Percentile_40" numFmtId="0">
      <sharedItems containsSemiMixedTypes="0" containsString="0" containsNumber="1" containsInteger="1" minValue="0" maxValue="1"/>
    </cacheField>
    <cacheField name="flag_Percentile_45" numFmtId="0">
      <sharedItems containsSemiMixedTypes="0" containsString="0" containsNumber="1" containsInteger="1" minValue="0" maxValue="1"/>
    </cacheField>
    <cacheField name="flag_Percentile_50" numFmtId="0">
      <sharedItems containsSemiMixedTypes="0" containsString="0" containsNumber="1" containsInteger="1" minValue="0" maxValue="1"/>
    </cacheField>
    <cacheField name="flag_Percentile_55" numFmtId="0">
      <sharedItems containsSemiMixedTypes="0" containsString="0" containsNumber="1" containsInteger="1" minValue="0" maxValue="1"/>
    </cacheField>
    <cacheField name="flag_Percentile_60" numFmtId="0">
      <sharedItems containsSemiMixedTypes="0" containsString="0" containsNumber="1" containsInteger="1" minValue="0" maxValue="1"/>
    </cacheField>
    <cacheField name="flag_Percentile_65" numFmtId="0">
      <sharedItems containsSemiMixedTypes="0" containsString="0" containsNumber="1" containsInteger="1" minValue="0" maxValue="1"/>
    </cacheField>
    <cacheField name="flag_Percentile_70" numFmtId="0">
      <sharedItems containsSemiMixedTypes="0" containsString="0" containsNumber="1" containsInteger="1" minValue="0" maxValue="1"/>
    </cacheField>
    <cacheField name="flag_Percentile_75" numFmtId="0">
      <sharedItems containsSemiMixedTypes="0" containsString="0" containsNumber="1" containsInteger="1" minValue="0" maxValue="1"/>
    </cacheField>
    <cacheField name="flag_Percentile_80" numFmtId="0">
      <sharedItems containsSemiMixedTypes="0" containsString="0" containsNumber="1" containsInteger="1" minValue="0" maxValue="1"/>
    </cacheField>
    <cacheField name="flag_Percentile_85" numFmtId="0">
      <sharedItems containsSemiMixedTypes="0" containsString="0" containsNumber="1" containsInteger="1" minValue="0" maxValue="1"/>
    </cacheField>
    <cacheField name="flag_Percentile_90" numFmtId="0">
      <sharedItems containsSemiMixedTypes="0" containsString="0" containsNumber="1" containsInteger="1" minValue="0" maxValue="1"/>
    </cacheField>
    <cacheField name="flag_Percentile_95" numFmtId="0">
      <sharedItems containsSemiMixedTypes="0" containsString="0" containsNumber="1" containsInteger="1" minValue="0" maxValue="1"/>
    </cacheField>
    <cacheField name="flag_Percentile_100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i, Sepehr" refreshedDate="45950.509423263888" createdVersion="8" refreshedVersion="8" minRefreshableVersion="3" recordCount="500" xr:uid="{49A5CF08-B189-4926-8470-6446C99EC106}">
  <cacheSource type="worksheet">
    <worksheetSource ref="A1:CK501" sheet="Data"/>
  </cacheSource>
  <cacheFields count="89">
    <cacheField name="POSIZIONE" numFmtId="0">
      <sharedItems containsSemiMixedTypes="0" containsString="0" containsNumber="1" containsInteger="1" minValue="329157" maxValue="360667"/>
    </cacheField>
    <cacheField name="CODICE" numFmtId="0">
      <sharedItems/>
    </cacheField>
    <cacheField name="DESCRIZIONE" numFmtId="0">
      <sharedItems/>
    </cacheField>
    <cacheField name="RILEVATA" numFmtId="164">
      <sharedItems containsSemiMixedTypes="0" containsNonDate="0" containsDate="1" containsString="0" minDate="2025-04-02T00:00:00" maxDate="2025-07-02T00:00:00"/>
    </cacheField>
    <cacheField name="INTERMEDIARIO" numFmtId="0">
      <sharedItems containsSemiMixedTypes="0" containsString="0" containsNumber="1" containsInteger="1" minValue="53850" maxValue="53850"/>
    </cacheField>
    <cacheField name="DIPENDENZA" numFmtId="0">
      <sharedItems containsSemiMixedTypes="0" containsString="0" containsNumber="1" containsInteger="1" minValue="102" maxValue="287"/>
    </cacheField>
    <cacheField name="IN CARICO A" numFmtId="0">
      <sharedItems/>
    </cacheField>
    <cacheField name="SISTEMA AR" numFmtId="0">
      <sharedItems/>
    </cacheField>
    <cacheField name="STATO" numFmtId="0">
      <sharedItems/>
    </cacheField>
    <cacheField name="INDICE PREDITTIVO" numFmtId="0">
      <sharedItems containsNonDate="0" containsString="0" containsBlank="1"/>
    </cacheField>
    <cacheField name="REGISTRAZIONE" numFmtId="0">
      <sharedItems containsMixedTypes="1" containsNumber="1" containsInteger="1" minValue="202504017860017" maxValue="202506308142448"/>
    </cacheField>
    <cacheField name="NUMERO RAPPORTO" numFmtId="0">
      <sharedItems containsSemiMixedTypes="0" containsString="0" containsNumber="1" containsInteger="1" minValue="1023300055260" maxValue="2873300001853"/>
    </cacheField>
    <cacheField name="DATA OPERAZIONE" numFmtId="0">
      <sharedItems containsSemiMixedTypes="0" containsString="0" containsNumber="1" containsInteger="1" minValue="20250401" maxValue="20250630"/>
    </cacheField>
    <cacheField name="CAUSALE ANALITICA" numFmtId="0">
      <sharedItems count="7">
        <s v="VV"/>
        <s v="G1 - Versamento assegni tratti su altro intermediario"/>
        <s v="03 - Versamento contante cassa continua"/>
        <s v="G7 - Versamento assegno circolare altro intermediario"/>
        <s v="G8 - Versamento assegno circolare stesso intermediario"/>
        <s v="D1 - Versamento di contante"/>
        <s v="G2 - Versamento assegni tratti sullo stesso intermediario"/>
      </sharedItems>
    </cacheField>
    <cacheField name="CAUSALE SINTETICA" numFmtId="0">
      <sharedItems containsNonDate="0" containsString="0" containsBlank="1"/>
    </cacheField>
    <cacheField name="PAESE INTERMED. CONTROP." numFmtId="0">
      <sharedItems containsNonDate="0" containsString="0" containsBlank="1" count="1">
        <m/>
      </sharedItems>
    </cacheField>
    <cacheField name="SEGNO" numFmtId="0">
      <sharedItems/>
    </cacheField>
    <cacheField name="IMPORTO" numFmtId="0">
      <sharedItems containsSemiMixedTypes="0" containsString="0" containsNumber="1" minValue="37615" maxValue="1165788.52"/>
    </cacheField>
    <cacheField name="DI CUI CONTANTE" numFmtId="0">
      <sharedItems containsSemiMixedTypes="0" containsString="0" containsNumber="1" minValue="0" maxValue="515709.15"/>
    </cacheField>
    <cacheField name="TITOLARE NDG" numFmtId="0">
      <sharedItems containsSemiMixedTypes="0" containsString="0" containsNumber="1" containsInteger="1" minValue="1118" maxValue="4996910"/>
    </cacheField>
    <cacheField name="CODICE FISCALE" numFmtId="0">
      <sharedItems containsMixedTypes="1" containsNumber="1" containsInteger="1" minValue="233470236" maxValue="80221830583"/>
    </cacheField>
    <cacheField name="COGNOME E NOME / RAGIONE SOCIALE" numFmtId="0">
      <sharedItems/>
    </cacheField>
    <cacheField name="D21 SAE" numFmtId="0">
      <sharedItems/>
    </cacheField>
    <cacheField name="D22 ATECO" numFmtId="0">
      <sharedItems containsBlank="1"/>
    </cacheField>
    <cacheField name="PAESE RESIDENZA" numFmtId="0">
      <sharedItems/>
    </cacheField>
    <cacheField name="GESTORE" numFmtId="0">
      <sharedItems containsString="0" containsBlank="1" containsNumber="1" containsInteger="1" minValue="407" maxValue="1959"/>
    </cacheField>
    <cacheField name="STATO VALUTAZIONE" numFmtId="0">
      <sharedItems containsNonDate="0" containsString="0" containsBlank="1"/>
    </cacheField>
    <cacheField name="ID ECCEZIONE" numFmtId="0">
      <sharedItems containsNonDate="0" containsString="0" containsBlank="1"/>
    </cacheField>
    <cacheField name="DATA ULT. VALUTAZIONE" numFmtId="0">
      <sharedItems containsNonDate="0" containsString="0" containsBlank="1"/>
    </cacheField>
    <cacheField name="UFFICIO" numFmtId="0">
      <sharedItems containsNonDate="0" containsString="0" containsBlank="1"/>
    </cacheField>
    <cacheField name="AUTORE" numFmtId="0">
      <sharedItems containsNonDate="0" containsString="0" containsBlank="1"/>
    </cacheField>
    <cacheField name="ULTIMA VALUTAZIONE" numFmtId="0">
      <sharedItems containsNonDate="0" containsString="0" containsBlank="1"/>
    </cacheField>
    <cacheField name="PRESENZA ALLEGATI" numFmtId="0">
      <sharedItems containsNonDate="0" containsString="0" containsBlank="1"/>
    </cacheField>
    <cacheField name="ALTRE VALUTAZIONI" numFmtId="0">
      <sharedItems containsSemiMixedTypes="0" containsString="0" containsNumber="1" containsInteger="1" minValue="0" maxValue="0"/>
    </cacheField>
    <cacheField name="ANNOMESE" numFmtId="0">
      <sharedItems containsSemiMixedTypes="0" containsString="0" containsNumber="1" containsInteger="1" minValue="202504" maxValue="202506"/>
    </cacheField>
    <cacheField name="Stato2" numFmtId="0">
      <sharedItems containsBlank="1"/>
    </cacheField>
    <cacheField name="flag_stato" numFmtId="0">
      <sharedItems containsSemiMixedTypes="0" containsString="0" containsNumber="1" containsInteger="1" minValue="0" maxValue="1" count="2">
        <n v="1"/>
        <n v="0"/>
      </sharedItems>
    </cacheField>
    <cacheField name="flg_SCEN_IN_USO" numFmtId="0">
      <sharedItems containsSemiMixedTypes="0" containsString="0" containsNumber="1" containsInteger="1" minValue="1" maxValue="1"/>
    </cacheField>
    <cacheField name="CDG" numFmtId="0">
      <sharedItems containsString="0" containsBlank="1" containsNumber="1" containsInteger="1" minValue="1449" maxValue="4952440"/>
    </cacheField>
    <cacheField name="flag_OggValut" numFmtId="0">
      <sharedItems containsString="0" containsBlank="1" containsNumber="1" containsInteger="1" minValue="1" maxValue="1"/>
    </cacheField>
    <cacheField name="flag_anom_causale" numFmtId="0">
      <sharedItems containsSemiMixedTypes="0" containsString="0" containsNumber="1" containsInteger="1" minValue="0" maxValue="1"/>
    </cacheField>
    <cacheField name="ATECO_CODE" numFmtId="0">
      <sharedItems containsSemiMixedTypes="0" containsString="0" containsNumber="1" containsInteger="1" minValue="236" maxValue="999"/>
    </cacheField>
    <cacheField name="SAE_CODE" numFmtId="0">
      <sharedItems containsSemiMixedTypes="0" containsString="0" containsNumber="1" containsInteger="1" minValue="280" maxValue="615"/>
    </cacheField>
    <cacheField name="SAE_ATECO_CODE" numFmtId="0">
      <sharedItems containsSemiMixedTypes="0" containsString="0" containsNumber="1" containsInteger="1" minValue="280999" maxValue="615999"/>
    </cacheField>
    <cacheField name="Classe_old" numFmtId="0">
      <sharedItems containsBlank="1"/>
    </cacheField>
    <cacheField name="RES_ATECO" numFmtId="0">
      <sharedItems containsString="0" containsBlank="1" containsNumber="1" containsInteger="1" minValue="1" maxValue="1"/>
    </cacheField>
    <cacheField name="Classe" numFmtId="0">
      <sharedItems count="8">
        <s v="Classe di rischio 1"/>
        <s v="Classe di rischio 7"/>
        <s v="Classe di rischio 4"/>
        <s v="Classe di rischio 3"/>
        <s v="Classe di rischio 2"/>
        <s v="Classe di rischio 5"/>
        <s v="Classe di rischio 6"/>
        <s v="Classe di rischio 0"/>
      </sharedItems>
    </cacheField>
    <cacheField name="Percentile_00" numFmtId="0">
      <sharedItems containsSemiMixedTypes="0" containsString="0" containsNumber="1" minValue="37615" maxValue="331000"/>
    </cacheField>
    <cacheField name="Percentile_05" numFmtId="0">
      <sharedItems containsSemiMixedTypes="0" containsString="0" containsNumber="1" minValue="38129.25" maxValue="331000"/>
    </cacheField>
    <cacheField name="Percentile_10" numFmtId="0">
      <sharedItems containsSemiMixedTypes="0" containsString="0" containsNumber="1" minValue="38617" maxValue="331000"/>
    </cacheField>
    <cacheField name="Percentile_15" numFmtId="0">
      <sharedItems containsSemiMixedTypes="0" containsString="0" containsNumber="1" minValue="38985.5" maxValue="331000"/>
    </cacheField>
    <cacheField name="Percentile_20" numFmtId="0">
      <sharedItems containsSemiMixedTypes="0" containsString="0" containsNumber="1" minValue="39276" maxValue="331000"/>
    </cacheField>
    <cacheField name="Percentile_25" numFmtId="0">
      <sharedItems containsSemiMixedTypes="0" containsString="0" containsNumber="1" minValue="39430" maxValue="331000"/>
    </cacheField>
    <cacheField name="Percentile_30" numFmtId="0">
      <sharedItems containsSemiMixedTypes="0" containsString="0" containsNumber="1" minValue="39650" maxValue="331000"/>
    </cacheField>
    <cacheField name="Percentile_35" numFmtId="0">
      <sharedItems containsSemiMixedTypes="0" containsString="0" containsNumber="1" minValue="39925" maxValue="331000"/>
    </cacheField>
    <cacheField name="Percentile_40" numFmtId="0">
      <sharedItems containsSemiMixedTypes="0" containsString="0" containsNumber="1" minValue="40004" maxValue="331000"/>
    </cacheField>
    <cacheField name="Percentile_45" numFmtId="0">
      <sharedItems containsSemiMixedTypes="0" containsString="0" containsNumber="1" minValue="40009.5" maxValue="331000"/>
    </cacheField>
    <cacheField name="Percentile_50" numFmtId="0">
      <sharedItems containsSemiMixedTypes="0" containsString="0" containsNumber="1" minValue="40505" maxValue="331000"/>
    </cacheField>
    <cacheField name="Percentile_55" numFmtId="0">
      <sharedItems containsSemiMixedTypes="0" containsString="0" containsNumber="1" minValue="41243.25" maxValue="331000"/>
    </cacheField>
    <cacheField name="Percentile_60" numFmtId="0">
      <sharedItems containsSemiMixedTypes="0" containsString="0" containsNumber="1" minValue="43919" maxValue="331000"/>
    </cacheField>
    <cacheField name="Percentile_65" numFmtId="0">
      <sharedItems containsSemiMixedTypes="0" containsString="0" containsNumber="1" minValue="46035.25" maxValue="331000"/>
    </cacheField>
    <cacheField name="Percentile_70" numFmtId="0">
      <sharedItems containsSemiMixedTypes="0" containsString="0" containsNumber="1" minValue="46659.5" maxValue="331000"/>
    </cacheField>
    <cacheField name="Percentile_75" numFmtId="0">
      <sharedItems containsSemiMixedTypes="0" containsString="0" containsNumber="1" minValue="48836.25" maxValue="331000"/>
    </cacheField>
    <cacheField name="Percentile_80" numFmtId="0">
      <sharedItems containsSemiMixedTypes="0" containsString="0" containsNumber="1" minValue="52876.000000000007" maxValue="331000"/>
    </cacheField>
    <cacheField name="Percentile_85" numFmtId="0">
      <sharedItems containsSemiMixedTypes="0" containsString="0" containsNumber="1" minValue="56324.25" maxValue="331000"/>
    </cacheField>
    <cacheField name="Percentile_90" numFmtId="0">
      <sharedItems containsSemiMixedTypes="0" containsString="0" containsNumber="1" minValue="59434.5" maxValue="365407.64500000002"/>
    </cacheField>
    <cacheField name="Percentile_95" numFmtId="0">
      <sharedItems containsSemiMixedTypes="0" containsString="0" containsNumber="1" minValue="63675.005999999987" maxValue="415377.23"/>
    </cacheField>
    <cacheField name="Percentile_100" numFmtId="0">
      <sharedItems containsSemiMixedTypes="0" containsString="0" containsNumber="1" minValue="68166.679999999993" maxValue="515709.15"/>
    </cacheField>
    <cacheField name="flag_Percentile_00" numFmtId="0">
      <sharedItems containsSemiMixedTypes="0" containsString="0" containsNumber="1" containsInteger="1" minValue="0" maxValue="1"/>
    </cacheField>
    <cacheField name="flag_Percentile_05" numFmtId="0">
      <sharedItems containsSemiMixedTypes="0" containsString="0" containsNumber="1" containsInteger="1" minValue="0" maxValue="1"/>
    </cacheField>
    <cacheField name="flag_Percentile_10" numFmtId="0">
      <sharedItems containsSemiMixedTypes="0" containsString="0" containsNumber="1" containsInteger="1" minValue="0" maxValue="1"/>
    </cacheField>
    <cacheField name="flag_Percentile_15" numFmtId="0">
      <sharedItems containsSemiMixedTypes="0" containsString="0" containsNumber="1" containsInteger="1" minValue="0" maxValue="1"/>
    </cacheField>
    <cacheField name="flag_Percentile_20" numFmtId="0">
      <sharedItems containsSemiMixedTypes="0" containsString="0" containsNumber="1" containsInteger="1" minValue="0" maxValue="1"/>
    </cacheField>
    <cacheField name="flag_Percentile_25" numFmtId="0">
      <sharedItems containsSemiMixedTypes="0" containsString="0" containsNumber="1" containsInteger="1" minValue="0" maxValue="1"/>
    </cacheField>
    <cacheField name="flag_Percentile_30" numFmtId="0">
      <sharedItems containsSemiMixedTypes="0" containsString="0" containsNumber="1" containsInteger="1" minValue="0" maxValue="1"/>
    </cacheField>
    <cacheField name="flag_Percentile_35" numFmtId="0">
      <sharedItems containsSemiMixedTypes="0" containsString="0" containsNumber="1" containsInteger="1" minValue="0" maxValue="1"/>
    </cacheField>
    <cacheField name="flag_Percentile_40" numFmtId="0">
      <sharedItems containsSemiMixedTypes="0" containsString="0" containsNumber="1" containsInteger="1" minValue="0" maxValue="1"/>
    </cacheField>
    <cacheField name="flag_Percentile_45" numFmtId="0">
      <sharedItems containsSemiMixedTypes="0" containsString="0" containsNumber="1" containsInteger="1" minValue="0" maxValue="1"/>
    </cacheField>
    <cacheField name="flag_Percentile_50" numFmtId="0">
      <sharedItems containsSemiMixedTypes="0" containsString="0" containsNumber="1" containsInteger="1" minValue="0" maxValue="1"/>
    </cacheField>
    <cacheField name="flag_Percentile_55" numFmtId="0">
      <sharedItems containsSemiMixedTypes="0" containsString="0" containsNumber="1" containsInteger="1" minValue="0" maxValue="1"/>
    </cacheField>
    <cacheField name="flag_Percentile_60" numFmtId="0">
      <sharedItems containsSemiMixedTypes="0" containsString="0" containsNumber="1" containsInteger="1" minValue="0" maxValue="1"/>
    </cacheField>
    <cacheField name="flag_Percentile_65" numFmtId="0">
      <sharedItems containsSemiMixedTypes="0" containsString="0" containsNumber="1" containsInteger="1" minValue="0" maxValue="1"/>
    </cacheField>
    <cacheField name="flag_Percentile_70" numFmtId="0">
      <sharedItems containsSemiMixedTypes="0" containsString="0" containsNumber="1" containsInteger="1" minValue="0" maxValue="1"/>
    </cacheField>
    <cacheField name="flag_Percentile_75" numFmtId="0">
      <sharedItems containsSemiMixedTypes="0" containsString="0" containsNumber="1" containsInteger="1" minValue="0" maxValue="1"/>
    </cacheField>
    <cacheField name="flag_Percentile_80" numFmtId="0">
      <sharedItems containsSemiMixedTypes="0" containsString="0" containsNumber="1" containsInteger="1" minValue="0" maxValue="1"/>
    </cacheField>
    <cacheField name="flag_Percentile_85" numFmtId="0">
      <sharedItems containsSemiMixedTypes="0" containsString="0" containsNumber="1" containsInteger="1" minValue="0" maxValue="1"/>
    </cacheField>
    <cacheField name="flag_Percentile_90" numFmtId="0">
      <sharedItems containsSemiMixedTypes="0" containsString="0" containsNumber="1" containsInteger="1" minValue="0" maxValue="1"/>
    </cacheField>
    <cacheField name="flag_Percentile_95" numFmtId="0">
      <sharedItems containsSemiMixedTypes="0" containsString="0" containsNumber="1" containsInteger="1" minValue="0" maxValue="1"/>
    </cacheField>
    <cacheField name="flag_Percentile_100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1">
  <r>
    <n v="337726"/>
    <s v="14"/>
    <s v="Operazione per conto di importo elevato per la causale ed il soggetto"/>
    <d v="2025-05-01T00:00:00"/>
    <n v="53850"/>
    <n v="181"/>
    <s v="053850_181"/>
    <s v="Discovery Day"/>
    <s v="Mai valutato"/>
    <m/>
    <s v="202504306485623L"/>
    <n v="1813301029692"/>
    <n v="20250430"/>
    <x v="0"/>
    <m/>
    <m/>
    <s v="D     - Dare"/>
    <n v="1101.49"/>
    <n v="0"/>
    <n v="601835"/>
    <n v="83003310725"/>
    <s v="TRIBUNALE DI TRANI"/>
    <s v="102 - Amministrazione Statale e Organi Costituzionali"/>
    <m/>
    <s v="086 - ITALIA"/>
    <n v="1401"/>
    <m/>
    <m/>
    <m/>
    <m/>
    <m/>
    <m/>
    <m/>
    <n v="0"/>
    <n v="202504"/>
    <s v="ARCHIVIATA DA RPR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25"/>
    <s v="14"/>
    <s v="Operazione per conto di importo elevato per la causale ed il soggetto"/>
    <d v="2025-05-01T00:00:00"/>
    <n v="53850"/>
    <n v="284"/>
    <s v="053850_284"/>
    <s v="Discovery Day"/>
    <s v="Mai valutato"/>
    <m/>
    <n v="202504307937300"/>
    <n v="2843300000569"/>
    <n v="20250430"/>
    <x v="1"/>
    <m/>
    <s v="086 - ITALIA"/>
    <s v="A     - Avere"/>
    <n v="489643.2"/>
    <n v="0"/>
    <n v="1656943"/>
    <s v="DRZTTR67M02F205J"/>
    <s v="D'ORAZIO ETTORE"/>
    <s v="600 - Famiglie consumatrici"/>
    <m/>
    <s v="086 - ITALIA"/>
    <n v="1858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718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585202"/>
    <s v="CSTMGR44D55A881Q"/>
    <s v="CASTELLUCCIO MARIA GRAZIA"/>
    <s v="600 - Famiglie consumatrici"/>
    <m/>
    <s v="086 - ITALIA"/>
    <n v="900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17"/>
    <s v="14"/>
    <s v="Operazione per conto di importo elevato per la causale ed il soggetto"/>
    <d v="2025-05-01T00:00:00"/>
    <n v="53850"/>
    <n v="102"/>
    <s v="053850_102"/>
    <s v="Discovery Day"/>
    <s v="Mai valutato"/>
    <m/>
    <n v="202504307937013"/>
    <n v="1503300001880"/>
    <n v="20250430"/>
    <x v="1"/>
    <m/>
    <s v="086 - ITALIA"/>
    <s v="A     - Avere"/>
    <n v="1985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11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0"/>
    <n v="1503300001880"/>
    <n v="20250430"/>
    <x v="2"/>
    <m/>
    <m/>
    <s v="D     - Da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05"/>
    <s v="14"/>
    <s v="Operazione per conto di importo elevato per la causale ed il soggetto"/>
    <d v="2025-05-01T00:00:00"/>
    <n v="53850"/>
    <n v="185"/>
    <s v="053850_185"/>
    <s v="Discovery Day"/>
    <s v="Mai valutato"/>
    <m/>
    <n v="202504307940590"/>
    <n v="1873300110261"/>
    <n v="20250430"/>
    <x v="3"/>
    <m/>
    <s v="086 - ITALIA"/>
    <s v="D     - Dare"/>
    <n v="204000"/>
    <n v="0"/>
    <n v="4983089"/>
    <s v="SCMNCL81H02C352S"/>
    <s v="SCAMARDI' NICOLA"/>
    <s v="600 - Famiglie consumatrici"/>
    <m/>
    <s v="086 - ITALIA"/>
    <n v="1351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704"/>
    <s v="14"/>
    <s v="Operazione per conto di importo elevato per la causale ed il soggetto"/>
    <d v="2025-05-01T00:00:00"/>
    <n v="53850"/>
    <n v="125"/>
    <s v="053850_125"/>
    <s v="Discovery Day"/>
    <s v="Mai valutato"/>
    <m/>
    <n v="202504307938437"/>
    <n v="1253300010013"/>
    <n v="20250430"/>
    <x v="4"/>
    <m/>
    <m/>
    <s v="D     - Dare"/>
    <n v="498936.77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4"/>
    <s v="ARCHIVIATA DA RPR"/>
    <x v="0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02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29"/>
    <n v="1503300001880"/>
    <n v="20250430"/>
    <x v="5"/>
    <m/>
    <m/>
    <s v="A     - Ave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99"/>
    <s v="14"/>
    <s v="Operazione per conto di importo elevato per la causale ed il soggetto"/>
    <d v="2025-05-01T00:00:00"/>
    <n v="53850"/>
    <n v="102"/>
    <s v="053850_102"/>
    <s v="Discovery Day"/>
    <s v="Mai valutato"/>
    <m/>
    <n v="202504307936462"/>
    <n v="1023305127300"/>
    <n v="20250430"/>
    <x v="1"/>
    <m/>
    <s v="086 - ITALIA"/>
    <s v="A     - Avere"/>
    <n v="700000"/>
    <n v="0"/>
    <n v="588978"/>
    <s v="CHRFNC69P08A225J"/>
    <s v="CHIERICO FRANCESCO"/>
    <s v="600 - Famiglie consumatrici"/>
    <m/>
    <s v="086 - ITALIA"/>
    <n v="1335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696"/>
    <s v="14"/>
    <s v="Operazione per conto di importo elevato per la causale ed il soggetto"/>
    <d v="2025-05-01T00:00:00"/>
    <n v="53850"/>
    <n v="187"/>
    <s v="053850_187"/>
    <s v="Discovery Day"/>
    <s v="Mai valutato"/>
    <m/>
    <n v="202504307935837"/>
    <n v="999361870311"/>
    <n v="20250430"/>
    <x v="3"/>
    <m/>
    <s v="086 - ITALIA"/>
    <s v="D     - Dare"/>
    <n v="1431879.04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694"/>
    <s v="14"/>
    <s v="Operazione per conto di importo elevato per la causale ed il soggetto"/>
    <d v="2025-05-01T00:00:00"/>
    <n v="53850"/>
    <n v="171"/>
    <s v="053850_171"/>
    <s v="Discovery Day"/>
    <s v="Mai valutato"/>
    <m/>
    <n v="202504307938972"/>
    <n v="1713302213842"/>
    <n v="20250430"/>
    <x v="6"/>
    <m/>
    <m/>
    <s v="D     - Dare"/>
    <n v="1435143.29"/>
    <n v="0"/>
    <n v="4148505"/>
    <n v="5848860721"/>
    <s v="FORMAT DISTRIBUZIONE SOCIETA' A RESPONSABILITA' LIMITATA"/>
    <s v="430 - Imprese produttive"/>
    <s v="469 - COMMERCIO ALL'INGROSSO NON SPECIALIZZATO"/>
    <s v="086 - ITALIA"/>
    <n v="1903"/>
    <m/>
    <m/>
    <m/>
    <m/>
    <m/>
    <m/>
    <m/>
    <n v="0"/>
    <n v="202504"/>
    <s v="IN CARICO AL RESPONSABILE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90"/>
    <s v="14"/>
    <s v="Operazione per conto di importo elevato per la causale ed il soggetto"/>
    <d v="2025-05-01T00:00:00"/>
    <n v="53850"/>
    <n v="122"/>
    <s v="053850_122"/>
    <s v="Discovery Day"/>
    <s v="Mai valutato"/>
    <m/>
    <n v="202504307937213"/>
    <n v="1223300001682"/>
    <n v="20250430"/>
    <x v="1"/>
    <m/>
    <s v="086 - ITALIA"/>
    <s v="A     - Avere"/>
    <n v="802613.71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88"/>
    <s v="14"/>
    <s v="Operazione per conto di importo elevato per la causale ed il soggetto"/>
    <d v="2025-05-01T00:00:00"/>
    <n v="53850"/>
    <n v="122"/>
    <s v="053850_122"/>
    <s v="Discovery Day"/>
    <s v="Mai valutato"/>
    <m/>
    <n v="202504307936003"/>
    <n v="1223300001682"/>
    <n v="20250430"/>
    <x v="3"/>
    <m/>
    <s v="086 - ITALIA"/>
    <s v="D     - Dare"/>
    <n v="160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86"/>
    <s v="14"/>
    <s v="Operazione per conto di importo elevato per la causale ed il soggetto"/>
    <d v="2025-05-01T00:00:00"/>
    <n v="53850"/>
    <n v="102"/>
    <s v="053850_102"/>
    <s v="Discovery Day"/>
    <s v="Mai valutato"/>
    <m/>
    <n v="202504307935471"/>
    <n v="1503300001880"/>
    <n v="20250430"/>
    <x v="3"/>
    <m/>
    <s v="086 - ITALIA"/>
    <s v="D     - Da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85"/>
    <s v="14"/>
    <s v="Operazione per conto di importo elevato per la causale ed il soggetto"/>
    <d v="2025-05-01T00:00:00"/>
    <n v="53850"/>
    <n v="129"/>
    <s v="053850_129"/>
    <s v="Discovery Day"/>
    <s v="Mai valutato"/>
    <m/>
    <n v="202504307935568"/>
    <n v="1293300002289"/>
    <n v="20250430"/>
    <x v="3"/>
    <m/>
    <s v="086 - ITALIA"/>
    <s v="D     - Dare"/>
    <n v="2013000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81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4265205"/>
    <s v="SFRMCL81M12A662T"/>
    <s v="SFORZA MARCELLO"/>
    <s v="600 - Famiglie consumatrici"/>
    <m/>
    <s v="086 - ITALIA"/>
    <n v="900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80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3"/>
    <n v="1503300003188"/>
    <n v="20250430"/>
    <x v="5"/>
    <m/>
    <m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74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4035703"/>
    <s v="SFRNCL52E05L220G"/>
    <s v="SFORZA NICOLA"/>
    <s v="600 - Famiglie consumatrici"/>
    <m/>
    <s v="086 - ITALIA"/>
    <m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73"/>
    <s v="14"/>
    <s v="Operazione per conto di importo elevato per la causale ed il soggetto"/>
    <d v="2025-05-01T00:00:00"/>
    <n v="53850"/>
    <n v="106"/>
    <s v="053850_106"/>
    <s v="Discovery Day"/>
    <s v="Mai valutato"/>
    <m/>
    <n v="202504307936911"/>
    <n v="1063304235350"/>
    <n v="20250430"/>
    <x v="1"/>
    <m/>
    <s v="086 - ITALIA"/>
    <s v="A     - Avere"/>
    <n v="216020.67"/>
    <n v="0"/>
    <n v="423535"/>
    <s v="MRGNGL39C62F220E"/>
    <s v="MARGIOTTA ANGELA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67"/>
    <s v="14"/>
    <s v="Operazione per conto di importo elevato per la causale ed il soggetto"/>
    <d v="2025-05-01T00:00:00"/>
    <n v="53850"/>
    <n v="102"/>
    <s v="053850_102"/>
    <s v="Discovery Day"/>
    <s v="Mai valutato"/>
    <m/>
    <n v="202504307940079"/>
    <n v="1503300003188"/>
    <n v="20250430"/>
    <x v="3"/>
    <m/>
    <s v="086 - ITALIA"/>
    <s v="D     - Dare"/>
    <n v="155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66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2"/>
    <n v="1503300003188"/>
    <n v="20250430"/>
    <x v="2"/>
    <m/>
    <m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64"/>
    <s v="14"/>
    <s v="Operazione per conto di importo elevato per la causale ed il soggetto"/>
    <d v="2025-04-30T00:00:00"/>
    <n v="53850"/>
    <n v="105"/>
    <s v="053850_105"/>
    <s v="Discovery Day"/>
    <s v="Mai valutato"/>
    <m/>
    <n v="202504307934036"/>
    <n v="1053304343840"/>
    <n v="20250430"/>
    <x v="7"/>
    <m/>
    <m/>
    <s v="D     - Dare"/>
    <n v="427457.45"/>
    <n v="0"/>
    <n v="434384"/>
    <s v="LSTFPP52E45E038X"/>
    <s v="LOSITO FILIPPA"/>
    <s v="600 - Famiglie consumatrici"/>
    <m/>
    <s v="086 - ITALIA"/>
    <n v="8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63"/>
    <s v="14"/>
    <s v="Operazione per conto di importo elevato per la causale ed il soggetto"/>
    <d v="2025-04-30T00:00:00"/>
    <n v="53850"/>
    <n v="104"/>
    <s v="053850_104"/>
    <s v="Discovery Day"/>
    <s v="Mai valutato"/>
    <m/>
    <n v="202504307934033"/>
    <n v="1043301450345"/>
    <n v="20250430"/>
    <x v="7"/>
    <m/>
    <m/>
    <s v="D     - Dare"/>
    <n v="412290.63"/>
    <n v="0"/>
    <n v="448111"/>
    <s v="CNNCSG41A68C983C"/>
    <s v="CANNILLO CONSIGLIA"/>
    <s v="600 - Famiglie consumatrici"/>
    <m/>
    <s v="086 - ITALIA"/>
    <n v="1267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62"/>
    <s v="14"/>
    <s v="Operazione per conto di importo elevato per la causale ed il soggetto"/>
    <d v="2025-04-30T00:00:00"/>
    <n v="53850"/>
    <n v="102"/>
    <s v="053850_102"/>
    <s v="Discovery Day"/>
    <s v="Mai valutato"/>
    <m/>
    <n v="202504307934016"/>
    <n v="1023301520020"/>
    <n v="20250430"/>
    <x v="7"/>
    <m/>
    <m/>
    <s v="D     - Dare"/>
    <n v="496585.69"/>
    <n v="0"/>
    <n v="152002"/>
    <s v="LRSLNT59B27A225O"/>
    <s v="LORUSSO LUIGI ANTONIO"/>
    <s v="600 - Famiglie consumatrici"/>
    <m/>
    <s v="086 - ITALIA"/>
    <n v="1431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61"/>
    <s v="14"/>
    <s v="Operazione per conto di importo elevato per la causale ed il soggetto"/>
    <d v="2025-04-30T00:00:00"/>
    <n v="53850"/>
    <n v="273"/>
    <s v="053850_273"/>
    <s v="Discovery Day"/>
    <s v="Mai valutato"/>
    <m/>
    <n v="202504297932175"/>
    <n v="2733300004156"/>
    <n v="20250429"/>
    <x v="8"/>
    <m/>
    <m/>
    <s v="D     - Dare"/>
    <n v="1244683.1299999999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161775"/>
    <n v="1165920.4065"/>
    <n v="1170065.8130000001"/>
    <n v="1174211.2194999999"/>
    <n v="1178356.6259999999"/>
    <n v="1182502.0325"/>
    <n v="1186647.439"/>
    <n v="1190792.8455000001"/>
    <n v="1194938.2520000001"/>
    <n v="1199083.6584999999"/>
    <n v="1203229.0649999999"/>
    <n v="1207374.4715"/>
    <n v="1211519.878"/>
    <n v="1215665.2845000001"/>
    <n v="1219810.6910000001"/>
    <n v="1223956.0974999999"/>
    <n v="1228101.504"/>
    <n v="1232246.9105"/>
    <n v="1236392.317"/>
    <n v="1240537.7235000001"/>
    <n v="1244683.12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59"/>
    <s v="14"/>
    <s v="Operazione per conto di importo elevato per la causale ed il soggetto"/>
    <d v="2025-04-30T00:00:00"/>
    <n v="53850"/>
    <n v="178"/>
    <s v="053850_178"/>
    <s v="Discovery Day"/>
    <s v="Mai valutato"/>
    <m/>
    <n v="202504297935055"/>
    <n v="1783301004498"/>
    <n v="20250429"/>
    <x v="0"/>
    <m/>
    <m/>
    <s v="D     - Dare"/>
    <n v="47140.45"/>
    <n v="0"/>
    <n v="4891240"/>
    <s v="DGVNGL41D43A669C"/>
    <s v="DIGIOVANNI ANGELA"/>
    <s v="600 - Famiglie consumatrici"/>
    <m/>
    <s v="086 - ITALIA"/>
    <n v="193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58"/>
    <s v="14"/>
    <s v="Operazione per conto di importo elevato per la causale ed il soggetto"/>
    <d v="2025-04-30T00:00:00"/>
    <n v="53850"/>
    <n v="182"/>
    <s v="053850_182"/>
    <s v="Discovery Day"/>
    <s v="Mai valutato"/>
    <m/>
    <s v="202504296436702L"/>
    <n v="1825502404004"/>
    <n v="20250429"/>
    <x v="0"/>
    <m/>
    <m/>
    <s v="A     - Avere"/>
    <n v="1110"/>
    <n v="0"/>
    <n v="623025"/>
    <s v="MLNNNA30H47L049I"/>
    <s v="MALANDRINO ANNA"/>
    <s v="600 - Famiglie consumatrici"/>
    <m/>
    <s v="086 - ITALIA"/>
    <n v="619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49"/>
    <s v="14"/>
    <s v="Operazione per conto di importo elevato per la causale ed il soggetto"/>
    <d v="2025-04-30T00:00:00"/>
    <n v="53850"/>
    <n v="132"/>
    <s v="053850_132"/>
    <s v="Discovery Day"/>
    <s v="Mai valutato"/>
    <m/>
    <n v="202504297934869"/>
    <n v="1323300001832"/>
    <n v="20250429"/>
    <x v="9"/>
    <m/>
    <m/>
    <s v="D     - Dare"/>
    <n v="241080.41"/>
    <n v="0"/>
    <n v="4739352"/>
    <s v="CCCMRC92H22G942N"/>
    <s v="CUCCARESE MARCO"/>
    <s v="600 - Famiglie consumatrici"/>
    <m/>
    <s v="086 - ITALIA"/>
    <n v="1959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46"/>
    <s v="14"/>
    <s v="Operazione per conto di importo elevato per la causale ed il soggetto"/>
    <d v="2025-04-30T00:00:00"/>
    <n v="53850"/>
    <n v="267"/>
    <s v="053850_267"/>
    <s v="Discovery Day"/>
    <s v="Mai valutato"/>
    <m/>
    <s v="202504296443065L"/>
    <n v="2673300000887"/>
    <n v="20250429"/>
    <x v="0"/>
    <m/>
    <m/>
    <s v="D     - Dare"/>
    <n v="2186.4499999999998"/>
    <n v="0"/>
    <n v="1642509"/>
    <s v="DGGNCL26S19D253S"/>
    <s v="DE GIGLIO NICOL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44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709"/>
    <n v="1033306986058"/>
    <n v="20250429"/>
    <x v="3"/>
    <m/>
    <s v="086 - ITALIA"/>
    <s v="D     - Dare"/>
    <n v="220000"/>
    <n v="0"/>
    <n v="3741825"/>
    <s v="NDRGNT93P16E155L"/>
    <s v="ANDRISANI GIACINTO"/>
    <s v="600 - Famiglie consumatrici"/>
    <m/>
    <s v="086 - ITALIA"/>
    <n v="122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643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164"/>
    <n v="1033300209630"/>
    <n v="20250429"/>
    <x v="6"/>
    <m/>
    <m/>
    <s v="D     - Dare"/>
    <n v="300000"/>
    <n v="0"/>
    <n v="20963"/>
    <s v="CPLLCU45A01E155T"/>
    <s v="CAPOLONGO LUCA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641"/>
    <s v="14"/>
    <s v="Operazione per conto di importo elevato per la causale ed il soggetto"/>
    <d v="2025-04-30T00:00:00"/>
    <n v="53850"/>
    <n v="259"/>
    <s v="053850_259"/>
    <s v="Discovery Day"/>
    <s v="Mai valutato"/>
    <m/>
    <n v="202504297933563"/>
    <n v="2593300001020"/>
    <n v="20250429"/>
    <x v="1"/>
    <m/>
    <s v="086 - ITALIA"/>
    <s v="A     - Avere"/>
    <n v="7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37"/>
    <s v="14"/>
    <s v="Operazione per conto di importo elevato per la causale ed il soggetto"/>
    <d v="2025-04-30T00:00:00"/>
    <n v="53850"/>
    <n v="102"/>
    <s v="053850_102"/>
    <s v="Discovery Day"/>
    <s v="Mai valutato"/>
    <m/>
    <n v="202504297933562"/>
    <n v="1503300003188"/>
    <n v="20250429"/>
    <x v="1"/>
    <m/>
    <s v="086 - ITALIA"/>
    <s v="A     - Avere"/>
    <n v="15106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34"/>
    <s v="14"/>
    <s v="Operazione per conto di importo elevato per la causale ed il soggetto"/>
    <d v="2025-04-30T00:00:00"/>
    <n v="53850"/>
    <n v="264"/>
    <s v="053850_264"/>
    <s v="Discovery Day"/>
    <s v="Mai valutato"/>
    <m/>
    <n v="202504297933080"/>
    <n v="2643300000392"/>
    <n v="20250429"/>
    <x v="1"/>
    <m/>
    <s v="086 - ITALIA"/>
    <s v="A     - Avere"/>
    <n v="711234.48"/>
    <n v="0"/>
    <n v="1632767"/>
    <n v="1199090778"/>
    <s v="GENERAL COSTRUZIONI S.R.L."/>
    <s v="430 - Imprese produttive"/>
    <s v="412 - COSTRUZIONE DI EDIFICI RESIDENZIALI E NON RESIDENZIALI"/>
    <s v="086 - ITALIA"/>
    <n v="1926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33"/>
    <s v="14"/>
    <s v="Operazione per conto di importo elevato per la causale ed il soggetto"/>
    <d v="2025-04-30T00:00:00"/>
    <n v="53850"/>
    <n v="267"/>
    <s v="053850_267"/>
    <s v="Discovery Day"/>
    <s v="Mai valutato"/>
    <m/>
    <s v="202504296443065L"/>
    <n v="2673300000887"/>
    <n v="20250429"/>
    <x v="0"/>
    <m/>
    <m/>
    <s v="D     - Dare"/>
    <n v="2186.4499999999998"/>
    <n v="0"/>
    <n v="1642373"/>
    <s v="CNSTSN31A42D253I"/>
    <s v="IACONIS TERESIN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31"/>
    <s v="14"/>
    <s v="Operazione per conto di importo elevato per la causale ed il soggetto"/>
    <d v="2025-04-30T00:00:00"/>
    <n v="53850"/>
    <n v="178"/>
    <s v="053850_178"/>
    <s v="Discovery Day"/>
    <s v="Mai valutato"/>
    <m/>
    <n v="202504297935055"/>
    <n v="1783301004498"/>
    <n v="20250429"/>
    <x v="0"/>
    <m/>
    <m/>
    <s v="D     - Dare"/>
    <n v="47140.45"/>
    <n v="0"/>
    <n v="4891241"/>
    <s v="TDSNCL40E20A669R"/>
    <s v="TEDESCHI NICOLA"/>
    <s v="600 - Famiglie consumatrici"/>
    <m/>
    <s v="086 - ITALIA"/>
    <n v="193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29"/>
    <s v="14"/>
    <s v="Operazione per conto di importo elevato per la causale ed il soggetto"/>
    <d v="2025-04-30T00:00:00"/>
    <n v="53850"/>
    <n v="119"/>
    <s v="053850_119"/>
    <s v="Discovery Day"/>
    <s v="Mai valutato"/>
    <m/>
    <n v="202504297933416"/>
    <n v="1193308873898"/>
    <n v="20250429"/>
    <x v="10"/>
    <m/>
    <m/>
    <s v="A     - Avere"/>
    <n v="156252.39000000001"/>
    <n v="0"/>
    <n v="4205399"/>
    <s v="PPPGDU71M05A662Z"/>
    <s v="PAPPONETTI GUIDO"/>
    <s v="600 - Famiglie consumatrici"/>
    <m/>
    <s v="086 - ITALIA"/>
    <n v="900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28"/>
    <s v="14"/>
    <s v="Operazione per conto di importo elevato per la causale ed il soggetto"/>
    <d v="2025-04-30T00:00:00"/>
    <n v="53850"/>
    <n v="103"/>
    <s v="053850_103"/>
    <s v="Discovery Day"/>
    <s v="Mai valutato"/>
    <m/>
    <n v="202504297933659"/>
    <n v="1033306974262"/>
    <n v="20250429"/>
    <x v="1"/>
    <m/>
    <s v="086 - ITALIA"/>
    <s v="A     - Avere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4"/>
    <s v="IN VALUTAZIONE RPR"/>
    <x v="1"/>
    <n v="1"/>
    <m/>
    <m/>
    <n v="0"/>
    <n v="999"/>
    <n v="492"/>
    <n v="492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21"/>
    <s v="14"/>
    <s v="Operazione per conto di importo elevato per la causale ed il soggetto"/>
    <d v="2025-04-30T00:00:00"/>
    <n v="53850"/>
    <n v="102"/>
    <s v="053850_102"/>
    <s v="Discovery Day"/>
    <s v="Mai valutato"/>
    <m/>
    <n v="202504297932144"/>
    <n v="1503300003188"/>
    <n v="20250429"/>
    <x v="3"/>
    <m/>
    <s v="086 - ITALIA"/>
    <s v="D     - Dare"/>
    <n v="12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18"/>
    <s v="14"/>
    <s v="Operazione per conto di importo elevato per la causale ed il soggetto"/>
    <d v="2025-04-30T00:00:00"/>
    <n v="53850"/>
    <n v="175"/>
    <s v="053850_175"/>
    <s v="Discovery Day"/>
    <s v="Mai valutato"/>
    <m/>
    <n v="202504297933367"/>
    <n v="1753302202252"/>
    <n v="20250429"/>
    <x v="1"/>
    <m/>
    <s v="086 - ITALIA"/>
    <s v="A     - Avere"/>
    <n v="1232440"/>
    <n v="0"/>
    <n v="611756"/>
    <s v="PTNRNT84E28H501P"/>
    <s v="POTENZA RENATO"/>
    <s v="615 - Altre famiglie produttrici"/>
    <s v="015 - COLTIVAZIONI AGRICOLE ASSOCIATE ALL'ALLEVAMENTO DI ANIMALI: ATTIVITÀ MISTA"/>
    <s v="086 - ITALIA"/>
    <n v="1110"/>
    <m/>
    <m/>
    <m/>
    <m/>
    <m/>
    <m/>
    <m/>
    <n v="0"/>
    <n v="202504"/>
    <s v="ARCHIVIATA"/>
    <x v="0"/>
    <n v="1"/>
    <m/>
    <m/>
    <n v="0"/>
    <n v="999"/>
    <n v="615"/>
    <n v="615999"/>
    <m/>
    <n v="1"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613"/>
    <s v="14"/>
    <s v="Operazione per conto di importo elevato per la causale ed il soggetto"/>
    <d v="2025-04-30T00:00:00"/>
    <n v="53850"/>
    <n v="131"/>
    <s v="053850_131"/>
    <s v="Discovery Day"/>
    <s v="Mai valutato"/>
    <m/>
    <s v="202504296437637L"/>
    <n v="1313300001607"/>
    <n v="20250429"/>
    <x v="0"/>
    <m/>
    <m/>
    <s v="D     - Dare"/>
    <n v="4921.43"/>
    <n v="0"/>
    <n v="4130205"/>
    <s v="LCCLNE70E42Z133M"/>
    <s v="LICCIONE ELENA"/>
    <s v="600 - Famiglie consumatrici"/>
    <m/>
    <s v="086 - ITALIA"/>
    <n v="82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612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709"/>
    <n v="1033306986058"/>
    <n v="20250429"/>
    <x v="3"/>
    <m/>
    <s v="086 - ITALIA"/>
    <s v="D     - Dare"/>
    <n v="220000"/>
    <n v="0"/>
    <n v="3741812"/>
    <s v="VRGMRT96L66E223V"/>
    <s v="VIRGILIO MARTA"/>
    <s v="600 - Famiglie consumatrici"/>
    <m/>
    <s v="086 - ITALIA"/>
    <n v="122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609"/>
    <s v="14"/>
    <s v="Operazione per conto di importo elevato per la causale ed il soggetto"/>
    <d v="2025-04-30T00:00:00"/>
    <n v="53850"/>
    <n v="286"/>
    <s v="053850_286"/>
    <s v="Discovery Day"/>
    <s v="Mai valutato"/>
    <m/>
    <n v="202504297935255"/>
    <n v="2863300013572"/>
    <n v="20250429"/>
    <x v="0"/>
    <m/>
    <m/>
    <s v="D     - Dare"/>
    <n v="53361.62"/>
    <n v="0"/>
    <n v="1630096"/>
    <s v="DMRBNL64M53C632D"/>
    <s v="DI MIERO BRUNELLA"/>
    <s v="600 - Famiglie consumatrici"/>
    <m/>
    <s v="086 - ITALIA"/>
    <n v="1248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606"/>
    <s v="14"/>
    <s v="Operazione per conto di importo elevato per la causale ed il soggetto"/>
    <d v="2025-04-30T00:00:00"/>
    <n v="53850"/>
    <n v="273"/>
    <s v="053850_273"/>
    <s v="Discovery Day"/>
    <s v="Mai valutato"/>
    <m/>
    <n v="202504297932757"/>
    <n v="2733300004156"/>
    <n v="20250429"/>
    <x v="1"/>
    <m/>
    <s v="086 - ITALIA"/>
    <s v="A     - Avere"/>
    <n v="16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04"/>
    <s v="14"/>
    <s v="Operazione per conto di importo elevato per la causale ed il soggetto"/>
    <d v="2025-04-29T00:00:00"/>
    <n v="53850"/>
    <n v="125"/>
    <s v="053850_125"/>
    <s v="Discovery Day"/>
    <s v="Mai valutato"/>
    <m/>
    <n v="202504287930608"/>
    <n v="1253300001106"/>
    <n v="20250428"/>
    <x v="11"/>
    <m/>
    <m/>
    <s v="D     - Dare"/>
    <n v="600000"/>
    <n v="0"/>
    <n v="4519282"/>
    <n v="6193171219"/>
    <s v="IM.A.F. S.R.L."/>
    <s v="430 - Imprese produttive"/>
    <s v="429 - COSTRUZIONE DI ALTRE OPERE DI INGEGNERIA CIVILE"/>
    <s v="086 - ITALIA"/>
    <n v="982"/>
    <m/>
    <m/>
    <m/>
    <m/>
    <m/>
    <m/>
    <m/>
    <n v="0"/>
    <n v="202504"/>
    <s v="ARCHIVIATA DA RPR"/>
    <x v="0"/>
    <n v="1"/>
    <m/>
    <m/>
    <n v="0"/>
    <n v="429"/>
    <n v="430"/>
    <n v="430429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598"/>
    <s v="14"/>
    <s v="Operazione per conto di importo elevato per la causale ed il soggetto"/>
    <d v="2025-04-29T00:00:00"/>
    <n v="53850"/>
    <n v="226"/>
    <s v="053850_226"/>
    <s v="Discovery Day"/>
    <s v="Mai valutato"/>
    <m/>
    <n v="202504287931770"/>
    <n v="2263300011941"/>
    <n v="20250428"/>
    <x v="0"/>
    <m/>
    <m/>
    <s v="D     - Dare"/>
    <n v="12994.01"/>
    <n v="0"/>
    <n v="3713253"/>
    <n v="8840260726"/>
    <s v="TERRADIMARE S.A.S. DI DEBORAH DI TONDO &amp; C."/>
    <s v="492 - Quasi societa' non finanziarie altre - Unita' o societa' con meno di 20 addetti"/>
    <s v="561 - RISTORANTI E ATTIVITÀ DI RISTORAZIONE MOBILE"/>
    <s v="086 - ITALIA"/>
    <n v="1932"/>
    <m/>
    <m/>
    <m/>
    <m/>
    <m/>
    <m/>
    <m/>
    <n v="0"/>
    <n v="202504"/>
    <s v="IN VALUTAZIONE RPR"/>
    <x v="1"/>
    <n v="1"/>
    <m/>
    <m/>
    <n v="1"/>
    <n v="561"/>
    <n v="492"/>
    <n v="492561"/>
    <s v="Classe di rischio 1"/>
    <m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591"/>
    <s v="14"/>
    <s v="Operazione per conto di importo elevato per la causale ed il soggetto"/>
    <d v="2025-04-29T00:00:00"/>
    <n v="53850"/>
    <n v="116"/>
    <s v="053850_116"/>
    <s v="Discovery Day"/>
    <s v="Mai valutato"/>
    <m/>
    <n v="202504287931355"/>
    <n v="1163307623534"/>
    <n v="20250428"/>
    <x v="3"/>
    <m/>
    <m/>
    <s v="D     - Dare"/>
    <n v="357884.01"/>
    <n v="0"/>
    <n v="455877"/>
    <s v="DMBMRZ80M26A662O"/>
    <s v="D'AMBROSIO MAURIZIO"/>
    <s v="600 - Famiglie consumatrici"/>
    <m/>
    <s v="086 - ITALIA"/>
    <n v="7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84"/>
    <s v="14"/>
    <s v="Operazione per conto di importo elevato per la causale ed il soggetto"/>
    <d v="2025-04-29T00:00:00"/>
    <n v="53850"/>
    <n v="182"/>
    <s v="053850_182"/>
    <s v="Discovery Day"/>
    <s v="Mai valutato"/>
    <m/>
    <n v="202504287929073"/>
    <n v="1823300072312"/>
    <n v="20250428"/>
    <x v="1"/>
    <m/>
    <s v="086 - ITALIA"/>
    <s v="A     - Avere"/>
    <n v="1215648.51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79"/>
    <s v="14"/>
    <s v="Operazione per conto di importo elevato per la causale ed il soggetto"/>
    <d v="2025-04-29T00:00:00"/>
    <n v="53850"/>
    <n v="109"/>
    <s v="053850_109"/>
    <s v="Discovery Day"/>
    <s v="Mai valutato"/>
    <m/>
    <n v="202504287929578"/>
    <n v="1093305187350"/>
    <n v="20250428"/>
    <x v="1"/>
    <m/>
    <s v="086 - ITALIA"/>
    <s v="A     - Avere"/>
    <n v="258955.49"/>
    <n v="0"/>
    <n v="518731"/>
    <s v="DMRFRI44R07G230X"/>
    <s v="DE MARTINO FIORE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76"/>
    <s v="14"/>
    <s v="Operazione per conto di importo elevato per la causale ed il soggetto"/>
    <d v="2025-04-29T00:00:00"/>
    <n v="53850"/>
    <n v="187"/>
    <s v="053850_187"/>
    <s v="Discovery Day"/>
    <s v="Mai valutato"/>
    <m/>
    <n v="202504287931146"/>
    <n v="1873300111029"/>
    <n v="20250428"/>
    <x v="0"/>
    <m/>
    <m/>
    <s v="D     - Dare"/>
    <n v="9232.3799999999992"/>
    <n v="0"/>
    <n v="4433326"/>
    <s v="MRZFNC89L22L049F"/>
    <s v="MARZO FRANCO"/>
    <s v="600 - Famiglie consumatrici"/>
    <m/>
    <s v="086 - ITALIA"/>
    <n v="116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74"/>
    <s v="14"/>
    <s v="Operazione per conto di importo elevato per la causale ed il soggetto"/>
    <d v="2025-04-29T00:00:00"/>
    <n v="53850"/>
    <n v="102"/>
    <s v="053850_102"/>
    <s v="Discovery Day"/>
    <s v="Mai valutato"/>
    <m/>
    <n v="202504287931193"/>
    <n v="1023308725742"/>
    <n v="20250428"/>
    <x v="0"/>
    <m/>
    <m/>
    <s v="D     - Dare"/>
    <n v="28072.05"/>
    <n v="0"/>
    <n v="4032133"/>
    <s v="NZZGNN37S23A225G"/>
    <s v="NUZZI GIOVANNI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564"/>
    <s v="14"/>
    <s v="Operazione per conto di importo elevato per la causale ed il soggetto"/>
    <d v="2025-04-29T00:00:00"/>
    <n v="53850"/>
    <n v="116"/>
    <s v="053850_116"/>
    <s v="Discovery Day"/>
    <s v="Mai valutato"/>
    <m/>
    <n v="202504287931355"/>
    <n v="1163307623534"/>
    <n v="20250428"/>
    <x v="3"/>
    <m/>
    <m/>
    <s v="D     - Dare"/>
    <n v="357884.01"/>
    <n v="0"/>
    <n v="4811851"/>
    <s v="GRDNTN77L60A662K"/>
    <s v="GIARDINO ANTONIA"/>
    <s v="600 - Famiglie consumatrici"/>
    <m/>
    <s v="086 - ITALIA"/>
    <n v="7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62"/>
    <s v="14"/>
    <s v="Operazione per conto di importo elevato per la causale ed il soggetto"/>
    <d v="2025-04-29T00:00:00"/>
    <n v="53850"/>
    <n v="102"/>
    <s v="053850_102"/>
    <s v="Discovery Day"/>
    <s v="Mai valutato"/>
    <m/>
    <n v="202504287931193"/>
    <n v="1023308725742"/>
    <n v="20250428"/>
    <x v="0"/>
    <m/>
    <m/>
    <s v="D     - Dare"/>
    <n v="28072.05"/>
    <n v="0"/>
    <n v="501137"/>
    <s v="NNVGRZ41B66A225D"/>
    <s v="NINIVAGGI GRAZIA"/>
    <s v="600 - Famiglie consumatrici"/>
    <m/>
    <s v="086 - ITALIA"/>
    <n v="164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561"/>
    <s v="14"/>
    <s v="Operazione per conto di importo elevato per la causale ed il soggetto"/>
    <d v="2025-04-29T00:00:00"/>
    <n v="53850"/>
    <n v="109"/>
    <s v="053850_109"/>
    <s v="Discovery Day"/>
    <s v="Mai valutato"/>
    <m/>
    <n v="202504287929578"/>
    <n v="1093305187350"/>
    <n v="20250428"/>
    <x v="1"/>
    <m/>
    <s v="086 - ITALIA"/>
    <s v="A     - Avere"/>
    <n v="258955.49"/>
    <n v="0"/>
    <n v="518734"/>
    <s v="RBTLCU49C62H645C"/>
    <s v="RIBATTI LUCIA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52"/>
    <s v="14"/>
    <s v="Operazione per conto di importo elevato per la causale ed il soggetto"/>
    <d v="2025-04-29T00:00:00"/>
    <n v="53850"/>
    <n v="125"/>
    <s v="053850_125"/>
    <s v="Discovery Day"/>
    <s v="Mai valutato"/>
    <m/>
    <n v="202504287928675"/>
    <n v="1253300001106"/>
    <n v="20250428"/>
    <x v="1"/>
    <m/>
    <s v="086 - ITALIA"/>
    <s v="A     - Avere"/>
    <n v="690234.02"/>
    <n v="0"/>
    <n v="4519282"/>
    <n v="6193171219"/>
    <s v="IM.A.F. S.R.L."/>
    <s v="430 - Imprese produttive"/>
    <s v="429 - COSTRUZIONE DI ALTRE OPERE DI INGEGNERIA CIVILE"/>
    <s v="086 - ITALIA"/>
    <n v="982"/>
    <m/>
    <m/>
    <m/>
    <m/>
    <m/>
    <m/>
    <m/>
    <n v="0"/>
    <n v="202504"/>
    <s v="ARCHIVIATA DA RPR"/>
    <x v="0"/>
    <n v="1"/>
    <m/>
    <m/>
    <n v="0"/>
    <n v="429"/>
    <n v="430"/>
    <n v="430429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33"/>
    <s v="14"/>
    <s v="Operazione per conto di importo elevato per la causale ed il soggetto"/>
    <d v="2025-04-25T00:00:00"/>
    <n v="53850"/>
    <n v="277"/>
    <s v="053850_277"/>
    <s v="Discovery Day"/>
    <s v="Mai valutato"/>
    <m/>
    <n v="202504247924972"/>
    <n v="2773300000865"/>
    <n v="20250424"/>
    <x v="0"/>
    <m/>
    <m/>
    <s v="D     - Dare"/>
    <n v="15562.96"/>
    <n v="0"/>
    <n v="1676449"/>
    <s v="PRSFRN55T04L218F"/>
    <s v="PERSICHITTI FLORINDO ANTONI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30"/>
    <s v="14"/>
    <s v="Operazione per conto di importo elevato per la causale ed il soggetto"/>
    <d v="2025-04-25T00:00:00"/>
    <n v="53850"/>
    <n v="277"/>
    <s v="053850_277"/>
    <s v="Discovery Day"/>
    <s v="Mai valutato"/>
    <m/>
    <n v="202504247924972"/>
    <n v="2773300000865"/>
    <n v="20250424"/>
    <x v="0"/>
    <m/>
    <m/>
    <s v="D     - Dare"/>
    <n v="15562.96"/>
    <n v="0"/>
    <n v="1676448"/>
    <s v="RSSPRZ61M62E435E"/>
    <s v="RUSSO PATRIZIA"/>
    <s v="600 - Famiglie consumatrici"/>
    <m/>
    <s v="086 - ITALIA"/>
    <n v="1790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28"/>
    <s v="14"/>
    <s v="Operazione per conto di importo elevato per la causale ed il soggetto"/>
    <d v="2025-04-25T00:00:00"/>
    <n v="53850"/>
    <n v="109"/>
    <s v="053850_109"/>
    <s v="Discovery Day"/>
    <s v="Mai valutato"/>
    <m/>
    <n v="202504247924602"/>
    <n v="1093306667463"/>
    <n v="20250424"/>
    <x v="3"/>
    <m/>
    <s v="086 - ITALIA"/>
    <s v="D     - Dare"/>
    <n v="231724"/>
    <n v="0"/>
    <n v="4039788"/>
    <s v="FVAPRZ63C68A662B"/>
    <s v="FAVIA PATRIZIA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24"/>
    <s v="14"/>
    <s v="Operazione per conto di importo elevato per la causale ed il soggetto"/>
    <d v="2025-04-25T00:00:00"/>
    <n v="53850"/>
    <n v="105"/>
    <s v="053850_105"/>
    <s v="Discovery Day"/>
    <s v="Mai valutato"/>
    <m/>
    <n v="202504247922074"/>
    <n v="1053306287103"/>
    <n v="20250424"/>
    <x v="3"/>
    <m/>
    <s v="086 - ITALIA"/>
    <s v="D     - Dare"/>
    <n v="1500000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17"/>
    <s v="14"/>
    <s v="Operazione per conto di importo elevato per la causale ed il soggetto"/>
    <d v="2025-04-25T00:00:00"/>
    <n v="53850"/>
    <n v="109"/>
    <s v="053850_109"/>
    <s v="Discovery Day"/>
    <s v="Mai valutato"/>
    <m/>
    <n v="202504247924602"/>
    <n v="1093306667463"/>
    <n v="20250424"/>
    <x v="3"/>
    <m/>
    <s v="086 - ITALIA"/>
    <s v="D     - Dare"/>
    <n v="231724"/>
    <n v="0"/>
    <n v="4039786"/>
    <s v="CRTNTN64P24G906V"/>
    <s v="CORTESE ANTONIO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14"/>
    <s v="14"/>
    <s v="Operazione per conto di importo elevato per la causale ed il soggetto"/>
    <d v="2025-04-25T00:00:00"/>
    <n v="53850"/>
    <n v="181"/>
    <s v="053850_181"/>
    <s v="Discovery Day"/>
    <s v="Mai valutato"/>
    <m/>
    <n v="202504247923117"/>
    <n v="1813300010280"/>
    <n v="20250424"/>
    <x v="1"/>
    <m/>
    <s v="086 - ITALIA"/>
    <s v="A     - Avere"/>
    <n v="1200000"/>
    <n v="0"/>
    <n v="4788366"/>
    <n v="674460720"/>
    <s v="ELAIOPOLIO COOPERATIVO DELLA RIFORMA FONDIARIA DI RUVO DI PUGLIA SOCIETA' COOPER"/>
    <s v="430 - Imprese produttive"/>
    <s v="012 - COLTIVAZIONE DI COLTURE PERMANENTI"/>
    <s v="086 - ITALIA"/>
    <n v="1903"/>
    <m/>
    <m/>
    <m/>
    <m/>
    <m/>
    <m/>
    <m/>
    <n v="0"/>
    <n v="202504"/>
    <s v="IN CARICO AL GESTORE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510"/>
    <s v="14"/>
    <s v="Operazione per conto di importo elevato per la causale ed il soggetto"/>
    <d v="2025-04-25T00:00:00"/>
    <n v="53850"/>
    <n v="187"/>
    <s v="053850_187"/>
    <s v="Discovery Day"/>
    <s v="Mai valutato"/>
    <m/>
    <n v="202504247922522"/>
    <n v="999361870311"/>
    <n v="20250424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05"/>
    <s v="14"/>
    <s v="Operazione per conto di importo elevato per la causale ed il soggetto"/>
    <d v="2025-04-24T00:00:00"/>
    <n v="53850"/>
    <n v="145"/>
    <s v="053850_145"/>
    <s v="Discovery Day"/>
    <s v="Mai valutato"/>
    <m/>
    <n v="202504237920074"/>
    <n v="1453300002438"/>
    <n v="20250423"/>
    <x v="1"/>
    <m/>
    <s v="086 - ITALIA"/>
    <s v="A     - Avere"/>
    <n v="855151.57"/>
    <n v="0"/>
    <n v="4700611"/>
    <n v="2837290614"/>
    <s v="GIOVANNI MALINCONICO SPA IN AMMINISTRAZIONE GIUDIZIARIA"/>
    <s v="430 - Imprese produttive"/>
    <s v="421 - COSTRUZIONE DI STRADE E FERROVIE"/>
    <s v="086 - ITALIA"/>
    <n v="1256"/>
    <m/>
    <m/>
    <m/>
    <m/>
    <m/>
    <m/>
    <m/>
    <n v="0"/>
    <n v="202504"/>
    <s v="ARCHIVIATA"/>
    <x v="0"/>
    <n v="1"/>
    <m/>
    <m/>
    <n v="0"/>
    <n v="421"/>
    <n v="430"/>
    <n v="43042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502"/>
    <s v="14"/>
    <s v="Operazione per conto di importo elevato per la causale ed il soggetto"/>
    <d v="2025-04-24T00:00:00"/>
    <n v="53850"/>
    <n v="111"/>
    <s v="053850_111"/>
    <s v="Discovery Day"/>
    <s v="Mai valutato"/>
    <m/>
    <n v="202504237921508"/>
    <n v="1113304874720"/>
    <n v="20250423"/>
    <x v="0"/>
    <m/>
    <m/>
    <s v="D     - Dare"/>
    <n v="29683.38"/>
    <n v="0"/>
    <n v="487472"/>
    <s v="NTNMHL49S12E326H"/>
    <s v="ANTONICELLI MICHELE"/>
    <s v="600 - Famiglie consumatrici"/>
    <m/>
    <s v="086 - ITALIA"/>
    <n v="593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95"/>
    <s v="14"/>
    <s v="Operazione per conto di importo elevato per la causale ed il soggetto"/>
    <d v="2025-04-24T00:00:00"/>
    <n v="53850"/>
    <n v="136"/>
    <s v="053850_136"/>
    <s v="Discovery Day"/>
    <s v="Mai valutato"/>
    <m/>
    <n v="202504237920559"/>
    <n v="1363300003325"/>
    <n v="20250423"/>
    <x v="12"/>
    <m/>
    <m/>
    <s v="D     - Dare"/>
    <n v="22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90"/>
    <s v="14"/>
    <s v="Operazione per conto di importo elevato per la causale ed il soggetto"/>
    <d v="2025-04-24T00:00:00"/>
    <n v="53850"/>
    <n v="132"/>
    <s v="053850_132"/>
    <s v="Discovery Day"/>
    <s v="Mai valutato"/>
    <m/>
    <s v="202504236222374L"/>
    <n v="1323300003316"/>
    <n v="20250423"/>
    <x v="0"/>
    <m/>
    <m/>
    <s v="D     - Dare"/>
    <n v="2713.36"/>
    <n v="0"/>
    <n v="4974520"/>
    <s v="SMLGNZ48C13A055Y"/>
    <s v="SMALDINI IGNAZIO"/>
    <s v="600 - Famiglie consumatrici"/>
    <m/>
    <s v="086 - ITALIA"/>
    <n v="162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485"/>
    <s v="14"/>
    <s v="Operazione per conto di importo elevato per la causale ed il soggetto"/>
    <d v="2025-04-24T00:00:00"/>
    <n v="53850"/>
    <n v="145"/>
    <s v="053850_145"/>
    <s v="Discovery Day"/>
    <s v="Mai valutato"/>
    <m/>
    <n v="202504237920083"/>
    <n v="1453300002438"/>
    <n v="20250423"/>
    <x v="1"/>
    <m/>
    <s v="086 - ITALIA"/>
    <s v="A     - Avere"/>
    <n v="758642.93"/>
    <n v="0"/>
    <n v="4700611"/>
    <n v="2837290614"/>
    <s v="GIOVANNI MALINCONICO SPA IN AMMINISTRAZIONE GIUDIZIARIA"/>
    <s v="430 - Imprese produttive"/>
    <s v="421 - COSTRUZIONE DI STRADE E FERROVIE"/>
    <s v="086 - ITALIA"/>
    <n v="1256"/>
    <m/>
    <m/>
    <m/>
    <m/>
    <m/>
    <m/>
    <m/>
    <n v="0"/>
    <n v="202504"/>
    <s v="ARCHIVIATA"/>
    <x v="0"/>
    <n v="1"/>
    <m/>
    <m/>
    <n v="0"/>
    <n v="421"/>
    <n v="430"/>
    <n v="43042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79"/>
    <s v="14"/>
    <s v="Operazione per conto di importo elevato per la causale ed il soggetto"/>
    <d v="2025-04-24T00:00:00"/>
    <n v="53850"/>
    <n v="102"/>
    <s v="053850_102"/>
    <s v="Discovery Day"/>
    <s v="Mai valutato"/>
    <m/>
    <n v="202504237921384"/>
    <n v="1023308726498"/>
    <n v="20250423"/>
    <x v="0"/>
    <m/>
    <m/>
    <s v="D     - Dare"/>
    <n v="66486.850000000006"/>
    <n v="0"/>
    <n v="187762"/>
    <s v="SRRRLB50L45F888O"/>
    <s v="SERRAO ROSALBA"/>
    <s v="600 - Famiglie consumatrici"/>
    <m/>
    <s v="086 - ITALIA"/>
    <n v="164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77"/>
    <s v="14"/>
    <s v="Operazione per conto di importo elevato per la causale ed il soggetto"/>
    <d v="2025-04-24T00:00:00"/>
    <n v="53850"/>
    <n v="105"/>
    <s v="053850_105"/>
    <s v="Discovery Day"/>
    <s v="Mai valutato"/>
    <m/>
    <n v="202504237920443"/>
    <n v="1053306287103"/>
    <n v="20250423"/>
    <x v="1"/>
    <m/>
    <s v="086 - ITALIA"/>
    <s v="A     - Avere"/>
    <n v="1572927.57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475"/>
    <s v="14"/>
    <s v="Operazione per conto di importo elevato per la causale ed il soggetto"/>
    <d v="2025-04-24T00:00:00"/>
    <n v="53850"/>
    <n v="187"/>
    <s v="053850_187"/>
    <s v="Discovery Day"/>
    <s v="Mai valutato"/>
    <m/>
    <n v="202504237919231"/>
    <n v="999361870311"/>
    <n v="20250423"/>
    <x v="8"/>
    <m/>
    <m/>
    <s v="D     - Dare"/>
    <n v="1277706.639999999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71"/>
    <s v="14"/>
    <s v="Operazione per conto di importo elevato per la causale ed il soggetto"/>
    <d v="2025-04-24T00:00:00"/>
    <n v="53850"/>
    <n v="187"/>
    <s v="053850_187"/>
    <s v="Discovery Day"/>
    <s v="Mai valutato"/>
    <m/>
    <s v="202504236234831L"/>
    <n v="1873300109486"/>
    <n v="20250423"/>
    <x v="0"/>
    <m/>
    <m/>
    <s v="D     - Dare"/>
    <n v="2276.12"/>
    <n v="0"/>
    <n v="4141023"/>
    <s v="DTTSVN55S44L049F"/>
    <s v="DATTO SILVANA"/>
    <s v="600 - Famiglie consumatrici"/>
    <m/>
    <s v="086 - ITALIA"/>
    <n v="116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467"/>
    <s v="14"/>
    <s v="Operazione per conto di importo elevato per la causale ed il soggetto"/>
    <d v="2025-04-23T00:00:00"/>
    <n v="53850"/>
    <n v="129"/>
    <s v="053850_129"/>
    <s v="Discovery Day"/>
    <s v="Mai valutato"/>
    <m/>
    <n v="202504227915901"/>
    <n v="1293300002289"/>
    <n v="20250422"/>
    <x v="1"/>
    <m/>
    <s v="086 - ITALIA"/>
    <s v="A     - Avere"/>
    <n v="1500000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64"/>
    <s v="14"/>
    <s v="Operazione per conto di importo elevato per la causale ed il soggetto"/>
    <d v="2025-04-23T00:00:00"/>
    <n v="53850"/>
    <n v="279"/>
    <s v="053850_279"/>
    <s v="Discovery Day"/>
    <s v="Mai valutato"/>
    <m/>
    <s v="202504226104916L"/>
    <n v="2793300001771"/>
    <n v="20250422"/>
    <x v="0"/>
    <m/>
    <m/>
    <s v="D     - Dare"/>
    <n v="2006.41"/>
    <n v="0"/>
    <n v="1693514"/>
    <n v="2688340690"/>
    <s v="DAFE' S.N.C. DI DANILO SALVATORE E C."/>
    <s v="492 - Quasi societa' non finanziarie altre - Unita' o societa' con meno di 20 addetti"/>
    <s v="563 - BAR E ALTRI ESERCIZI SIMILI SENZA CUCINA"/>
    <s v="086 - ITALIA"/>
    <n v="1786"/>
    <m/>
    <m/>
    <m/>
    <m/>
    <m/>
    <m/>
    <m/>
    <n v="0"/>
    <n v="202504"/>
    <s v="ARCHIVIATA DA RPR"/>
    <x v="0"/>
    <n v="1"/>
    <m/>
    <m/>
    <n v="1"/>
    <n v="999"/>
    <n v="492"/>
    <n v="492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63"/>
    <s v="14"/>
    <s v="Operazione per conto di importo elevato per la causale ed il soggetto"/>
    <d v="2025-04-23T00:00:00"/>
    <n v="53850"/>
    <n v="117"/>
    <s v="053850_117"/>
    <s v="Discovery Day"/>
    <s v="Mai valutato"/>
    <m/>
    <n v="202504227916745"/>
    <n v="1173300538670"/>
    <n v="20250422"/>
    <x v="1"/>
    <m/>
    <s v="086 - ITALIA"/>
    <s v="A     - Avere"/>
    <n v="349192.69"/>
    <n v="0"/>
    <n v="4645325"/>
    <s v="LNEMST53E59A662Q"/>
    <s v="LEONE MARIA STELLA"/>
    <s v="600 - Famiglie consumatrici"/>
    <m/>
    <s v="086 - ITALIA"/>
    <n v="1772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60"/>
    <s v="14"/>
    <s v="Operazione per conto di importo elevato per la causale ed il soggetto"/>
    <d v="2025-04-23T00:00:00"/>
    <n v="53850"/>
    <n v="103"/>
    <s v="053850_103"/>
    <s v="Discovery Day"/>
    <s v="Mai valutato"/>
    <m/>
    <n v="202504227918100"/>
    <n v="1033306974008"/>
    <n v="20250422"/>
    <x v="0"/>
    <m/>
    <m/>
    <s v="D     - Dare"/>
    <n v="7562.53"/>
    <n v="0"/>
    <n v="4562541"/>
    <s v="GFFFNC86M23A662I"/>
    <s v="GOFFREDO FRANCESCO"/>
    <s v="600 - Famiglie consumatrici"/>
    <m/>
    <s v="086 - ITALIA"/>
    <n v="1099"/>
    <m/>
    <m/>
    <m/>
    <m/>
    <m/>
    <m/>
    <m/>
    <n v="0"/>
    <n v="202504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56"/>
    <s v="14"/>
    <s v="Operazione per conto di importo elevato per la causale ed il soggetto"/>
    <d v="2025-04-23T00:00:00"/>
    <n v="53850"/>
    <n v="117"/>
    <s v="053850_117"/>
    <s v="Discovery Day"/>
    <s v="Mai valutato"/>
    <m/>
    <n v="202504227916745"/>
    <n v="1173300538670"/>
    <n v="20250422"/>
    <x v="1"/>
    <m/>
    <s v="086 - ITALIA"/>
    <s v="A     - Avere"/>
    <n v="349192.69"/>
    <n v="0"/>
    <n v="4035187"/>
    <s v="LNERNG60B10A662I"/>
    <s v="LEONE ARCANGELO GERMANO"/>
    <s v="600 - Famiglie consumatrici"/>
    <m/>
    <s v="086 - ITALIA"/>
    <n v="1772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54"/>
    <s v="14"/>
    <s v="Operazione per conto di importo elevato per la causale ed il soggetto"/>
    <d v="2025-04-23T00:00:00"/>
    <n v="53850"/>
    <n v="279"/>
    <s v="053850_279"/>
    <s v="Discovery Day"/>
    <s v="Mai valutato"/>
    <m/>
    <n v="202504227918653"/>
    <n v="2793300000731"/>
    <n v="20250422"/>
    <x v="0"/>
    <m/>
    <m/>
    <s v="D     - Dare"/>
    <n v="8882.2099999999991"/>
    <n v="0"/>
    <n v="1668170"/>
    <s v="CRIGNN35L70G290V"/>
    <s v="CIERI GIOVANNA ANTONIETTA"/>
    <s v="600 - Famiglie consumatrici"/>
    <m/>
    <s v="086 - ITALIA"/>
    <n v="182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51"/>
    <s v="14"/>
    <s v="Operazione per conto di importo elevato per la causale ed il soggetto"/>
    <d v="2025-04-23T00:00:00"/>
    <n v="53850"/>
    <n v="167"/>
    <s v="053850_167"/>
    <s v="Discovery Day"/>
    <s v="Mai valutato"/>
    <m/>
    <n v="202504227918059"/>
    <n v="1673300000962"/>
    <n v="20250422"/>
    <x v="0"/>
    <m/>
    <m/>
    <s v="D     - Dare"/>
    <n v="11241.66"/>
    <n v="0"/>
    <n v="4755229"/>
    <s v="PRRGLC73P05F052O"/>
    <s v="PERRONE GIANLUCA"/>
    <s v="600 - Famiglie consumatrici"/>
    <m/>
    <s v="086 - ITALIA"/>
    <n v="451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48"/>
    <s v="14"/>
    <s v="Operazione per conto di importo elevato per la causale ed il soggetto"/>
    <d v="2025-04-23T00:00:00"/>
    <n v="53850"/>
    <n v="187"/>
    <s v="053850_187"/>
    <s v="Discovery Day"/>
    <s v="Mai valutato"/>
    <m/>
    <n v="202504227915242"/>
    <n v="999361870311"/>
    <n v="20250422"/>
    <x v="3"/>
    <m/>
    <s v="086 - ITALIA"/>
    <s v="D     - Dare"/>
    <n v="2852357.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43"/>
    <s v="14"/>
    <s v="Operazione per conto di importo elevato per la causale ed il soggetto"/>
    <d v="2025-04-23T00:00:00"/>
    <n v="53850"/>
    <n v="137"/>
    <s v="053850_137"/>
    <s v="Discovery Day"/>
    <s v="Mai valutato"/>
    <m/>
    <n v="202504227916919"/>
    <n v="1373304102457"/>
    <n v="20250422"/>
    <x v="1"/>
    <m/>
    <s v="086 - ITALIA"/>
    <s v="A     - Avere"/>
    <n v="390167.62"/>
    <n v="0"/>
    <n v="1003291"/>
    <s v="FRRGPP44R58L230X"/>
    <s v="FERRAZZANO GIUSEPPINA"/>
    <s v="600 - Famiglie consumatrici"/>
    <m/>
    <s v="086 - ITALIA"/>
    <n v="1867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42"/>
    <s v="14"/>
    <s v="Operazione per conto di importo elevato per la causale ed il soggetto"/>
    <d v="2025-04-23T00:00:00"/>
    <n v="53850"/>
    <n v="168"/>
    <s v="053850_168"/>
    <s v="Discovery Day"/>
    <s v="Mai valutato"/>
    <m/>
    <n v="202504227918393"/>
    <n v="1683306276775"/>
    <n v="20250422"/>
    <x v="0"/>
    <m/>
    <m/>
    <s v="D     - Dare"/>
    <n v="50379.92"/>
    <n v="0"/>
    <n v="105145"/>
    <s v="NCSGPP38S28C351Q"/>
    <s v="NICASTRO GIUSEPPE"/>
    <s v="600 - Famiglie consumatrici"/>
    <m/>
    <s v="086 - ITALIA"/>
    <n v="131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40"/>
    <s v="14"/>
    <s v="Operazione per conto di importo elevato per la causale ed il soggetto"/>
    <d v="2025-04-23T00:00:00"/>
    <n v="53850"/>
    <n v="168"/>
    <s v="053850_168"/>
    <s v="Discovery Day"/>
    <s v="Mai valutato"/>
    <m/>
    <n v="202504227918393"/>
    <n v="1683306276775"/>
    <n v="20250422"/>
    <x v="0"/>
    <m/>
    <m/>
    <s v="D     - Dare"/>
    <n v="50379.92"/>
    <n v="0"/>
    <n v="4874375"/>
    <s v="CCCLNE34M58I330P"/>
    <s v="CECCA ELENA"/>
    <s v="600 - Famiglie consumatrici"/>
    <m/>
    <s v="086 - ITALIA"/>
    <n v="131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36"/>
    <s v="14"/>
    <s v="Operazione per conto di importo elevato per la causale ed il soggetto"/>
    <d v="2025-04-23T00:00:00"/>
    <n v="53850"/>
    <n v="169"/>
    <s v="053850_169"/>
    <s v="Discovery Day"/>
    <s v="Mai valutato"/>
    <m/>
    <n v="202504227918396"/>
    <n v="1693302223267"/>
    <n v="20250422"/>
    <x v="3"/>
    <m/>
    <s v="086 - ITALIA"/>
    <s v="D     - Dare"/>
    <n v="250000"/>
    <n v="0"/>
    <n v="4254594"/>
    <s v="BLGSMR51D55A883W"/>
    <s v="BELGIOVINE ISA MARIA"/>
    <s v="600 - Famiglie consumatrici"/>
    <m/>
    <s v="086 - ITALIA"/>
    <n v="1352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34"/>
    <s v="14"/>
    <s v="Operazione per conto di importo elevato per la causale ed il soggetto"/>
    <d v="2025-04-23T00:00:00"/>
    <n v="53850"/>
    <n v="109"/>
    <s v="053850_109"/>
    <s v="Discovery Day"/>
    <s v="Mai valutato"/>
    <m/>
    <n v="202504227917396"/>
    <n v="1093306677156"/>
    <n v="20250422"/>
    <x v="6"/>
    <m/>
    <m/>
    <s v="D     - Dare"/>
    <n v="250000"/>
    <n v="0"/>
    <n v="455840"/>
    <s v="SVNPLA75A53A662D"/>
    <s v="SAVINO PAOLA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33"/>
    <s v="14"/>
    <s v="Operazione per conto di importo elevato per la causale ed il soggetto"/>
    <d v="2025-04-23T00:00:00"/>
    <n v="53850"/>
    <n v="169"/>
    <s v="053850_169"/>
    <s v="Discovery Day"/>
    <s v="Mai valutato"/>
    <m/>
    <n v="202504227918396"/>
    <n v="1693302223267"/>
    <n v="20250422"/>
    <x v="3"/>
    <m/>
    <s v="086 - ITALIA"/>
    <s v="D     - Dare"/>
    <n v="250000"/>
    <n v="0"/>
    <n v="4254593"/>
    <s v="SCHLDM48E30A883V"/>
    <s v="SCHIRALLI LUIGI DOMENICO VITO"/>
    <s v="600 - Famiglie consumatrici"/>
    <m/>
    <s v="086 - ITALIA"/>
    <n v="1352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30"/>
    <s v="14"/>
    <s v="Operazione per conto di importo elevato per la causale ed il soggetto"/>
    <d v="2025-04-23T00:00:00"/>
    <n v="53850"/>
    <n v="279"/>
    <s v="053850_279"/>
    <s v="Discovery Day"/>
    <s v="Mai valutato"/>
    <m/>
    <n v="202504227918653"/>
    <n v="2793300000731"/>
    <n v="20250422"/>
    <x v="0"/>
    <m/>
    <m/>
    <s v="D     - Dare"/>
    <n v="8882.2099999999991"/>
    <n v="0"/>
    <n v="1668422"/>
    <s v="CNTNMR60S42G290H"/>
    <s v="CONTE ANITA MARIA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27"/>
    <s v="14"/>
    <s v="Operazione per conto di importo elevato per la causale ed il soggetto"/>
    <d v="2025-04-23T00:00:00"/>
    <n v="53850"/>
    <n v="102"/>
    <s v="053850_102"/>
    <s v="Discovery Day"/>
    <s v="Mai valutato"/>
    <m/>
    <n v="202504227915512"/>
    <n v="1023308727913"/>
    <n v="20250422"/>
    <x v="13"/>
    <m/>
    <s v="086 - ITALIA"/>
    <s v="D     - Dare"/>
    <n v="2500000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25"/>
    <s v="14"/>
    <s v="Operazione per conto di importo elevato per la causale ed il soggetto"/>
    <d v="2025-04-23T00:00:00"/>
    <n v="53850"/>
    <n v="167"/>
    <s v="053850_167"/>
    <s v="Discovery Day"/>
    <s v="Mai valutato"/>
    <m/>
    <n v="202504227918059"/>
    <n v="1673300000962"/>
    <n v="20250422"/>
    <x v="0"/>
    <m/>
    <m/>
    <s v="D     - Dare"/>
    <n v="11241.66"/>
    <n v="0"/>
    <n v="4034244"/>
    <s v="BSLTZN76S52H096Y"/>
    <s v="BASILE TIZIANA"/>
    <s v="600 - Famiglie consumatrici"/>
    <m/>
    <s v="086 - ITALIA"/>
    <n v="451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23"/>
    <s v="14"/>
    <s v="Operazione per conto di importo elevato per la causale ed il soggetto"/>
    <d v="2025-04-23T00:00:00"/>
    <n v="53850"/>
    <n v="109"/>
    <s v="053850_109"/>
    <s v="Discovery Day"/>
    <s v="Mai valutato"/>
    <m/>
    <n v="202504227917396"/>
    <n v="1093306677156"/>
    <n v="20250422"/>
    <x v="6"/>
    <m/>
    <m/>
    <s v="D     - Dare"/>
    <n v="250000"/>
    <n v="0"/>
    <n v="9339"/>
    <s v="SGNPLM44D60A662S"/>
    <s v="SIGNORILE PALMA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22"/>
    <s v="14"/>
    <s v="Operazione per conto di importo elevato per la causale ed il soggetto"/>
    <d v="2025-04-23T00:00:00"/>
    <n v="53850"/>
    <n v="103"/>
    <s v="053850_103"/>
    <s v="Discovery Day"/>
    <s v="Mai valutato"/>
    <m/>
    <n v="202504227918100"/>
    <n v="1033306974008"/>
    <n v="20250422"/>
    <x v="0"/>
    <m/>
    <m/>
    <s v="D     - Dare"/>
    <n v="7562.53"/>
    <n v="0"/>
    <n v="4336032"/>
    <s v="SNSRSO86T56E155F"/>
    <s v="SINISI ROS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14"/>
    <s v="14"/>
    <s v="Operazione per conto di importo elevato per la causale ed il soggetto"/>
    <d v="2025-04-23T00:00:00"/>
    <n v="53850"/>
    <n v="117"/>
    <s v="053850_117"/>
    <s v="Discovery Day"/>
    <s v="Mai valutato"/>
    <m/>
    <n v="202504187917140"/>
    <n v="1170050027918"/>
    <n v="20250418"/>
    <x v="14"/>
    <m/>
    <m/>
    <s v="D     - Dare"/>
    <n v="402992.09"/>
    <n v="0"/>
    <n v="4035187"/>
    <s v="LNERNG60B10A662I"/>
    <s v="LEONE ARCANGELO GERMANO"/>
    <s v="600 - Famiglie consumatrici"/>
    <m/>
    <s v="086 - ITALIA"/>
    <n v="1772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06"/>
    <s v="14"/>
    <s v="Operazione per conto di importo elevato per la causale ed il soggetto"/>
    <d v="2025-04-19T00:00:00"/>
    <n v="53850"/>
    <n v="143"/>
    <s v="053850_143"/>
    <s v="Discovery Day"/>
    <s v="Mai valutato"/>
    <m/>
    <n v="202504187910037"/>
    <n v="1423300308937"/>
    <n v="20250418"/>
    <x v="3"/>
    <m/>
    <s v="086 - ITALIA"/>
    <s v="D     - Dare"/>
    <n v="208650"/>
    <n v="0"/>
    <n v="4922771"/>
    <s v="DLLLCU62C13I158Q"/>
    <s v="DELLISANTI LUCIO"/>
    <s v="600 - Famiglie consumatrici"/>
    <m/>
    <s v="086 - ITALIA"/>
    <n v="860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02"/>
    <s v="14"/>
    <s v="Operazione per conto di importo elevato per la causale ed il soggetto"/>
    <d v="2025-04-19T00:00:00"/>
    <n v="53850"/>
    <n v="122"/>
    <s v="053850_122"/>
    <s v="Discovery Day"/>
    <s v="Mai valutato"/>
    <m/>
    <n v="202504187909307"/>
    <n v="1223300001682"/>
    <n v="20250418"/>
    <x v="15"/>
    <m/>
    <m/>
    <s v="D     - Dare"/>
    <n v="3299950.48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01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0"/>
    <s v="CRBMRC80S16G786H"/>
    <s v="CARBONE MARC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400"/>
    <s v="14"/>
    <s v="Operazione per conto di importo elevato per la causale ed il soggetto"/>
    <d v="2025-04-19T00:00:00"/>
    <n v="53850"/>
    <n v="171"/>
    <s v="053850_171"/>
    <s v="Discovery Day"/>
    <s v="Mai valutato"/>
    <m/>
    <n v="202504187910116"/>
    <n v="1713302213235"/>
    <n v="20250418"/>
    <x v="0"/>
    <m/>
    <m/>
    <s v="D     - Dare"/>
    <n v="10138.19"/>
    <n v="0"/>
    <n v="4066625"/>
    <s v="LLGMRA40M53A893U"/>
    <s v="ALLEGRETTI MARIA"/>
    <s v="600 - Famiglie consumatrici"/>
    <m/>
    <s v="086 - ITALIA"/>
    <n v="85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97"/>
    <s v="14"/>
    <s v="Operazione per conto di importo elevato per la causale ed il soggetto"/>
    <d v="2025-04-19T00:00:00"/>
    <n v="53850"/>
    <n v="143"/>
    <s v="053850_143"/>
    <s v="Discovery Day"/>
    <s v="Mai valutato"/>
    <m/>
    <n v="202504187910037"/>
    <n v="1423300308937"/>
    <n v="20250418"/>
    <x v="3"/>
    <m/>
    <s v="086 - ITALIA"/>
    <s v="D     - Dare"/>
    <n v="208650"/>
    <n v="0"/>
    <n v="4922778"/>
    <s v="GBRFRT68R69Z315E"/>
    <s v="GEBREYES TEGEGNE FIKIRET"/>
    <s v="600 - Famiglie consumatrici"/>
    <m/>
    <s v="086 - ITALIA"/>
    <n v="65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96"/>
    <s v="14"/>
    <s v="Operazione per conto di importo elevato per la causale ed il soggetto"/>
    <d v="2025-04-19T00:00:00"/>
    <n v="53850"/>
    <n v="132"/>
    <s v="053850_132"/>
    <s v="Discovery Day"/>
    <s v="Mai valutato"/>
    <m/>
    <n v="202504187910004"/>
    <n v="1323300001944"/>
    <n v="20250418"/>
    <x v="9"/>
    <m/>
    <m/>
    <s v="D     - Dare"/>
    <n v="329000"/>
    <n v="0"/>
    <n v="4730749"/>
    <s v="PRSGNT90P24L418W"/>
    <s v="PARISI GIACINTO"/>
    <s v="600 - Famiglie consumatrici"/>
    <m/>
    <s v="086 - ITALIA"/>
    <n v="873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395"/>
    <s v="14"/>
    <s v="Operazione per conto di importo elevato per la causale ed il soggetto"/>
    <d v="2025-04-19T00:00:00"/>
    <n v="53850"/>
    <n v="121"/>
    <s v="053850_121"/>
    <s v="Discovery Day"/>
    <s v="Mai valutato"/>
    <m/>
    <n v="202504187908967"/>
    <n v="1213300002600"/>
    <n v="20250418"/>
    <x v="3"/>
    <m/>
    <s v="086 - ITALIA"/>
    <s v="D     - Dare"/>
    <n v="1000000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s v="IN CARICO AL RESPONSABILE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392"/>
    <s v="14"/>
    <s v="Operazione per conto di importo elevato per la causale ed il soggetto"/>
    <d v="2025-04-19T00:00:00"/>
    <n v="53850"/>
    <n v="192"/>
    <s v="053850_192"/>
    <s v="Discovery Day"/>
    <s v="Mai valutato"/>
    <m/>
    <n v="202504187910166"/>
    <n v="1923300183477"/>
    <n v="20250418"/>
    <x v="0"/>
    <m/>
    <m/>
    <s v="D     - Dare"/>
    <n v="8442.5499999999993"/>
    <n v="0"/>
    <n v="4587104"/>
    <s v="MLIMRA73A43E986S"/>
    <s v="MIALI MARIA"/>
    <s v="600 - Famiglie consumatrici"/>
    <m/>
    <s v="086 - ITALIA"/>
    <n v="36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91"/>
    <s v="14"/>
    <s v="Operazione per conto di importo elevato per la causale ed il soggetto"/>
    <d v="2025-04-19T00:00:00"/>
    <n v="53850"/>
    <n v="171"/>
    <s v="053850_171"/>
    <s v="Discovery Day"/>
    <s v="Mai valutato"/>
    <m/>
    <n v="202504187910116"/>
    <n v="1713302213235"/>
    <n v="20250418"/>
    <x v="0"/>
    <m/>
    <m/>
    <s v="D     - Dare"/>
    <n v="10138.19"/>
    <n v="0"/>
    <n v="4063319"/>
    <s v="FRSGPP32H08A893Q"/>
    <s v="FRASCELLA GIUSEPPE"/>
    <s v="600 - Famiglie consumatrici"/>
    <m/>
    <s v="086 - ITALIA"/>
    <n v="85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90"/>
    <s v="14"/>
    <s v="Operazione per conto di importo elevato per la causale ed il soggetto"/>
    <d v="2025-04-19T00:00:00"/>
    <n v="53850"/>
    <n v="192"/>
    <s v="053850_192"/>
    <s v="Discovery Day"/>
    <s v="Mai valutato"/>
    <m/>
    <n v="202504187910166"/>
    <n v="1923300183477"/>
    <n v="20250418"/>
    <x v="0"/>
    <m/>
    <m/>
    <s v="D     - Dare"/>
    <n v="8442.5499999999993"/>
    <n v="0"/>
    <n v="3060699"/>
    <s v="MLITDS39E26E986A"/>
    <s v="MIALI TEODOSIO"/>
    <s v="600 - Famiglie consumatrici"/>
    <m/>
    <s v="086 - ITALIA"/>
    <n v="36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87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1"/>
    <s v="CRBNGL74L11F052Z"/>
    <s v="CARBONE ANGEL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86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4"/>
    <s v="CRBLRD78M07F052Q"/>
    <s v="CARBONE LEONARD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74"/>
    <s v="14"/>
    <s v="Operazione per conto di importo elevato per la causale ed il soggetto"/>
    <d v="2025-04-18T00:00:00"/>
    <n v="53850"/>
    <n v="268"/>
    <s v="053850_268"/>
    <s v="Discovery Day"/>
    <s v="Mai valutato"/>
    <m/>
    <n v="202504177907010"/>
    <n v="2683300000171"/>
    <n v="20250417"/>
    <x v="16"/>
    <m/>
    <m/>
    <s v="D     - Dare"/>
    <n v="805996.47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72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1L"/>
    <n v="1923300178032"/>
    <n v="20250417"/>
    <x v="0"/>
    <m/>
    <m/>
    <s v="D     - Dare"/>
    <n v="1480.93"/>
    <n v="0"/>
    <n v="4031368"/>
    <s v="PLONGL37C51H096Q"/>
    <s v="POLI ANGELA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69"/>
    <s v="14"/>
    <s v="Operazione per conto di importo elevato per la causale ed il soggetto"/>
    <d v="2025-04-18T00:00:00"/>
    <n v="53850"/>
    <n v="104"/>
    <s v="053850_104"/>
    <s v="Discovery Day"/>
    <s v="Mai valutato"/>
    <m/>
    <n v="202504177907564"/>
    <n v="1043301449156"/>
    <n v="20250417"/>
    <x v="5"/>
    <m/>
    <m/>
    <s v="A     - Avere"/>
    <n v="58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368"/>
    <s v="14"/>
    <s v="Operazione per conto di importo elevato per la causale ed il soggetto"/>
    <d v="2025-04-18T00:00:00"/>
    <n v="53850"/>
    <n v="196"/>
    <s v="053850_196"/>
    <s v="Discovery Day"/>
    <s v="Mai valutato"/>
    <m/>
    <n v="202504177905875"/>
    <n v="1963302353232"/>
    <n v="20250417"/>
    <x v="3"/>
    <m/>
    <s v="086 - ITALIA"/>
    <s v="D     - Dare"/>
    <n v="1060364.46"/>
    <n v="0"/>
    <n v="4129136"/>
    <n v="1943350718"/>
    <s v="VINORTE S.R.L."/>
    <s v="430 - Imprese produttive"/>
    <s v="110 - INDUSTRIA DELLE BEVANDE"/>
    <s v="086 - ITALIA"/>
    <n v="870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66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2L"/>
    <n v="1923300125945"/>
    <n v="20250417"/>
    <x v="0"/>
    <m/>
    <m/>
    <s v="D     - Dare"/>
    <n v="1081.31"/>
    <n v="0"/>
    <n v="3174010"/>
    <s v="CCRNTN32L10E986O"/>
    <s v="CICERO ANTONIO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55"/>
    <s v="14"/>
    <s v="Operazione per conto di importo elevato per la causale ed il soggetto"/>
    <d v="2025-04-18T00:00:00"/>
    <n v="53850"/>
    <n v="268"/>
    <s v="053850_268"/>
    <s v="Discovery Day"/>
    <s v="Mai valutato"/>
    <m/>
    <n v="202504177907009"/>
    <n v="2681147800157"/>
    <n v="20250417"/>
    <x v="17"/>
    <m/>
    <m/>
    <s v="A     - Avere"/>
    <n v="805996.47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47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1L"/>
    <n v="1923300178032"/>
    <n v="20250417"/>
    <x v="0"/>
    <m/>
    <m/>
    <s v="D     - Dare"/>
    <n v="1480.93"/>
    <n v="0"/>
    <n v="3174010"/>
    <s v="CCRNTN32L10E986O"/>
    <s v="CICERO ANTONIO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37"/>
    <s v="14"/>
    <s v="Operazione per conto di importo elevato per la causale ed il soggetto"/>
    <d v="2025-04-17T00:00:00"/>
    <n v="53850"/>
    <n v="125"/>
    <s v="053850_125"/>
    <s v="Discovery Day"/>
    <s v="Mai valutato"/>
    <m/>
    <s v="202504165994287L"/>
    <n v="1253300001246"/>
    <n v="20250416"/>
    <x v="0"/>
    <m/>
    <m/>
    <s v="D     - Dare"/>
    <n v="1650.83"/>
    <n v="0"/>
    <n v="4171290"/>
    <s v="GNTFNN61D15I676G"/>
    <s v="GENTILE FERNAND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36"/>
    <s v="14"/>
    <s v="Operazione per conto di importo elevato per la causale ed il soggetto"/>
    <d v="2025-04-17T00:00:00"/>
    <n v="53850"/>
    <n v="119"/>
    <s v="053850_119"/>
    <s v="Discovery Day"/>
    <s v="Mai valutato"/>
    <m/>
    <n v="202504167905032"/>
    <n v="1193308874020"/>
    <n v="20250416"/>
    <x v="0"/>
    <m/>
    <m/>
    <s v="D     - Dare"/>
    <n v="8026.95"/>
    <n v="0"/>
    <n v="475355"/>
    <s v="CLLNGL31A06A662F"/>
    <s v="CILLO ANGELO"/>
    <s v="600 - Famiglie consumatrici"/>
    <m/>
    <s v="086 - ITALIA"/>
    <n v="669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35"/>
    <s v="14"/>
    <s v="Operazione per conto di importo elevato per la causale ed il soggetto"/>
    <d v="2025-04-17T00:00:00"/>
    <n v="53850"/>
    <n v="122"/>
    <s v="053850_122"/>
    <s v="Discovery Day"/>
    <s v="Mai valutato"/>
    <m/>
    <n v="202504167902925"/>
    <n v="1223300001682"/>
    <n v="20250416"/>
    <x v="1"/>
    <m/>
    <s v="086 - ITALIA"/>
    <s v="A     - Avere"/>
    <n v="1245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333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9"/>
    <n v="1063302770540"/>
    <n v="20250416"/>
    <x v="0"/>
    <m/>
    <m/>
    <s v="D     - Dare"/>
    <n v="12338.81"/>
    <n v="0"/>
    <n v="4111345"/>
    <s v="ZCCGTN68T18L328D"/>
    <s v="ZACCAGNI GAETANO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332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9"/>
    <n v="1063302770540"/>
    <n v="20250416"/>
    <x v="0"/>
    <m/>
    <m/>
    <s v="D     - Dare"/>
    <n v="12338.81"/>
    <n v="0"/>
    <n v="34026"/>
    <s v="ZCCFDN34D27F220B"/>
    <s v="ZACCAGNI FERDINANDO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324"/>
    <s v="14"/>
    <s v="Operazione per conto di importo elevato per la causale ed il soggetto"/>
    <d v="2025-04-17T00:00:00"/>
    <n v="53850"/>
    <n v="125"/>
    <s v="053850_125"/>
    <s v="Discovery Day"/>
    <s v="Mai valutato"/>
    <m/>
    <s v="202504165994287L"/>
    <n v="1253300001246"/>
    <n v="20250416"/>
    <x v="0"/>
    <m/>
    <m/>
    <s v="D     - Dare"/>
    <n v="1650.83"/>
    <n v="0"/>
    <n v="4171313"/>
    <s v="GNTGNI65M09I676Y"/>
    <s v="GENTILE GIN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22"/>
    <s v="14"/>
    <s v="Operazione per conto di importo elevato per la causale ed il soggetto"/>
    <d v="2025-04-17T00:00:00"/>
    <n v="53850"/>
    <n v="141"/>
    <s v="053850_141"/>
    <s v="Discovery Day"/>
    <s v="Mai valutato"/>
    <m/>
    <n v="202504167905088"/>
    <n v="1413300004360"/>
    <n v="20250416"/>
    <x v="3"/>
    <m/>
    <m/>
    <s v="D     - Dare"/>
    <n v="320000"/>
    <n v="0"/>
    <n v="3740194"/>
    <s v="RREFRC81H70D862X"/>
    <s v="ERROI FEDERICA"/>
    <s v="600 - Famiglie consumatrici"/>
    <m/>
    <s v="086 - ITALIA"/>
    <n v="1380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318"/>
    <s v="14"/>
    <s v="Operazione per conto di importo elevato per la causale ed il soggetto"/>
    <d v="2025-04-17T00:00:00"/>
    <n v="53850"/>
    <n v="187"/>
    <s v="053850_187"/>
    <s v="Discovery Day"/>
    <s v="Mai valutato"/>
    <m/>
    <n v="202504167902317"/>
    <n v="999361870311"/>
    <n v="20250416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16"/>
    <s v="14"/>
    <s v="Operazione per conto di importo elevato per la causale ed il soggetto"/>
    <d v="2025-04-17T00:00:00"/>
    <n v="53850"/>
    <n v="270"/>
    <s v="053850_270"/>
    <s v="Discovery Day"/>
    <s v="Mai valutato"/>
    <m/>
    <n v="202504167904871"/>
    <n v="2703300010043"/>
    <n v="20250416"/>
    <x v="0"/>
    <m/>
    <m/>
    <s v="D     - Dare"/>
    <n v="45671.839999999997"/>
    <n v="0"/>
    <n v="1623092"/>
    <s v="RSTNDA62R42Z700H"/>
    <s v="ROSATO NADIA"/>
    <s v="600 - Famiglie consumatrici"/>
    <m/>
    <s v="086 - ITALIA"/>
    <n v="187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313"/>
    <s v="14"/>
    <s v="Operazione per conto di importo elevato per la causale ed il soggetto"/>
    <d v="2025-04-17T00:00:00"/>
    <n v="53850"/>
    <n v="119"/>
    <s v="053850_119"/>
    <s v="Discovery Day"/>
    <s v="Mai valutato"/>
    <m/>
    <n v="202504167905032"/>
    <n v="1193308874020"/>
    <n v="20250416"/>
    <x v="0"/>
    <m/>
    <m/>
    <s v="D     - Dare"/>
    <n v="8026.95"/>
    <n v="0"/>
    <n v="571251"/>
    <s v="CLLLRD63B02A662N"/>
    <s v="CILLO LEONARDO"/>
    <s v="600 - Famiglie consumatrici"/>
    <m/>
    <s v="086 - ITALIA"/>
    <n v="669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12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6"/>
    <n v="1063302768424"/>
    <n v="20250416"/>
    <x v="0"/>
    <m/>
    <m/>
    <s v="D     - Dare"/>
    <n v="20474.53"/>
    <n v="0"/>
    <n v="4028926"/>
    <n v="90018550724"/>
    <s v="ASSOCIAZIONE PRO LOCO MINERVINO MURGE"/>
    <s v="501 - Istituzioni ed enti con finalita' di assistenza, beneficenza, istruzione, culturali, sindacali, politiche, sportive, ricreative e simili"/>
    <m/>
    <s v="086 - ITALIA"/>
    <n v="1630"/>
    <m/>
    <m/>
    <m/>
    <m/>
    <m/>
    <m/>
    <m/>
    <n v="0"/>
    <n v="202504"/>
    <s v="IN VALUTAZIONE RPR"/>
    <x v="1"/>
    <n v="1"/>
    <m/>
    <m/>
    <n v="1"/>
    <n v="999"/>
    <n v="501"/>
    <n v="501999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311"/>
    <s v="14"/>
    <s v="Operazione per conto di importo elevato per la causale ed il soggetto"/>
    <d v="2025-04-17T00:00:00"/>
    <n v="53850"/>
    <n v="102"/>
    <s v="053850_102"/>
    <s v="Discovery Day"/>
    <s v="Mai valutato"/>
    <m/>
    <n v="202504167903092"/>
    <n v="1023308727913"/>
    <n v="20250416"/>
    <x v="1"/>
    <m/>
    <s v="086 - ITALIA"/>
    <s v="A     - Avere"/>
    <n v="3000000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307"/>
    <s v="14"/>
    <s v="Operazione per conto di importo elevato per la causale ed il soggetto"/>
    <d v="2025-04-17T00:00:00"/>
    <n v="53850"/>
    <n v="169"/>
    <s v="053850_169"/>
    <s v="Discovery Day"/>
    <s v="Mai valutato"/>
    <m/>
    <s v="202504166002684L"/>
    <n v="1693302225542"/>
    <n v="20250416"/>
    <x v="0"/>
    <m/>
    <m/>
    <s v="D     - Dare"/>
    <n v="4676.7"/>
    <n v="0"/>
    <n v="553145"/>
    <s v="DLLNDR46L26A883Z"/>
    <s v="DELL'ORCO ANDREA"/>
    <s v="600 - Famiglie consumatrici"/>
    <m/>
    <s v="086 - ITALIA"/>
    <n v="135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04"/>
    <s v="14"/>
    <s v="Operazione per conto di importo elevato per la causale ed il soggetto"/>
    <d v="2025-04-16T00:00:00"/>
    <n v="53850"/>
    <n v="141"/>
    <s v="053850_141"/>
    <s v="Discovery Day"/>
    <s v="Mai valutato"/>
    <m/>
    <n v="202504157898702"/>
    <n v="1413300003985"/>
    <n v="20250415"/>
    <x v="3"/>
    <m/>
    <s v="086 - ITALIA"/>
    <s v="D     - Dare"/>
    <n v="1566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s v="ARCHIVIATA"/>
    <x v="0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03"/>
    <s v="14"/>
    <s v="Operazione per conto di importo elevato per la causale ed il soggetto"/>
    <d v="2025-04-16T00:00:00"/>
    <n v="53850"/>
    <n v="164"/>
    <s v="053850_164"/>
    <s v="Discovery Day"/>
    <s v="Mai valutato"/>
    <m/>
    <n v="202504157901537"/>
    <n v="1645500369067"/>
    <n v="20250415"/>
    <x v="18"/>
    <m/>
    <m/>
    <s v="D     - Da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00"/>
    <s v="14"/>
    <s v="Operazione per conto di importo elevato per la causale ed il soggetto"/>
    <d v="2025-04-16T00:00:00"/>
    <n v="53850"/>
    <n v="102"/>
    <s v="053850_102"/>
    <s v="Discovery Day"/>
    <s v="Mai valutato"/>
    <m/>
    <n v="202504157900518"/>
    <n v="1023308719190"/>
    <n v="20250415"/>
    <x v="15"/>
    <m/>
    <m/>
    <s v="D     - Dare"/>
    <n v="1576491.0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4"/>
    <s v="IN VALUTAZIONE RPR"/>
    <x v="1"/>
    <n v="1"/>
    <m/>
    <m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98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0"/>
    <n v="1645500369067"/>
    <n v="20250415"/>
    <x v="19"/>
    <m/>
    <m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297"/>
    <s v="14"/>
    <s v="Operazione per conto di importo elevato per la causale ed il soggetto"/>
    <d v="2025-04-16T00:00:00"/>
    <n v="53850"/>
    <n v="193"/>
    <s v="053850_193"/>
    <s v="Discovery Day"/>
    <s v="Mai valutato"/>
    <m/>
    <s v="202504155917729L"/>
    <n v="1933300023734"/>
    <n v="20250415"/>
    <x v="0"/>
    <m/>
    <m/>
    <s v="D     - Dare"/>
    <n v="1714.22"/>
    <n v="0"/>
    <n v="4120833"/>
    <s v="TVLNTN80M04A048T"/>
    <s v="TIEVOLI ANTONI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96"/>
    <s v="14"/>
    <s v="Operazione per conto di importo elevato per la causale ed il soggetto"/>
    <d v="2025-04-16T00:00:00"/>
    <n v="53850"/>
    <n v="193"/>
    <s v="053850_193"/>
    <s v="Discovery Day"/>
    <s v="Mai valutato"/>
    <m/>
    <n v="202504157901632"/>
    <n v="1933300024574"/>
    <n v="20250415"/>
    <x v="0"/>
    <m/>
    <m/>
    <s v="D     - Dare"/>
    <n v="91155.22"/>
    <n v="0"/>
    <n v="4919436"/>
    <s v="LNTFPP79L13F784B"/>
    <s v="LENTINI FILIPPO"/>
    <s v="615 - Altre famiglie produttrici"/>
    <s v="561 - RISTORANTI E ATTIVITÀ DI RISTORAZIONE MOBILE"/>
    <s v="086 - ITALIA"/>
    <n v="1583"/>
    <m/>
    <m/>
    <m/>
    <m/>
    <m/>
    <m/>
    <m/>
    <n v="0"/>
    <n v="202504"/>
    <s v="IN VALUTAZIONE RPR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92"/>
    <s v="14"/>
    <s v="Operazione per conto di importo elevato per la causale ed il soggetto"/>
    <d v="2025-04-16T00:00:00"/>
    <n v="53850"/>
    <n v="102"/>
    <s v="053850_102"/>
    <s v="Discovery Day"/>
    <s v="Mai valutato"/>
    <m/>
    <n v="202504157899756"/>
    <n v="1023308726073"/>
    <n v="20250415"/>
    <x v="1"/>
    <m/>
    <s v="086 - ITALIA"/>
    <s v="A     - Avere"/>
    <n v="823562.73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4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91"/>
    <s v="14"/>
    <s v="Operazione per conto di importo elevato per la causale ed il soggetto"/>
    <d v="2025-04-16T00:00:00"/>
    <n v="53850"/>
    <n v="102"/>
    <s v="053850_102"/>
    <s v="Discovery Day"/>
    <s v="Mai valutato"/>
    <m/>
    <n v="202504157901265"/>
    <n v="1023308727570"/>
    <n v="20250415"/>
    <x v="3"/>
    <m/>
    <s v="086 - ITALIA"/>
    <s v="D     - Dare"/>
    <n v="179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m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289"/>
    <s v="14"/>
    <s v="Operazione per conto di importo elevato per la causale ed il soggetto"/>
    <d v="2025-04-16T00:00:00"/>
    <n v="53850"/>
    <n v="269"/>
    <s v="053850_269"/>
    <s v="Discovery Day"/>
    <s v="Mai valutato"/>
    <m/>
    <n v="202504157901735"/>
    <n v="2693300011439"/>
    <n v="20250415"/>
    <x v="0"/>
    <m/>
    <m/>
    <s v="D     - Dare"/>
    <n v="19817.11"/>
    <n v="0"/>
    <n v="1660933"/>
    <s v="FTTCSR53B05F582H"/>
    <s v="FITTI CESARE"/>
    <s v="600 - Famiglie consumatrici"/>
    <m/>
    <s v="086 - ITALIA"/>
    <n v="171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87"/>
    <s v="14"/>
    <s v="Operazione per conto di importo elevato per la causale ed il soggetto"/>
    <d v="2025-04-16T00:00:00"/>
    <n v="53850"/>
    <n v="121"/>
    <s v="053850_121"/>
    <s v="Discovery Day"/>
    <s v="Mai valutato"/>
    <m/>
    <s v="202504155917316L"/>
    <n v="1213300001148"/>
    <n v="20250415"/>
    <x v="0"/>
    <m/>
    <m/>
    <s v="D     - Dare"/>
    <n v="2326.5700000000002"/>
    <n v="0"/>
    <n v="44845"/>
    <s v="DDNMHL50P15F923F"/>
    <s v="DIDONNA MICHELE"/>
    <s v="600 - Famiglie consumatrici"/>
    <m/>
    <s v="086 - ITALIA"/>
    <n v="145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84"/>
    <s v="14"/>
    <s v="Operazione per conto di importo elevato per la causale ed il soggetto"/>
    <d v="2025-04-16T00:00:00"/>
    <n v="53850"/>
    <n v="136"/>
    <s v="053850_136"/>
    <s v="Discovery Day"/>
    <s v="Mai valutato"/>
    <m/>
    <n v="202504157899087"/>
    <n v="1363300003821"/>
    <n v="20250415"/>
    <x v="1"/>
    <m/>
    <s v="086 - ITALIA"/>
    <s v="A     - Avere"/>
    <n v="1500000"/>
    <n v="0"/>
    <n v="4724343"/>
    <n v="80007020748"/>
    <s v="TRIBUNALE DI BRINDISI"/>
    <s v="102 - Amministrazione Statale e Organi Costituzionali"/>
    <m/>
    <s v="086 - ITALIA"/>
    <n v="1909"/>
    <m/>
    <m/>
    <m/>
    <m/>
    <m/>
    <m/>
    <m/>
    <n v="0"/>
    <n v="202504"/>
    <s v="ARCHIVIATA"/>
    <x v="0"/>
    <n v="1"/>
    <m/>
    <m/>
    <n v="0"/>
    <n v="999"/>
    <n v="102"/>
    <n v="102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83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1"/>
    <n v="1645500369067"/>
    <n v="20250415"/>
    <x v="1"/>
    <m/>
    <s v="086 - ITALIA"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80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0"/>
    <n v="1645500369067"/>
    <n v="20250415"/>
    <x v="19"/>
    <m/>
    <m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275"/>
    <s v="14"/>
    <s v="Operazione per conto di importo elevato per la causale ed il soggetto"/>
    <d v="2025-04-16T00:00:00"/>
    <n v="53850"/>
    <n v="261"/>
    <s v="053850_261"/>
    <s v="Discovery Day"/>
    <s v="Mai valutato"/>
    <m/>
    <n v="202504157901699"/>
    <n v="2613300000555"/>
    <n v="20250415"/>
    <x v="1"/>
    <m/>
    <s v="086 - ITALIA"/>
    <s v="A     - Avere"/>
    <n v="304798.26"/>
    <n v="0"/>
    <n v="1615499"/>
    <s v="QGLSVN55B43E799H"/>
    <s v="QUAGLIA SILVANA"/>
    <s v="600 - Famiglie consumatrici"/>
    <m/>
    <s v="086 - ITALIA"/>
    <n v="177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74"/>
    <s v="14"/>
    <s v="Operazione per conto di importo elevato per la causale ed il soggetto"/>
    <d v="2025-04-16T00:00:00"/>
    <n v="53850"/>
    <n v="164"/>
    <s v="053850_164"/>
    <s v="Discovery Day"/>
    <s v="Mai valutato"/>
    <m/>
    <n v="202504157901537"/>
    <n v="1645500369067"/>
    <n v="20250415"/>
    <x v="18"/>
    <m/>
    <m/>
    <s v="D     - Da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72"/>
    <s v="14"/>
    <s v="Operazione per conto di importo elevato per la causale ed il soggetto"/>
    <d v="2025-04-16T00:00:00"/>
    <n v="53850"/>
    <n v="121"/>
    <s v="053850_121"/>
    <s v="Discovery Day"/>
    <s v="Mai valutato"/>
    <m/>
    <s v="202504155917316L"/>
    <n v="1213300001148"/>
    <n v="20250415"/>
    <x v="0"/>
    <m/>
    <m/>
    <s v="D     - Dare"/>
    <n v="2326.5700000000002"/>
    <n v="0"/>
    <n v="621271"/>
    <s v="SVNNGL54H51F923K"/>
    <s v="SAVINO ANGELA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71"/>
    <s v="14"/>
    <s v="Operazione per conto di importo elevato per la causale ed il soggetto"/>
    <d v="2025-04-16T00:00:00"/>
    <n v="53850"/>
    <n v="102"/>
    <s v="053850_102"/>
    <s v="Discovery Day"/>
    <s v="Mai valutato"/>
    <m/>
    <n v="202504157899557"/>
    <n v="1023308719190"/>
    <n v="20250415"/>
    <x v="1"/>
    <m/>
    <s v="086 - ITALIA"/>
    <s v="A     - Avere"/>
    <n v="1554410.45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4"/>
    <s v="IN VALUTAZIONE RPR"/>
    <x v="1"/>
    <n v="1"/>
    <m/>
    <m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66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1"/>
    <n v="1645500369067"/>
    <n v="20250415"/>
    <x v="1"/>
    <m/>
    <s v="086 - ITALIA"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62"/>
    <s v="14"/>
    <s v="Operazione per conto di importo elevato per la causale ed il soggetto"/>
    <d v="2025-04-15T00:00:00"/>
    <n v="53850"/>
    <n v="122"/>
    <s v="053850_122"/>
    <s v="Discovery Day"/>
    <s v="Mai valutato"/>
    <m/>
    <n v="202504147896370"/>
    <n v="1223300001682"/>
    <n v="20250414"/>
    <x v="1"/>
    <m/>
    <s v="086 - ITALIA"/>
    <s v="A     - Avere"/>
    <n v="941353.02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261"/>
    <s v="14"/>
    <s v="Operazione per conto di importo elevato per la causale ed il soggetto"/>
    <d v="2025-04-15T00:00:00"/>
    <n v="53850"/>
    <n v="114"/>
    <s v="053850_114"/>
    <s v="Discovery Day"/>
    <s v="Mai valutato"/>
    <m/>
    <n v="202504147897691"/>
    <n v="1143306282417"/>
    <n v="20250414"/>
    <x v="0"/>
    <m/>
    <m/>
    <s v="D     - Dare"/>
    <n v="8139.04"/>
    <n v="0"/>
    <n v="520648"/>
    <s v="SRRRNN56P55D643A"/>
    <s v="SERRONE ROSANNA"/>
    <s v="600 - Famiglie consumatrici"/>
    <m/>
    <s v="086 - ITALIA"/>
    <n v="642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60"/>
    <s v="14"/>
    <s v="Operazione per conto di importo elevato per la causale ed il soggetto"/>
    <d v="2025-04-15T00:00:00"/>
    <n v="53850"/>
    <n v="175"/>
    <s v="053850_175"/>
    <s v="Discovery Day"/>
    <s v="Mai valutato"/>
    <m/>
    <n v="202504147895113"/>
    <n v="1753305636160"/>
    <n v="20250414"/>
    <x v="3"/>
    <m/>
    <s v="086 - ITALIA"/>
    <s v="D     - Dare"/>
    <n v="145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4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255"/>
    <s v="14"/>
    <s v="Operazione per conto di importo elevato per la causale ed il soggetto"/>
    <d v="2025-04-15T00:00:00"/>
    <n v="53850"/>
    <n v="103"/>
    <s v="053850_103"/>
    <s v="Discovery Day"/>
    <s v="Mai valutato"/>
    <m/>
    <n v="202504147896449"/>
    <n v="1033306969582"/>
    <n v="20250414"/>
    <x v="1"/>
    <m/>
    <s v="086 - ITALIA"/>
    <s v="A     - Avere"/>
    <n v="573593.99"/>
    <n v="0"/>
    <n v="449281"/>
    <s v="CLSMNT62E67E155U"/>
    <s v="COLASANTI MARIA ANTONIETTA"/>
    <s v="600 - Famiglie consumatrici"/>
    <m/>
    <s v="086 - ITALIA"/>
    <n v="806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254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0"/>
    <n v="1093300826060"/>
    <n v="20250414"/>
    <x v="0"/>
    <m/>
    <m/>
    <s v="D     - Dare"/>
    <n v="50860.3"/>
    <n v="0"/>
    <n v="82561"/>
    <s v="CHRMRA28S19A662J"/>
    <s v="CHIARAPPA MARIO"/>
    <s v="600 - Famiglie consumatrici"/>
    <m/>
    <s v="086 - ITALIA"/>
    <n v="1430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46"/>
    <s v="14"/>
    <s v="Operazione per conto di importo elevato per la causale ed il soggetto"/>
    <d v="2025-04-15T00:00:00"/>
    <n v="53850"/>
    <n v="141"/>
    <s v="053850_141"/>
    <s v="Discovery Day"/>
    <s v="Mai valutato"/>
    <m/>
    <n v="202504147895340"/>
    <n v="1413300003985"/>
    <n v="20250414"/>
    <x v="3"/>
    <m/>
    <s v="086 - ITALIA"/>
    <s v="D     - Dare"/>
    <n v="1351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s v="ARCHIVIATA"/>
    <x v="0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236"/>
    <s v="14"/>
    <s v="Operazione per conto di importo elevato per la causale ed il soggetto"/>
    <d v="2025-04-15T00:00:00"/>
    <n v="53850"/>
    <n v="122"/>
    <s v="053850_122"/>
    <s v="Discovery Day"/>
    <s v="Mai valutato"/>
    <m/>
    <n v="202504147896369"/>
    <n v="1223300001682"/>
    <n v="20250414"/>
    <x v="1"/>
    <m/>
    <s v="086 - ITALIA"/>
    <s v="A     - Avere"/>
    <n v="659334.14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35"/>
    <s v="14"/>
    <s v="Operazione per conto di importo elevato per la causale ed il soggetto"/>
    <d v="2025-04-15T00:00:00"/>
    <n v="53850"/>
    <n v="195"/>
    <s v="053850_195"/>
    <s v="Discovery Day"/>
    <s v="Mai valutato"/>
    <m/>
    <n v="202504147896431"/>
    <n v="1943300005257"/>
    <n v="20250414"/>
    <x v="1"/>
    <m/>
    <s v="086 - ITALIA"/>
    <s v="A     - Avere"/>
    <n v="155770.47"/>
    <n v="0"/>
    <n v="3044309"/>
    <s v="DTTNMR66S68G252L"/>
    <s v="DETTOLI ANNA MARIA"/>
    <s v="615 - Altre famiglie produttrici"/>
    <s v="477 - COMMERCIO AL DETTAGLIO DI ALTRI PRODOTTI IN ESERCIZI SPECIALIZZATI"/>
    <s v="086 - ITALIA"/>
    <n v="1961"/>
    <m/>
    <m/>
    <m/>
    <m/>
    <m/>
    <m/>
    <m/>
    <n v="0"/>
    <n v="202504"/>
    <s v="IN VALUTAZIONE RPR"/>
    <x v="1"/>
    <n v="1"/>
    <m/>
    <m/>
    <n v="0"/>
    <n v="477"/>
    <n v="615"/>
    <n v="615477"/>
    <s v="Classe di rischio 6"/>
    <m/>
    <x v="6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34"/>
    <s v="14"/>
    <s v="Operazione per conto di importo elevato per la causale ed il soggetto"/>
    <d v="2025-04-15T00:00:00"/>
    <n v="53850"/>
    <n v="102"/>
    <s v="053850_102"/>
    <s v="Discovery Day"/>
    <s v="Mai valutato"/>
    <m/>
    <n v="202504147895160"/>
    <n v="1503300003188"/>
    <n v="20250414"/>
    <x v="3"/>
    <m/>
    <s v="086 - ITALIA"/>
    <s v="D     - Dare"/>
    <n v="134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33"/>
    <s v="14"/>
    <s v="Operazione per conto di importo elevato per la causale ed il soggetto"/>
    <d v="2025-04-15T00:00:00"/>
    <n v="53850"/>
    <n v="175"/>
    <s v="053850_175"/>
    <s v="Discovery Day"/>
    <s v="Mai valutato"/>
    <m/>
    <n v="202504147896454"/>
    <n v="1753302203732"/>
    <n v="20250414"/>
    <x v="1"/>
    <m/>
    <s v="086 - ITALIA"/>
    <s v="A     - Avere"/>
    <n v="206686.93"/>
    <n v="0"/>
    <n v="70830"/>
    <s v="ZCCDNC49D12E326K"/>
    <s v="ZICCARDI DOMENICO"/>
    <s v="600 - Famiglie consumatrici"/>
    <m/>
    <s v="086 - ITALIA"/>
    <n v="126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31"/>
    <s v="14"/>
    <s v="Operazione per conto di importo elevato per la causale ed il soggetto"/>
    <d v="2025-04-15T00:00:00"/>
    <n v="53850"/>
    <n v="102"/>
    <s v="053850_102"/>
    <s v="Discovery Day"/>
    <s v="Mai valutato"/>
    <m/>
    <n v="202504147897549"/>
    <n v="1023302224320"/>
    <n v="20250414"/>
    <x v="0"/>
    <m/>
    <m/>
    <s v="D     - Dare"/>
    <n v="52291.78"/>
    <n v="0"/>
    <n v="222432"/>
    <s v="DBNDTM31P58A225I"/>
    <s v="DIBENEDETTO DONATA MARIA"/>
    <s v="600 - Famiglie consumatrici"/>
    <m/>
    <s v="086 - ITALIA"/>
    <n v="1429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30"/>
    <s v="14"/>
    <s v="Operazione per conto di importo elevato per la causale ed il soggetto"/>
    <d v="2025-04-15T00:00:00"/>
    <n v="53850"/>
    <n v="114"/>
    <s v="053850_114"/>
    <s v="Discovery Day"/>
    <s v="Mai valutato"/>
    <m/>
    <n v="202504147897691"/>
    <n v="1143306282417"/>
    <n v="20250414"/>
    <x v="0"/>
    <m/>
    <m/>
    <s v="D     - Dare"/>
    <n v="8139.04"/>
    <n v="0"/>
    <n v="520646"/>
    <s v="MGLFNC48A02D643D"/>
    <s v="MAGALETTA FRANCESCO"/>
    <s v="600 - Famiglie consumatrici"/>
    <m/>
    <s v="086 - ITALIA"/>
    <n v="642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27"/>
    <s v="14"/>
    <s v="Operazione per conto di importo elevato per la causale ed il soggetto"/>
    <d v="2025-04-15T00:00:00"/>
    <n v="53850"/>
    <n v="164"/>
    <s v="053850_164"/>
    <s v="Discovery Day"/>
    <s v="Mai valutato"/>
    <m/>
    <s v="202504145854880L"/>
    <n v="1643300370271"/>
    <n v="20250414"/>
    <x v="0"/>
    <m/>
    <m/>
    <s v="D     - Dare"/>
    <n v="3050.66"/>
    <n v="0"/>
    <n v="4972098"/>
    <s v="RNLNLM66C70I158Q"/>
    <s v="RINALDI ANGELA MARIA"/>
    <s v="600 - Famiglie consumatrici"/>
    <m/>
    <s v="086 - ITALIA"/>
    <n v="79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23"/>
    <s v="14"/>
    <s v="Operazione per conto di importo elevato per la causale ed il soggetto"/>
    <d v="2025-04-15T00:00:00"/>
    <n v="53850"/>
    <n v="277"/>
    <s v="053850_277"/>
    <s v="Discovery Day"/>
    <s v="Mai valutato"/>
    <m/>
    <n v="202504147897500"/>
    <n v="2773300001983"/>
    <n v="20250414"/>
    <x v="11"/>
    <m/>
    <m/>
    <s v="D     - Dare"/>
    <n v="600000"/>
    <n v="0"/>
    <n v="1706936"/>
    <n v="1539900694"/>
    <s v="PRIMA EASTERN SPA"/>
    <s v="430 - Imprese produttive"/>
    <s v="151 - PREPARAZIONE E CONCIA DEL CUOIO, FABBRICAZIONE DI ARTICOLI DA VIAGGIO, BORSE, PELLETTERIA E SELLERIA, PREPARAZIONE E TINTURA DI PELLICCE"/>
    <s v="086 - ITALIA"/>
    <n v="1856"/>
    <m/>
    <m/>
    <m/>
    <m/>
    <m/>
    <m/>
    <m/>
    <n v="0"/>
    <n v="202504"/>
    <s v="CONFERMATA RPR"/>
    <x v="0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22"/>
    <s v="14"/>
    <s v="Operazione per conto di importo elevato per la causale ed il soggetto"/>
    <d v="2025-04-15T00:00:00"/>
    <n v="53850"/>
    <n v="102"/>
    <s v="053850_102"/>
    <s v="Discovery Day"/>
    <s v="Mai valutato"/>
    <m/>
    <n v="202504147895681"/>
    <n v="1023305588130"/>
    <n v="20250414"/>
    <x v="1"/>
    <m/>
    <s v="086 - ITALIA"/>
    <s v="A     - Avere"/>
    <n v="294308"/>
    <n v="0"/>
    <n v="70682"/>
    <s v="PRNNTN54B53A225Z"/>
    <s v="PERNIOLA ANTONIA"/>
    <s v="600 - Famiglie consumatrici"/>
    <m/>
    <s v="086 - ITALIA"/>
    <n v="133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221"/>
    <s v="14"/>
    <s v="Operazione per conto di importo elevato per la causale ed il soggetto"/>
    <d v="2025-04-15T00:00:00"/>
    <n v="53850"/>
    <n v="110"/>
    <s v="053850_110"/>
    <s v="Discovery Day"/>
    <s v="Mai valutato"/>
    <m/>
    <n v="202504147897663"/>
    <n v="1103304317690"/>
    <n v="20250414"/>
    <x v="3"/>
    <m/>
    <s v="086 - ITALIA"/>
    <s v="D     - Dare"/>
    <n v="240000"/>
    <n v="0"/>
    <n v="431769"/>
    <s v="RSSGPP57S14A669Q"/>
    <s v="RUSSO GIUSEPPE"/>
    <s v="600 - Famiglie consumatrici"/>
    <m/>
    <s v="086 - ITALIA"/>
    <n v="1359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219"/>
    <s v="14"/>
    <s v="Operazione per conto di importo elevato per la causale ed il soggetto"/>
    <d v="2025-04-15T00:00:00"/>
    <n v="53850"/>
    <n v="175"/>
    <s v="053850_175"/>
    <s v="Discovery Day"/>
    <s v="Mai valutato"/>
    <m/>
    <n v="202504147896454"/>
    <n v="1753302203732"/>
    <n v="20250414"/>
    <x v="1"/>
    <m/>
    <s v="086 - ITALIA"/>
    <s v="A     - Avere"/>
    <n v="206686.93"/>
    <n v="0"/>
    <n v="421274"/>
    <s v="TRNFME52L52E326F"/>
    <s v="TARANTINO EUFEMIA"/>
    <s v="600 - Famiglie consumatrici"/>
    <m/>
    <s v="086 - ITALIA"/>
    <n v="59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17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4"/>
    <n v="1093304137240"/>
    <n v="20250414"/>
    <x v="0"/>
    <m/>
    <m/>
    <s v="D     - Dare"/>
    <n v="28337.87"/>
    <n v="0"/>
    <n v="413724"/>
    <s v="DFLRRT52M11A893Z"/>
    <s v="DE FLAMMINEIS ROBERTO"/>
    <s v="600 - Famiglie consumatrici"/>
    <m/>
    <s v="086 - ITALIA"/>
    <n v="1430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15"/>
    <s v="14"/>
    <s v="Operazione per conto di importo elevato per la causale ed il soggetto"/>
    <d v="2025-04-15T00:00:00"/>
    <n v="53850"/>
    <n v="170"/>
    <s v="053850_170"/>
    <s v="Discovery Day"/>
    <s v="Mai valutato"/>
    <m/>
    <n v="202504147895302"/>
    <n v="1703306290830"/>
    <n v="20250414"/>
    <x v="8"/>
    <m/>
    <m/>
    <s v="D     - Dare"/>
    <n v="732210.04"/>
    <n v="0"/>
    <n v="4934769"/>
    <n v="2791590728"/>
    <s v="LA PULITA &amp; SERVICE S.C.R.L. COOPERATIVA DI PRODUZIONE E LAVORO A RESPONSABILITA"/>
    <s v="430 - Imprese produttive"/>
    <s v="812 - ATTIVITÀ DI PULIZIA E DISINFESTAZIONE"/>
    <s v="086 - ITALIA"/>
    <n v="1919"/>
    <m/>
    <m/>
    <m/>
    <m/>
    <m/>
    <m/>
    <m/>
    <n v="0"/>
    <n v="202504"/>
    <s v="IN VALUTAZIONE RPR"/>
    <x v="1"/>
    <n v="1"/>
    <m/>
    <m/>
    <n v="0"/>
    <n v="812"/>
    <n v="430"/>
    <n v="4308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14"/>
    <s v="14"/>
    <s v="Operazione per conto di importo elevato per la causale ed il soggetto"/>
    <d v="2025-04-15T00:00:00"/>
    <n v="53850"/>
    <n v="122"/>
    <s v="053850_122"/>
    <s v="Discovery Day"/>
    <s v="Mai valutato"/>
    <m/>
    <n v="202504147897736"/>
    <n v="1223300002884"/>
    <n v="20250414"/>
    <x v="3"/>
    <m/>
    <m/>
    <s v="D     - Dare"/>
    <n v="282133.15999999997"/>
    <n v="0"/>
    <n v="3736222"/>
    <s v="TRTLSN80R55F842D"/>
    <s v="TROTTA ALESSANDRA"/>
    <s v="600 - Famiglie consumatrici"/>
    <m/>
    <s v="086 - ITALIA"/>
    <n v="96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10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0"/>
    <n v="1093300826060"/>
    <n v="20250414"/>
    <x v="0"/>
    <m/>
    <m/>
    <s v="D     - Dare"/>
    <n v="50860.3"/>
    <n v="0"/>
    <n v="82565"/>
    <s v="DBRCST26E70A662Z"/>
    <s v="DE BARTOLO CRISTINA"/>
    <s v="600 - Famiglie consumatrici"/>
    <m/>
    <s v="086 - ITALIA"/>
    <n v="191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516"/>
    <s v="14"/>
    <s v="Operazione per conto di importo elevato per la causale ed il soggetto"/>
    <d v="2025-04-12T00:00:00"/>
    <n v="53850"/>
    <n v="117"/>
    <s v="053850_117"/>
    <s v="Discovery Day"/>
    <s v="Mai valutato"/>
    <m/>
    <n v="202504147888460"/>
    <n v="1173300536339"/>
    <n v="20250414"/>
    <x v="20"/>
    <m/>
    <m/>
    <s v="D     - Dare"/>
    <n v="320000"/>
    <n v="0"/>
    <n v="3028778"/>
    <s v="DLMCRL58T29L049W"/>
    <s v="DEL MARE CARLO"/>
    <s v="600 - Famiglie consumatrici"/>
    <m/>
    <s v="086 - ITALIA"/>
    <n v="1772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5"/>
    <s v="14"/>
    <s v="Operazione per conto di importo elevato per la causale ed il soggetto"/>
    <d v="2025-04-12T00:00:00"/>
    <n v="53850"/>
    <n v="102"/>
    <s v="053850_102"/>
    <s v="Discovery Day"/>
    <s v="Mai valutato"/>
    <m/>
    <n v="202504147888524"/>
    <n v="1023302251821"/>
    <n v="20250414"/>
    <x v="21"/>
    <m/>
    <m/>
    <s v="A     - Avere"/>
    <n v="199998"/>
    <n v="0"/>
    <n v="522069"/>
    <s v="CHRGNN79D17A225A"/>
    <s v="CHIRONNA GIOVANNI"/>
    <s v="614 - Artigiani"/>
    <s v="383 - RECUPERO DEI MATERIALI"/>
    <s v="086 - ITALIA"/>
    <n v="1306"/>
    <m/>
    <m/>
    <m/>
    <m/>
    <m/>
    <m/>
    <m/>
    <n v="0"/>
    <n v="202504"/>
    <s v="ARCHIVIATA"/>
    <x v="0"/>
    <n v="1"/>
    <m/>
    <m/>
    <n v="0"/>
    <n v="383"/>
    <n v="614"/>
    <n v="614383"/>
    <s v="Classe di rischio 6"/>
    <m/>
    <x v="6"/>
    <n v="199998"/>
    <n v="215173"/>
    <n v="230348"/>
    <n v="245523"/>
    <n v="260698"/>
    <n v="275873"/>
    <n v="291048"/>
    <n v="306223"/>
    <n v="321398"/>
    <n v="336573"/>
    <n v="351748"/>
    <n v="366923"/>
    <n v="382098"/>
    <n v="397273"/>
    <n v="412448"/>
    <n v="427623"/>
    <n v="442798"/>
    <n v="457973"/>
    <n v="473148"/>
    <n v="488323"/>
    <n v="5034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4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66"/>
    <n v="1033306973662"/>
    <n v="20250414"/>
    <x v="21"/>
    <m/>
    <m/>
    <s v="A     - Avere"/>
    <n v="399998"/>
    <n v="0"/>
    <n v="11422"/>
    <s v="MSSGRZ57M45E155I"/>
    <s v="MASSARI GRAZIA"/>
    <s v="600 - Famiglie consumatrici"/>
    <m/>
    <s v="086 - ITALIA"/>
    <n v="806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3"/>
    <s v="14"/>
    <s v="Operazione per conto di importo elevato per la causale ed il soggetto"/>
    <d v="2025-04-12T00:00:00"/>
    <n v="53850"/>
    <n v="105"/>
    <s v="053850_105"/>
    <s v="Discovery Day"/>
    <s v="Mai valutato"/>
    <m/>
    <n v="202504147888589"/>
    <n v="1053304343840"/>
    <n v="20250414"/>
    <x v="21"/>
    <m/>
    <m/>
    <s v="A     - Avere"/>
    <n v="419998"/>
    <n v="0"/>
    <n v="434384"/>
    <s v="LSTFPP52E45E038X"/>
    <s v="LOSITO FILIPPA"/>
    <s v="600 - Famiglie consumatrici"/>
    <m/>
    <s v="086 - ITALIA"/>
    <n v="8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2"/>
    <s v="14"/>
    <s v="Operazione per conto di importo elevato per la causale ed il soggetto"/>
    <d v="2025-04-12T00:00:00"/>
    <n v="53850"/>
    <n v="109"/>
    <s v="053850_109"/>
    <s v="Discovery Day"/>
    <s v="Mai valutato"/>
    <m/>
    <n v="202504147888620"/>
    <n v="1093306673947"/>
    <n v="20250414"/>
    <x v="7"/>
    <m/>
    <m/>
    <s v="D     - Dare"/>
    <n v="383398.28"/>
    <n v="0"/>
    <n v="619606"/>
    <s v="DGSGRL71B60A662X"/>
    <s v="D'AGOSTINO GABRIELLA"/>
    <s v="600 - Famiglie consumatrici"/>
    <m/>
    <s v="086 - ITALIA"/>
    <n v="74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1"/>
    <s v="14"/>
    <s v="Operazione per conto di importo elevato per la causale ed il soggetto"/>
    <d v="2025-04-12T00:00:00"/>
    <n v="53850"/>
    <n v="116"/>
    <s v="053850_116"/>
    <s v="Discovery Day"/>
    <s v="Mai valutato"/>
    <m/>
    <n v="202504147888647"/>
    <n v="1423300308662"/>
    <n v="20250414"/>
    <x v="7"/>
    <m/>
    <m/>
    <s v="D     - Dare"/>
    <n v="599623.14"/>
    <n v="0"/>
    <n v="4239979"/>
    <n v="6173370724"/>
    <s v="ENTERPRICE ELVIM SISTEMI S.R.L."/>
    <s v="430 - Imprese produttive"/>
    <s v="619 - ALTRE ATTIVITÀ DI TELECOMUNICAZIONE"/>
    <s v="086 - ITALIA"/>
    <n v="1612"/>
    <m/>
    <m/>
    <m/>
    <m/>
    <m/>
    <m/>
    <m/>
    <n v="0"/>
    <n v="202504"/>
    <s v="IN VALUTAZIONE RPR"/>
    <x v="1"/>
    <n v="1"/>
    <m/>
    <m/>
    <n v="0"/>
    <n v="619"/>
    <n v="430"/>
    <n v="430619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0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48"/>
    <n v="1033301057030"/>
    <n v="20250414"/>
    <x v="21"/>
    <m/>
    <m/>
    <s v="A     - Avere"/>
    <n v="399998"/>
    <n v="0"/>
    <n v="105703"/>
    <s v="CLSMHL58T07E155M"/>
    <s v="COLASANTI MICHELE"/>
    <s v="600 - Famiglie consumatrici"/>
    <m/>
    <s v="086 - ITALIA"/>
    <n v="165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9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66"/>
    <n v="1033306973662"/>
    <n v="20250414"/>
    <x v="21"/>
    <m/>
    <m/>
    <s v="A     - Avere"/>
    <n v="399998"/>
    <n v="0"/>
    <n v="103743"/>
    <s v="SNTGPP57B16E155R"/>
    <s v="SANTERAMO GIUSEPPE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6"/>
    <s v="14"/>
    <s v="Operazione per conto di importo elevato per la causale ed il soggetto"/>
    <d v="2025-04-12T00:00:00"/>
    <n v="53850"/>
    <n v="270"/>
    <s v="053850_270"/>
    <s v="Discovery Day"/>
    <s v="Mai valutato"/>
    <m/>
    <n v="202504117890039"/>
    <n v="2703300001695"/>
    <n v="20250411"/>
    <x v="0"/>
    <m/>
    <m/>
    <s v="D     - Dare"/>
    <n v="35936.81"/>
    <n v="0"/>
    <n v="1663273"/>
    <s v="CMPBNC26S61D763B"/>
    <s v="CAMPLI BIANCA"/>
    <s v="600 - Famiglie consumatrici"/>
    <m/>
    <s v="086 - ITALIA"/>
    <n v="187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504"/>
    <s v="14"/>
    <s v="Operazione per conto di importo elevato per la causale ed il soggetto"/>
    <d v="2025-04-12T00:00:00"/>
    <n v="53850"/>
    <n v="164"/>
    <s v="053850_164"/>
    <s v="Discovery Day"/>
    <s v="Mai valutato"/>
    <m/>
    <n v="202504117889843"/>
    <n v="1645500369067"/>
    <n v="20250411"/>
    <x v="19"/>
    <m/>
    <m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502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439301"/>
    <s v="FLMGNN82C26A662U"/>
    <s v="FILIMBENI GIOVANNI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1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403536"/>
    <s v="FLMRFL46T10E155G"/>
    <s v="FILIMBENI RAFFAELE"/>
    <s v="600 - Famiglie consumatrici"/>
    <m/>
    <s v="086 - ITALIA"/>
    <n v="165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0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106613"/>
    <s v="PRSMVN51H53E155C"/>
    <s v="PARISI MARIA VINCENZA"/>
    <s v="600 - Famiglie consumatrici"/>
    <m/>
    <s v="086 - ITALIA"/>
    <n v="1657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93"/>
    <s v="14"/>
    <s v="Operazione per conto di importo elevato per la causale ed il soggetto"/>
    <d v="2025-04-12T00:00:00"/>
    <n v="53850"/>
    <n v="192"/>
    <s v="053850_192"/>
    <s v="Discovery Day"/>
    <s v="Mai valutato"/>
    <m/>
    <n v="202504117889963"/>
    <n v="1923300184022"/>
    <n v="20250411"/>
    <x v="0"/>
    <m/>
    <m/>
    <s v="D     - Dare"/>
    <n v="63308.61"/>
    <n v="0"/>
    <n v="4970354"/>
    <s v="FRNDNT40L68I907U"/>
    <s v="FRANCHINI DONATA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90"/>
    <s v="14"/>
    <s v="Operazione per conto di importo elevato per la causale ed il soggetto"/>
    <d v="2025-04-12T00:00:00"/>
    <n v="53850"/>
    <n v="164"/>
    <s v="053850_164"/>
    <s v="Discovery Day"/>
    <s v="Mai valutato"/>
    <m/>
    <n v="202504117889843"/>
    <n v="1645500369067"/>
    <n v="20250411"/>
    <x v="19"/>
    <m/>
    <m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489"/>
    <s v="14"/>
    <s v="Operazione per conto di importo elevato per la causale ed il soggetto"/>
    <d v="2025-04-12T00:00:00"/>
    <n v="53850"/>
    <n v="192"/>
    <s v="053850_192"/>
    <s v="Discovery Day"/>
    <s v="Mai valutato"/>
    <m/>
    <n v="202504117889963"/>
    <n v="1923300184022"/>
    <n v="20250411"/>
    <x v="0"/>
    <m/>
    <m/>
    <s v="D     - Dare"/>
    <n v="63308.61"/>
    <n v="0"/>
    <n v="3009295"/>
    <s v="RGSPTR39C26E986C"/>
    <s v="RAGUSO PIETR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86"/>
    <s v="14"/>
    <s v="Operazione per conto di importo elevato per la causale ed il soggetto"/>
    <d v="2025-04-12T00:00:00"/>
    <n v="53850"/>
    <n v="187"/>
    <s v="053850_187"/>
    <s v="Discovery Day"/>
    <s v="Mai valutato"/>
    <m/>
    <s v="202504115810476L"/>
    <n v="1873300109751"/>
    <n v="20250411"/>
    <x v="0"/>
    <m/>
    <m/>
    <s v="D     - Dare"/>
    <n v="1401.07"/>
    <n v="0"/>
    <n v="4949517"/>
    <s v="TDRMFR66M60F531E"/>
    <s v="TODARO MARIA FIORA"/>
    <s v="600 - Famiglie consumatrici"/>
    <m/>
    <s v="086 - ITALIA"/>
    <n v="116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80"/>
    <s v="14"/>
    <s v="Operazione per conto di importo elevato per la causale ed il soggetto"/>
    <d v="2025-04-12T00:00:00"/>
    <n v="53850"/>
    <n v="187"/>
    <s v="053850_187"/>
    <s v="Discovery Day"/>
    <s v="Mai valutato"/>
    <m/>
    <s v="202504115810476L"/>
    <n v="1873300109751"/>
    <n v="20250411"/>
    <x v="0"/>
    <m/>
    <m/>
    <s v="D     - Dare"/>
    <n v="1401.07"/>
    <n v="0"/>
    <n v="4949521"/>
    <s v="MNGGPP40C52F531L"/>
    <s v="MANIGRASSO GIUSEPP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79"/>
    <s v="14"/>
    <s v="Operazione per conto di importo elevato per la causale ed il soggetto"/>
    <d v="2025-04-11T00:00:00"/>
    <n v="53850"/>
    <n v="110"/>
    <s v="053850_110"/>
    <s v="Discovery Day"/>
    <s v="Mai valutato"/>
    <m/>
    <n v="202504117885346"/>
    <n v="1103306286220"/>
    <n v="20250411"/>
    <x v="20"/>
    <m/>
    <m/>
    <s v="D     - Dare"/>
    <n v="500000"/>
    <n v="0"/>
    <n v="4216175"/>
    <s v="LMCGCH71P10A669A"/>
    <s v="LAMACCHIA GIOACCHINO"/>
    <s v="615 - Altre famiglie produttrici"/>
    <s v="012 - COLTIVAZIONE DI COLTURE PERMANENTI"/>
    <s v="086 - ITALIA"/>
    <n v="458"/>
    <m/>
    <m/>
    <m/>
    <m/>
    <m/>
    <m/>
    <m/>
    <n v="0"/>
    <n v="202504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78"/>
    <s v="14"/>
    <s v="Operazione per conto di importo elevato per la causale ed il soggetto"/>
    <d v="2025-04-11T00:00:00"/>
    <n v="53850"/>
    <n v="153"/>
    <s v="053850_153"/>
    <s v="Discovery Day"/>
    <s v="Mai valutato"/>
    <m/>
    <n v="202504107886350"/>
    <n v="1533300663496"/>
    <n v="20250410"/>
    <x v="0"/>
    <m/>
    <m/>
    <s v="D     - Dare"/>
    <n v="161797.57999999999"/>
    <n v="0"/>
    <n v="2001604"/>
    <s v="CPPGRD37M15F506P"/>
    <s v="COPPOLA GERARDO"/>
    <s v="600 - Famiglie consumatrici"/>
    <m/>
    <s v="086 - ITALIA"/>
    <n v="1051"/>
    <m/>
    <m/>
    <m/>
    <m/>
    <m/>
    <m/>
    <m/>
    <n v="0"/>
    <n v="202504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77"/>
    <s v="14"/>
    <s v="Operazione per conto di importo elevato per la causale ed il soggetto"/>
    <d v="2025-04-11T00:00:00"/>
    <n v="53850"/>
    <n v="105"/>
    <s v="053850_105"/>
    <s v="Discovery Day"/>
    <s v="Mai valutato"/>
    <m/>
    <n v="202504107886192"/>
    <n v="1053306295285"/>
    <n v="20250410"/>
    <x v="3"/>
    <m/>
    <s v="086 - ITALIA"/>
    <s v="D     - Dare"/>
    <n v="261649.5"/>
    <n v="0"/>
    <n v="3740303"/>
    <s v="LEONGL72C68E038E"/>
    <s v="LEO ANGELA"/>
    <s v="600 - Famiglie consumatrici"/>
    <m/>
    <s v="086 - ITALIA"/>
    <n v="76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70"/>
    <s v="14"/>
    <s v="Operazione per conto di importo elevato per la causale ed il soggetto"/>
    <d v="2025-04-11T00:00:00"/>
    <n v="53850"/>
    <n v="284"/>
    <s v="053850_284"/>
    <s v="Discovery Day"/>
    <s v="Mai valutato"/>
    <m/>
    <n v="202504107886611"/>
    <n v="2843300000468"/>
    <n v="20250410"/>
    <x v="0"/>
    <m/>
    <m/>
    <s v="D     - Dare"/>
    <n v="7537.58"/>
    <n v="0"/>
    <n v="1656678"/>
    <s v="TRTVCN61D45B238W"/>
    <s v="TORTO VINCENZA"/>
    <s v="600 - Famiglie consumatrici"/>
    <m/>
    <s v="086 - ITALIA"/>
    <n v="1860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469"/>
    <s v="14"/>
    <s v="Operazione per conto di importo elevato per la causale ed il soggetto"/>
    <d v="2025-04-11T00:00:00"/>
    <n v="53850"/>
    <n v="188"/>
    <s v="053850_188"/>
    <s v="Discovery Day"/>
    <s v="Mai valutato"/>
    <m/>
    <s v="202504105772518L"/>
    <n v="1883300128444"/>
    <n v="20250410"/>
    <x v="0"/>
    <m/>
    <m/>
    <s v="D     - Dare"/>
    <n v="3919.57"/>
    <n v="0"/>
    <n v="4121707"/>
    <s v="CLVLDN69M71L049N"/>
    <s v="CALVIELLO LOREDANA"/>
    <s v="600 - Famiglie consumatrici"/>
    <m/>
    <s v="086 - ITALIA"/>
    <n v="433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467"/>
    <s v="14"/>
    <s v="Operazione per conto di importo elevato per la causale ed il soggetto"/>
    <d v="2025-04-11T00:00:00"/>
    <n v="53850"/>
    <n v="153"/>
    <s v="053850_153"/>
    <s v="Discovery Day"/>
    <s v="Mai valutato"/>
    <m/>
    <n v="202504107885819"/>
    <n v="1533303003511"/>
    <n v="20250410"/>
    <x v="4"/>
    <m/>
    <m/>
    <s v="D     - Dare"/>
    <n v="953751.8"/>
    <n v="0"/>
    <n v="4176708"/>
    <n v="606490647"/>
    <s v="ELETTROCANALI S.R.L."/>
    <s v="430 - Imprese produttive"/>
    <s v="222 - FABBRICAZIONE DI ARTICOLI IN MATERIE PLASTICHE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63"/>
    <s v="14"/>
    <s v="Operazione per conto di importo elevato per la causale ed il soggetto"/>
    <d v="2025-04-11T00:00:00"/>
    <n v="53850"/>
    <n v="200"/>
    <s v="053850_200"/>
    <s v="Discovery Day"/>
    <s v="Mai valutato"/>
    <m/>
    <n v="202504107886545"/>
    <n v="2003300003447"/>
    <n v="20250410"/>
    <x v="22"/>
    <m/>
    <m/>
    <s v="A     - Avere"/>
    <n v="717873.56"/>
    <n v="0"/>
    <n v="4985570"/>
    <n v="12490960965"/>
    <s v="KENTROS S.R.L."/>
    <s v="285 - Holding operative finanziarie"/>
    <s v="642 - ATTIVITÀ DELLE SOCIETÀ DI PARTECIPAZIONE (HOLDING)"/>
    <s v="086 - ITALIA"/>
    <n v="1784"/>
    <m/>
    <m/>
    <m/>
    <m/>
    <m/>
    <m/>
    <m/>
    <n v="0"/>
    <n v="202504"/>
    <s v="ARCHIVIATA"/>
    <x v="0"/>
    <n v="1"/>
    <m/>
    <m/>
    <n v="0"/>
    <n v="999"/>
    <n v="285"/>
    <n v="285999"/>
    <m/>
    <n v="1"/>
    <x v="0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61"/>
    <s v="14"/>
    <s v="Operazione per conto di importo elevato per la causale ed il soggetto"/>
    <d v="2025-04-11T00:00:00"/>
    <n v="53850"/>
    <n v="284"/>
    <s v="053850_284"/>
    <s v="Discovery Day"/>
    <s v="Mai valutato"/>
    <m/>
    <n v="202504107886611"/>
    <n v="2843300000468"/>
    <n v="20250410"/>
    <x v="0"/>
    <m/>
    <m/>
    <s v="D     - Dare"/>
    <n v="7537.58"/>
    <n v="0"/>
    <n v="1702561"/>
    <s v="GRFDNC60E06C632E"/>
    <s v="GAROFALO DOMENICO"/>
    <s v="600 - Famiglie consumatrici"/>
    <m/>
    <s v="086 - ITALIA"/>
    <n v="1860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459"/>
    <s v="14"/>
    <s v="Operazione per conto di importo elevato per la causale ed il soggetto"/>
    <d v="2025-04-11T00:00:00"/>
    <n v="53850"/>
    <n v="109"/>
    <s v="053850_109"/>
    <s v="Discovery Day"/>
    <s v="Mai valutato"/>
    <m/>
    <n v="202504107885699"/>
    <n v="1093304102436"/>
    <n v="20250410"/>
    <x v="4"/>
    <m/>
    <m/>
    <s v="D     - Dare"/>
    <n v="318131.78999999998"/>
    <n v="0"/>
    <n v="4142804"/>
    <n v="4794510729"/>
    <s v="ACMEI SUD SPA"/>
    <s v="430 - Imprese produttive"/>
    <s v="464 - COMMERCIO ALL'INGROSSO DI BENI DI CONSUMO FINALE"/>
    <s v="086 - ITALIA"/>
    <n v="1919"/>
    <m/>
    <m/>
    <m/>
    <m/>
    <m/>
    <m/>
    <m/>
    <n v="0"/>
    <n v="202504"/>
    <s v="ARCHIVIATA"/>
    <x v="0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58"/>
    <s v="14"/>
    <s v="Operazione per conto di importo elevato per la causale ed il soggetto"/>
    <d v="2025-04-11T00:00:00"/>
    <n v="53850"/>
    <n v="149"/>
    <s v="053850_149"/>
    <s v="Discovery Day"/>
    <s v="Mai valutato"/>
    <m/>
    <n v="202504107884602"/>
    <n v="1493300665012"/>
    <n v="20250410"/>
    <x v="1"/>
    <m/>
    <s v="086 - ITALIA"/>
    <s v="A     - Avere"/>
    <n v="1098966.73"/>
    <n v="0"/>
    <n v="3711346"/>
    <n v="9125231218"/>
    <s v="MOLISSO S.R.L."/>
    <s v="430 - Imprese produttive"/>
    <s v="494 - TRASPORTO DI MERCI SU STRADA E SERVIZI DI TRASLOCO"/>
    <s v="086 - ITALIA"/>
    <n v="1910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54"/>
    <s v="14"/>
    <s v="Operazione per conto di importo elevato per la causale ed il soggetto"/>
    <d v="2025-04-11T00:00:00"/>
    <n v="53850"/>
    <n v="188"/>
    <s v="053850_188"/>
    <s v="Discovery Day"/>
    <s v="Mai valutato"/>
    <m/>
    <s v="202504105772518L"/>
    <n v="1883300128444"/>
    <n v="20250410"/>
    <x v="0"/>
    <m/>
    <m/>
    <s v="D     - Dare"/>
    <n v="3919.57"/>
    <n v="0"/>
    <n v="3009549"/>
    <s v="CMBNDR39T41Z110L"/>
    <s v="COMBE ANDREE'"/>
    <s v="600 - Famiglie consumatrici"/>
    <m/>
    <s v="086 - ITALIA"/>
    <n v="433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451"/>
    <s v="14"/>
    <s v="Operazione per conto di importo elevato per la causale ed il soggetto"/>
    <d v="2025-04-11T00:00:00"/>
    <n v="53850"/>
    <n v="102"/>
    <s v="053850_102"/>
    <s v="Discovery Day"/>
    <s v="Mai valutato"/>
    <m/>
    <n v="202504107885589"/>
    <n v="1023300113820"/>
    <n v="20250410"/>
    <x v="11"/>
    <m/>
    <m/>
    <s v="D     - Dare"/>
    <n v="1800737.18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47"/>
    <s v="14"/>
    <s v="Operazione per conto di importo elevato per la causale ed il soggetto"/>
    <d v="2025-04-11T00:00:00"/>
    <n v="53850"/>
    <n v="196"/>
    <s v="053850_196"/>
    <s v="Discovery Day"/>
    <s v="Mai valutato"/>
    <m/>
    <s v="202504105765042L"/>
    <n v="1963302354309"/>
    <n v="20250410"/>
    <x v="0"/>
    <m/>
    <m/>
    <s v="D     - Dare"/>
    <n v="1163.22"/>
    <n v="0"/>
    <n v="4945096"/>
    <s v="MGGLGU98L15C514B"/>
    <s v="MAGGIO LUIGI"/>
    <s v="600 - Famiglie consumatrici"/>
    <m/>
    <s v="086 - ITALIA"/>
    <n v="79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46"/>
    <s v="14"/>
    <s v="Operazione per conto di importo elevato per la causale ed il soggetto"/>
    <d v="2025-04-11T00:00:00"/>
    <n v="53850"/>
    <n v="200"/>
    <s v="053850_200"/>
    <s v="Discovery Day"/>
    <s v="Mai valutato"/>
    <m/>
    <n v="202504107886544"/>
    <n v="2003300003466"/>
    <n v="20250410"/>
    <x v="0"/>
    <m/>
    <m/>
    <s v="D     - Dare"/>
    <n v="717873.56"/>
    <n v="0"/>
    <n v="4985570"/>
    <n v="12490960965"/>
    <s v="KENTROS S.R.L."/>
    <s v="285 - Holding operative finanziarie"/>
    <s v="642 - ATTIVITÀ DELLE SOCIETÀ DI PARTECIPAZIONE (HOLDING)"/>
    <s v="086 - ITALIA"/>
    <n v="1784"/>
    <m/>
    <m/>
    <m/>
    <m/>
    <m/>
    <m/>
    <m/>
    <n v="0"/>
    <n v="202504"/>
    <s v="ARCHIVIATA"/>
    <x v="0"/>
    <n v="1"/>
    <m/>
    <m/>
    <n v="1"/>
    <n v="999"/>
    <n v="285"/>
    <n v="285999"/>
    <m/>
    <n v="1"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37"/>
    <s v="14"/>
    <s v="Operazione per conto di importo elevato per la causale ed il soggetto"/>
    <d v="2025-04-10T00:00:00"/>
    <n v="53850"/>
    <n v="269"/>
    <s v="053850_269"/>
    <s v="Discovery Day"/>
    <s v="Mai valutato"/>
    <m/>
    <n v="202504097881464"/>
    <n v="2693300001683"/>
    <n v="20250409"/>
    <x v="1"/>
    <m/>
    <s v="086 - ITALIA"/>
    <s v="A     - Avere"/>
    <n v="575445.98"/>
    <n v="0"/>
    <n v="1707161"/>
    <s v="RSIMSM58T28C034W"/>
    <s v="RISI MASSIMO"/>
    <s v="775 - Famiglie consumatrici di paesi non UE"/>
    <m/>
    <s v="069 - STATI UNITI"/>
    <n v="1713"/>
    <m/>
    <m/>
    <m/>
    <m/>
    <m/>
    <m/>
    <m/>
    <n v="0"/>
    <n v="202504"/>
    <s v="ARCHIVIATA DA RPR"/>
    <x v="0"/>
    <n v="1"/>
    <m/>
    <m/>
    <n v="0"/>
    <n v="999"/>
    <n v="775"/>
    <n v="775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35"/>
    <s v="14"/>
    <s v="Operazione per conto di importo elevato per la causale ed il soggetto"/>
    <d v="2025-04-10T00:00:00"/>
    <n v="53850"/>
    <n v="271"/>
    <s v="053850_271"/>
    <s v="Discovery Day"/>
    <s v="Mai valutato"/>
    <m/>
    <n v="202504097881920"/>
    <n v="2713300001219"/>
    <n v="20250409"/>
    <x v="1"/>
    <m/>
    <s v="086 - ITALIA"/>
    <s v="A     - Avere"/>
    <n v="207830.21"/>
    <n v="0"/>
    <n v="1628082"/>
    <s v="BRSVVN76B63G141P"/>
    <s v="BARISCI VIVIANA"/>
    <s v="600 - Famiglie consumatrici"/>
    <m/>
    <s v="086 - ITALIA"/>
    <n v="994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32"/>
    <s v="14"/>
    <s v="Operazione per conto di importo elevato per la causale ed il soggetto"/>
    <d v="2025-04-10T00:00:00"/>
    <n v="53850"/>
    <n v="269"/>
    <s v="053850_269"/>
    <s v="Discovery Day"/>
    <s v="Mai valutato"/>
    <m/>
    <n v="202504097881464"/>
    <n v="2693300001683"/>
    <n v="20250409"/>
    <x v="1"/>
    <m/>
    <s v="086 - ITALIA"/>
    <s v="A     - Avere"/>
    <n v="575445.98"/>
    <n v="0"/>
    <n v="1706596"/>
    <s v="FLCLCU62E65F582L"/>
    <s v="FALCONE LUCIA"/>
    <s v="600 - Famiglie consumatrici"/>
    <m/>
    <s v="086 - ITALIA"/>
    <n v="1713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28"/>
    <s v="14"/>
    <s v="Operazione per conto di importo elevato per la causale ed il soggetto"/>
    <d v="2025-04-10T00:00:00"/>
    <n v="53850"/>
    <n v="268"/>
    <s v="053850_268"/>
    <s v="Discovery Day"/>
    <s v="Mai valutato"/>
    <m/>
    <n v="202504097883425"/>
    <n v="2683300010864"/>
    <n v="20250409"/>
    <x v="3"/>
    <m/>
    <s v="086 - ITALIA"/>
    <s v="D     - Dare"/>
    <n v="217212"/>
    <n v="0"/>
    <n v="3739084"/>
    <s v="DLCGNN87S28D086S"/>
    <s v="DE LUCA GIOVANNI"/>
    <s v="600 - Famiglie consumatrici"/>
    <m/>
    <s v="086 - ITALIA"/>
    <n v="1830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427"/>
    <s v="14"/>
    <s v="Operazione per conto di importo elevato per la causale ed il soggetto"/>
    <d v="2025-04-10T00:00:00"/>
    <n v="53850"/>
    <n v="103"/>
    <s v="053850_103"/>
    <s v="Discovery Day"/>
    <s v="Mai valutato"/>
    <m/>
    <n v="202504097883043"/>
    <n v="1033302887757"/>
    <n v="20250409"/>
    <x v="0"/>
    <m/>
    <m/>
    <s v="D     - Dare"/>
    <n v="94953.62"/>
    <n v="0"/>
    <n v="4066375"/>
    <s v="CTLGPP74E03A225F"/>
    <s v="CATALDI GIUSEPPE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26"/>
    <s v="14"/>
    <s v="Operazione per conto di importo elevato per la causale ed il soggetto"/>
    <d v="2025-04-10T00:00:00"/>
    <n v="53850"/>
    <n v="268"/>
    <s v="053850_268"/>
    <s v="Discovery Day"/>
    <s v="Mai valutato"/>
    <m/>
    <n v="202504097883425"/>
    <n v="2683300010864"/>
    <n v="20250409"/>
    <x v="3"/>
    <m/>
    <s v="086 - ITALIA"/>
    <s v="D     - Dare"/>
    <n v="217212"/>
    <n v="0"/>
    <n v="1628555"/>
    <s v="CMTVNI89L64H579T"/>
    <s v="COMITO IVANA"/>
    <s v="600 - Famiglie consumatrici"/>
    <m/>
    <s v="086 - ITALIA"/>
    <n v="1870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420"/>
    <s v="14"/>
    <s v="Operazione per conto di importo elevato per la causale ed il soggetto"/>
    <d v="2025-04-10T00:00:00"/>
    <n v="53850"/>
    <n v="282"/>
    <s v="053850_282"/>
    <s v="Discovery Day"/>
    <s v="Mai valutato"/>
    <m/>
    <n v="202504097883472"/>
    <n v="2823300000075"/>
    <n v="20250409"/>
    <x v="23"/>
    <m/>
    <m/>
    <s v="D     - Dare"/>
    <n v="168023.98"/>
    <n v="0"/>
    <n v="1602060"/>
    <s v="PTRNTN44M03B985V"/>
    <s v="PIETROPAOLO ANTONIO"/>
    <s v="600 - Famiglie consumatrici"/>
    <m/>
    <s v="086 - ITALIA"/>
    <n v="175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17"/>
    <s v="14"/>
    <s v="Operazione per conto di importo elevato per la causale ed il soggetto"/>
    <d v="2025-04-10T00:00:00"/>
    <n v="53850"/>
    <n v="282"/>
    <s v="053850_282"/>
    <s v="Discovery Day"/>
    <s v="Mai valutato"/>
    <m/>
    <n v="202504097883473"/>
    <n v="2825500000010"/>
    <n v="20250409"/>
    <x v="19"/>
    <m/>
    <m/>
    <s v="A     - Avere"/>
    <n v="168023.98"/>
    <n v="0"/>
    <n v="1602060"/>
    <s v="PTRNTN44M03B985V"/>
    <s v="PIETROPAOLO ANTONIO"/>
    <s v="600 - Famiglie consumatrici"/>
    <m/>
    <s v="086 - ITALIA"/>
    <n v="175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14"/>
    <s v="14"/>
    <s v="Operazione per conto di importo elevato per la causale ed il soggetto"/>
    <d v="2025-04-10T00:00:00"/>
    <n v="53850"/>
    <n v="102"/>
    <s v="053850_102"/>
    <s v="Discovery Day"/>
    <s v="Mai valutato"/>
    <m/>
    <n v="202504097882384"/>
    <n v="1021200491975"/>
    <n v="20250409"/>
    <x v="24"/>
    <m/>
    <m/>
    <s v="A     - Avere"/>
    <n v="6131735.9900000002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4"/>
    <s v="ARCHIVIATA DA RPR"/>
    <x v="0"/>
    <n v="1"/>
    <m/>
    <m/>
    <n v="0"/>
    <n v="462"/>
    <n v="430"/>
    <n v="430462"/>
    <s v="Classe di rischio 3"/>
    <m/>
    <x v="4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13"/>
    <s v="14"/>
    <s v="Operazione per conto di importo elevato per la causale ed il soggetto"/>
    <d v="2025-04-10T00:00:00"/>
    <n v="53850"/>
    <n v="271"/>
    <s v="053850_271"/>
    <s v="Discovery Day"/>
    <s v="Mai valutato"/>
    <m/>
    <n v="202504097881974"/>
    <n v="2713300001219"/>
    <n v="20250409"/>
    <x v="1"/>
    <m/>
    <s v="086 - ITALIA"/>
    <s v="A     - Avere"/>
    <n v="209039.88"/>
    <n v="0"/>
    <n v="1628082"/>
    <s v="BRSVVN76B63G141P"/>
    <s v="BARISCI VIVIANA"/>
    <s v="600 - Famiglie consumatrici"/>
    <m/>
    <s v="086 - ITALIA"/>
    <n v="994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09"/>
    <s v="14"/>
    <s v="Operazione per conto di importo elevato per la causale ed il soggetto"/>
    <d v="2025-04-10T00:00:00"/>
    <n v="53850"/>
    <n v="102"/>
    <s v="053850_102"/>
    <s v="Discovery Day"/>
    <s v="Mai valutato"/>
    <m/>
    <n v="202504097882385"/>
    <n v="1021200491975"/>
    <n v="20250409"/>
    <x v="25"/>
    <m/>
    <m/>
    <s v="D     - Dare"/>
    <n v="6131735.9900000002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4"/>
    <s v="ARCHIVIATA DA RPR"/>
    <x v="0"/>
    <n v="1"/>
    <m/>
    <m/>
    <n v="0"/>
    <n v="462"/>
    <n v="430"/>
    <n v="430462"/>
    <s v="Classe di rischio 3"/>
    <m/>
    <x v="4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08"/>
    <s v="14"/>
    <s v="Operazione per conto di importo elevato per la causale ed il soggetto"/>
    <d v="2025-04-10T00:00:00"/>
    <n v="53850"/>
    <n v="273"/>
    <s v="053850_273"/>
    <s v="Discovery Day"/>
    <s v="Mai valutato"/>
    <m/>
    <n v="202504097883041"/>
    <n v="2733300003808"/>
    <n v="20250409"/>
    <x v="0"/>
    <m/>
    <m/>
    <s v="D     - Dare"/>
    <n v="5557.46"/>
    <n v="0"/>
    <n v="1689973"/>
    <s v="PZZLGU93M28B519O"/>
    <s v="PEZZOTTA LUIGI"/>
    <s v="600 - Famiglie consumatrici"/>
    <m/>
    <s v="086 - ITALIA"/>
    <n v="1752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398"/>
    <s v="14"/>
    <s v="Operazione per conto di importo elevato per la causale ed il soggetto"/>
    <d v="2025-04-10T00:00:00"/>
    <n v="53850"/>
    <n v="103"/>
    <s v="053850_103"/>
    <s v="Discovery Day"/>
    <s v="Mai valutato"/>
    <m/>
    <n v="202504097883043"/>
    <n v="1033302887757"/>
    <n v="20250409"/>
    <x v="0"/>
    <m/>
    <m/>
    <s v="D     - Dare"/>
    <n v="94953.62"/>
    <n v="0"/>
    <n v="4019401"/>
    <s v="CTLSVT72T30E155E"/>
    <s v="CATALDI SALVATORE"/>
    <s v="600 - Famiglie consumatrici"/>
    <m/>
    <s v="086 - ITALIA"/>
    <n v="1224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386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64"/>
    <n v="1023308727570"/>
    <n v="20250408"/>
    <x v="3"/>
    <m/>
    <s v="086 - ITALIA"/>
    <s v="D     - Dare"/>
    <n v="245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m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385"/>
    <s v="14"/>
    <s v="Operazione per conto di importo elevato per la causale ed il soggetto"/>
    <d v="2025-04-09T00:00:00"/>
    <n v="53850"/>
    <n v="114"/>
    <s v="053850_114"/>
    <s v="Discovery Day"/>
    <s v="Mai valutato"/>
    <m/>
    <n v="202504087880142"/>
    <n v="1143306281461"/>
    <n v="20250408"/>
    <x v="0"/>
    <m/>
    <m/>
    <s v="D     - Dare"/>
    <n v="30378.9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4"/>
    <s v="ARCHIVIATA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384"/>
    <s v="14"/>
    <s v="Operazione per conto di importo elevato per la causale ed il soggetto"/>
    <d v="2025-04-09T00:00:00"/>
    <n v="53850"/>
    <n v="114"/>
    <s v="053850_114"/>
    <s v="Discovery Day"/>
    <s v="Mai valutato"/>
    <m/>
    <n v="202504087880144"/>
    <n v="1143306281460"/>
    <n v="20250408"/>
    <x v="0"/>
    <m/>
    <m/>
    <s v="D     - Dare"/>
    <n v="60840.4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4"/>
    <s v="ARCHIVIATA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382"/>
    <s v="14"/>
    <s v="Operazione per conto di importo elevato per la causale ed il soggetto"/>
    <d v="2025-04-09T00:00:00"/>
    <n v="53850"/>
    <n v="102"/>
    <s v="053850_102"/>
    <s v="Discovery Day"/>
    <s v="Mai valutato"/>
    <m/>
    <n v="202504087878890"/>
    <n v="1603300002981"/>
    <n v="20250408"/>
    <x v="1"/>
    <m/>
    <s v="086 - ITALIA"/>
    <s v="A     - Avere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4"/>
    <s v="IN VALUTAZIONE RPR"/>
    <x v="1"/>
    <n v="1"/>
    <m/>
    <m/>
    <n v="0"/>
    <n v="999"/>
    <n v="475"/>
    <n v="475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81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62"/>
    <n v="1023300113820"/>
    <n v="20250408"/>
    <x v="3"/>
    <m/>
    <s v="086 - ITALIA"/>
    <s v="D     - Dare"/>
    <n v="127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80"/>
    <s v="14"/>
    <s v="Operazione per conto di importo elevato per la causale ed il soggetto"/>
    <d v="2025-04-09T00:00:00"/>
    <n v="53850"/>
    <n v="200"/>
    <s v="053850_200"/>
    <s v="Discovery Day"/>
    <s v="Mai valutato"/>
    <m/>
    <n v="202504087878812"/>
    <n v="2003300003730"/>
    <n v="20250408"/>
    <x v="1"/>
    <m/>
    <s v="086 - ITALIA"/>
    <s v="A     - Avere"/>
    <n v="750000"/>
    <n v="0"/>
    <n v="3731305"/>
    <s v="GGLLCN65C30C632E"/>
    <s v="GAGLIARDI LUCIANO"/>
    <s v="600 - Famiglie consumatrici"/>
    <m/>
    <s v="086 - ITALIA"/>
    <n v="1837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375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73"/>
    <n v="1603300002981"/>
    <n v="20250408"/>
    <x v="15"/>
    <m/>
    <m/>
    <s v="D     - Dare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4"/>
    <s v="IN VALUTAZIONE RPR"/>
    <x v="1"/>
    <n v="1"/>
    <m/>
    <m/>
    <n v="0"/>
    <n v="999"/>
    <n v="475"/>
    <n v="475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73"/>
    <s v="14"/>
    <s v="Operazione per conto di importo elevato per la causale ed il soggetto"/>
    <d v="2025-04-09T00:00:00"/>
    <n v="53850"/>
    <n v="102"/>
    <s v="053850_102"/>
    <s v="Discovery Day"/>
    <s v="Mai valutato"/>
    <m/>
    <n v="202504087878484"/>
    <n v="1023308727570"/>
    <n v="20250408"/>
    <x v="1"/>
    <m/>
    <s v="086 - ITALIA"/>
    <s v="A     - Avere"/>
    <n v="400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m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369"/>
    <s v="14"/>
    <s v="Operazione per conto di importo elevato per la causale ed il soggetto"/>
    <d v="2025-04-09T00:00:00"/>
    <n v="53850"/>
    <n v="175"/>
    <s v="053850_175"/>
    <s v="Discovery Day"/>
    <s v="Mai valutato"/>
    <m/>
    <n v="202504087880034"/>
    <n v="1753305678410"/>
    <n v="20250408"/>
    <x v="15"/>
    <m/>
    <m/>
    <s v="D     - Dare"/>
    <n v="160000"/>
    <n v="0"/>
    <n v="567841"/>
    <s v="NCLVCN55T22F052Q"/>
    <s v="NICOLETTI VINCENZO"/>
    <s v="600 - Famiglie consumatrici"/>
    <m/>
    <s v="086 - ITALIA"/>
    <n v="158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68"/>
    <s v="14"/>
    <s v="Operazione per conto di importo elevato per la causale ed il soggetto"/>
    <d v="2025-04-09T00:00:00"/>
    <n v="53850"/>
    <n v="147"/>
    <s v="053850_147"/>
    <s v="Discovery Day"/>
    <s v="Mai valutato"/>
    <m/>
    <n v="202504087880231"/>
    <n v="1473300003059"/>
    <n v="20250408"/>
    <x v="0"/>
    <m/>
    <m/>
    <s v="D     - Dare"/>
    <n v="42791.93"/>
    <n v="0"/>
    <n v="4963912"/>
    <n v="2946001217"/>
    <s v="FALLIMENTO EUROBREAD &amp; CO. S.A.S. DI MENDOZZA ROSARIA"/>
    <s v="480 - Quasi societa' non finanziarie artigiane - Unita' o societa' con 20 o piu' addetti"/>
    <s v="469 - COMMERCIO ALL'INGROSSO NON SPECIALIZZATO"/>
    <s v="086 - ITALIA"/>
    <n v="1356"/>
    <m/>
    <m/>
    <m/>
    <m/>
    <m/>
    <m/>
    <m/>
    <n v="0"/>
    <n v="202504"/>
    <s v="ARCHIVIATA DA RPR"/>
    <x v="0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65"/>
    <s v="14"/>
    <s v="Operazione per conto di importo elevato per la causale ed il soggetto"/>
    <d v="2025-04-09T00:00:00"/>
    <n v="53850"/>
    <n v="125"/>
    <s v="053850_125"/>
    <s v="Discovery Day"/>
    <s v="Mai valutato"/>
    <m/>
    <n v="202504087878592"/>
    <n v="1253300000194"/>
    <n v="20250408"/>
    <x v="1"/>
    <m/>
    <s v="086 - ITALIA"/>
    <s v="A     - Avere"/>
    <n v="1468326.89"/>
    <n v="0"/>
    <n v="4075615"/>
    <n v="1898620610"/>
    <s v="L'OASI - CENTRO RESIDENZA DI RIABILITAZIONE NEUROMOTORIA ANZIANI E DISABILI SRL"/>
    <s v="430 - Imprese produttive"/>
    <s v="861 - SERVIZI OSPEDALIER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364"/>
    <s v="14"/>
    <s v="Operazione per conto di importo elevato per la causale ed il soggetto"/>
    <d v="2025-04-09T00:00:00"/>
    <n v="53850"/>
    <n v="147"/>
    <s v="053850_147"/>
    <s v="Discovery Day"/>
    <s v="Mai valutato"/>
    <m/>
    <n v="202504087880228"/>
    <n v="1473300003312"/>
    <n v="20250408"/>
    <x v="0"/>
    <m/>
    <m/>
    <s v="D     - Dare"/>
    <n v="8167.78"/>
    <n v="0"/>
    <n v="4991735"/>
    <m/>
    <s v="PROC. ESEC. IMM. RGE 70 2016 TRIB. DI TORRE ANNUNZIATA"/>
    <s v="501 - Istituzioni ed enti con finalita' di assistenza, beneficenza, istruzione, culturali, sindacali, politiche, sportive, ricreative e simili"/>
    <m/>
    <s v="086 - ITALIA"/>
    <n v="1356"/>
    <m/>
    <m/>
    <m/>
    <m/>
    <m/>
    <m/>
    <m/>
    <n v="0"/>
    <n v="202504"/>
    <s v="ARCHIVIATA DA RPR"/>
    <x v="0"/>
    <n v="1"/>
    <m/>
    <m/>
    <n v="1"/>
    <n v="999"/>
    <n v="501"/>
    <n v="501999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363"/>
    <s v="14"/>
    <s v="Operazione per conto di importo elevato per la causale ed il soggetto"/>
    <d v="2025-04-09T00:00:00"/>
    <n v="53850"/>
    <n v="182"/>
    <s v="053850_182"/>
    <s v="Discovery Day"/>
    <s v="Mai valutato"/>
    <m/>
    <n v="202504087880336"/>
    <n v="1823300174221"/>
    <n v="20250408"/>
    <x v="0"/>
    <m/>
    <m/>
    <s v="D     - Dare"/>
    <n v="131839.34"/>
    <n v="0"/>
    <n v="3020729"/>
    <s v="FNSTMS46A55L049I"/>
    <s v="FONSECA TOMMASINA"/>
    <s v="600 - Famiglie consumatrici"/>
    <m/>
    <s v="086 - ITALIA"/>
    <n v="165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361"/>
    <s v="14"/>
    <s v="Operazione per conto di importo elevato per la causale ed il soggetto"/>
    <d v="2025-04-08T00:00:00"/>
    <n v="53850"/>
    <n v="182"/>
    <s v="053850_182"/>
    <s v="Discovery Day"/>
    <s v="Mai valutato"/>
    <m/>
    <n v="202504087876006"/>
    <n v="1823300017474"/>
    <n v="20250408"/>
    <x v="7"/>
    <m/>
    <m/>
    <s v="D     - Dare"/>
    <n v="975210.17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60"/>
    <s v="14"/>
    <s v="Operazione per conto di importo elevato per la causale ed il soggetto"/>
    <d v="2025-04-08T00:00:00"/>
    <n v="53850"/>
    <n v="125"/>
    <s v="053850_125"/>
    <s v="Discovery Day"/>
    <s v="Mai valutato"/>
    <m/>
    <s v="202504075610360L"/>
    <n v="1253300002492"/>
    <n v="20250407"/>
    <x v="0"/>
    <m/>
    <m/>
    <s v="D     - Dare"/>
    <n v="1335.4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56"/>
    <s v="14"/>
    <s v="Operazione per conto di importo elevato per la causale ed il soggetto"/>
    <d v="2025-04-08T00:00:00"/>
    <n v="53850"/>
    <n v="102"/>
    <s v="053850_102"/>
    <s v="Discovery Day"/>
    <s v="Mai valutato"/>
    <m/>
    <n v="202504077875103"/>
    <n v="1023304132020"/>
    <n v="20250407"/>
    <x v="1"/>
    <m/>
    <s v="086 - ITALIA"/>
    <s v="A     - Avere"/>
    <n v="1546306.64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346"/>
    <s v="14"/>
    <s v="Operazione per conto di importo elevato per la causale ed il soggetto"/>
    <d v="2025-04-08T00:00:00"/>
    <n v="53850"/>
    <n v="204"/>
    <s v="053850_204"/>
    <s v="Discovery Day"/>
    <s v="Mai valutato"/>
    <m/>
    <s v="202504075610573L"/>
    <n v="2043300012553"/>
    <n v="20250407"/>
    <x v="0"/>
    <m/>
    <m/>
    <s v="D     - Dare"/>
    <n v="1004.79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42"/>
    <s v="14"/>
    <s v="Operazione per conto di importo elevato per la causale ed il soggetto"/>
    <d v="2025-04-08T00:00:00"/>
    <n v="53850"/>
    <n v="273"/>
    <s v="053850_273"/>
    <s v="Discovery Day"/>
    <s v="Mai valutato"/>
    <m/>
    <s v="202504075614001L"/>
    <n v="2733300004121"/>
    <n v="20250407"/>
    <x v="0"/>
    <m/>
    <m/>
    <s v="D     - Dare"/>
    <n v="1035.48"/>
    <n v="0"/>
    <n v="1694705"/>
    <n v="1947330690"/>
    <s v="GABRI' PARK HOTEL S.R.L."/>
    <s v="430 - Imprese produttive"/>
    <s v="561 - RISTORANTI E ATTIVITÀ DI RISTORAZIONE MOBILE"/>
    <s v="086 - ITALIA"/>
    <n v="1765"/>
    <m/>
    <m/>
    <m/>
    <m/>
    <m/>
    <m/>
    <m/>
    <n v="0"/>
    <n v="202504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40"/>
    <s v="14"/>
    <s v="Operazione per conto di importo elevato per la causale ed il soggetto"/>
    <d v="2025-04-08T00:00:00"/>
    <n v="53850"/>
    <n v="196"/>
    <s v="053850_196"/>
    <s v="Discovery Day"/>
    <s v="Mai valutato"/>
    <m/>
    <s v="202504075610582L"/>
    <n v="1963302354339"/>
    <n v="20250407"/>
    <x v="0"/>
    <m/>
    <m/>
    <s v="D     - Dare"/>
    <n v="1057.92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4"/>
    <s v="IN VALUTAZIONE RPR"/>
    <x v="1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39"/>
    <s v="14"/>
    <s v="Operazione per conto di importo elevato per la causale ed il soggetto"/>
    <d v="2025-04-08T00:00:00"/>
    <n v="53850"/>
    <n v="187"/>
    <s v="053850_187"/>
    <s v="Discovery Day"/>
    <s v="Mai valutato"/>
    <m/>
    <n v="202504077876611"/>
    <n v="1873300102696"/>
    <n v="20250407"/>
    <x v="15"/>
    <m/>
    <m/>
    <s v="D     - Dare"/>
    <n v="436461.36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35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56"/>
    <n v="1023301264620"/>
    <n v="20250407"/>
    <x v="9"/>
    <m/>
    <m/>
    <s v="D     - Dare"/>
    <n v="300000"/>
    <n v="0"/>
    <n v="126462"/>
    <s v="MRRDTS54A01A225M"/>
    <s v="MARROCCOLI DONATO SALVATORE"/>
    <s v="600 - Famiglie consumatrici"/>
    <m/>
    <s v="086 - ITALIA"/>
    <n v="133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331"/>
    <s v="14"/>
    <s v="Operazione per conto di importo elevato per la causale ed il soggetto"/>
    <d v="2025-04-08T00:00:00"/>
    <n v="53850"/>
    <n v="109"/>
    <s v="053850_109"/>
    <s v="Discovery Day"/>
    <s v="Mai valutato"/>
    <m/>
    <s v="202504075609934L"/>
    <n v="1093306674452"/>
    <n v="20250407"/>
    <x v="0"/>
    <m/>
    <m/>
    <s v="D     - Dare"/>
    <n v="1889.77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322"/>
    <s v="14"/>
    <s v="Operazione per conto di importo elevato per la causale ed il soggetto"/>
    <d v="2025-04-08T00:00:00"/>
    <n v="53850"/>
    <n v="216"/>
    <s v="053850_216"/>
    <s v="Discovery Day"/>
    <s v="Mai valutato"/>
    <m/>
    <s v="202504075610532L"/>
    <n v="2163300012270"/>
    <n v="20250407"/>
    <x v="0"/>
    <m/>
    <m/>
    <s v="D     - Dare"/>
    <n v="2017.05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320"/>
    <s v="14"/>
    <s v="Operazione per conto di importo elevato per la causale ed il soggetto"/>
    <d v="2025-04-08T00:00:00"/>
    <n v="53850"/>
    <n v="109"/>
    <s v="053850_109"/>
    <s v="Discovery Day"/>
    <s v="Mai valutato"/>
    <m/>
    <s v="202504075609896L"/>
    <n v="1093306677028"/>
    <n v="20250407"/>
    <x v="0"/>
    <m/>
    <m/>
    <s v="D     - Dare"/>
    <n v="1334.44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4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18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59"/>
    <n v="1023308724252"/>
    <n v="20250407"/>
    <x v="22"/>
    <m/>
    <m/>
    <s v="A     - Avere"/>
    <n v="587520"/>
    <n v="0"/>
    <n v="4917772"/>
    <n v="8218730722"/>
    <s v="COSTRUZIONI SVILUPPO SOCIETA' A RESPONSABILITA' LIMITATA"/>
    <s v="430 - Imprese produttive"/>
    <s v="412 - COSTRUZIONE DI EDIFICI RESIDENZIALI E NON RESIDENZIALI"/>
    <s v="086 - ITALIA"/>
    <n v="1203"/>
    <m/>
    <m/>
    <m/>
    <m/>
    <m/>
    <m/>
    <m/>
    <n v="0"/>
    <n v="202504"/>
    <s v="IN VALUTAZIONE RPR"/>
    <x v="1"/>
    <n v="1"/>
    <m/>
    <m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12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60"/>
    <n v="1023308724252"/>
    <n v="20250407"/>
    <x v="22"/>
    <m/>
    <m/>
    <s v="A     - Avere"/>
    <n v="881280"/>
    <n v="0"/>
    <n v="4917772"/>
    <n v="8218730722"/>
    <s v="COSTRUZIONI SVILUPPO SOCIETA' A RESPONSABILITA' LIMITATA"/>
    <s v="430 - Imprese produttive"/>
    <s v="412 - COSTRUZIONE DI EDIFICI RESIDENZIALI E NON RESIDENZIALI"/>
    <s v="086 - ITALIA"/>
    <n v="1203"/>
    <m/>
    <m/>
    <m/>
    <m/>
    <m/>
    <m/>
    <m/>
    <n v="0"/>
    <n v="202504"/>
    <s v="IN VALUTAZIONE RPR"/>
    <x v="1"/>
    <n v="1"/>
    <m/>
    <m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9"/>
    <s v="14"/>
    <s v="Operazione per conto di importo elevato per la causale ed il soggetto"/>
    <d v="2025-04-05T00:00:00"/>
    <n v="53850"/>
    <n v="109"/>
    <s v="053850_109"/>
    <s v="Discovery Day"/>
    <s v="Mai valutato"/>
    <m/>
    <n v="202504047868337"/>
    <n v="1093307072930"/>
    <n v="20250404"/>
    <x v="6"/>
    <m/>
    <m/>
    <s v="D     - Dare"/>
    <n v="400000"/>
    <n v="0"/>
    <n v="4505060"/>
    <s v="SCRMRA65R65L220E"/>
    <s v="SCORCA MARIA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08"/>
    <s v="14"/>
    <s v="Operazione per conto di importo elevato per la causale ed il soggetto"/>
    <d v="2025-04-05T00:00:00"/>
    <n v="53850"/>
    <n v="182"/>
    <s v="053850_182"/>
    <s v="Discovery Day"/>
    <s v="Mai valutato"/>
    <m/>
    <n v="202504047867785"/>
    <n v="1823300072312"/>
    <n v="20250404"/>
    <x v="1"/>
    <m/>
    <s v="086 - ITALIA"/>
    <s v="A     - Avere"/>
    <n v="1091696.83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7"/>
    <s v="14"/>
    <s v="Operazione per conto di importo elevato per la causale ed il soggetto"/>
    <d v="2025-04-05T00:00:00"/>
    <n v="53850"/>
    <n v="182"/>
    <s v="053850_182"/>
    <s v="Discovery Day"/>
    <s v="Mai valutato"/>
    <m/>
    <n v="202504047869147"/>
    <n v="1823300169483"/>
    <n v="20250404"/>
    <x v="0"/>
    <m/>
    <m/>
    <s v="D     - Dare"/>
    <n v="16393.25"/>
    <n v="0"/>
    <n v="4330466"/>
    <n v="2609640731"/>
    <s v="PIELLE COSTRUZIONI S.R.L."/>
    <s v="430 - Imprese produttive"/>
    <s v="412 - COSTRUZIONE DI EDIFICI RESIDENZIALI E NON RESIDENZIALI"/>
    <s v="086 - ITALIA"/>
    <n v="1101"/>
    <m/>
    <m/>
    <m/>
    <m/>
    <m/>
    <m/>
    <m/>
    <n v="0"/>
    <n v="202504"/>
    <s v="IN VALUTAZIONE RPR"/>
    <x v="1"/>
    <n v="1"/>
    <m/>
    <m/>
    <n v="1"/>
    <n v="412"/>
    <n v="430"/>
    <n v="430412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299"/>
    <s v="14"/>
    <s v="Operazione per conto di importo elevato per la causale ed il soggetto"/>
    <d v="2025-04-05T00:00:00"/>
    <n v="53850"/>
    <n v="131"/>
    <s v="053850_131"/>
    <s v="Discovery Day"/>
    <s v="Mai valutato"/>
    <m/>
    <s v="202504045555881L"/>
    <n v="1313300002966"/>
    <n v="20250404"/>
    <x v="0"/>
    <m/>
    <m/>
    <s v="D     - Dare"/>
    <n v="3519.16"/>
    <n v="0"/>
    <n v="4264523"/>
    <s v="PLCNTN78C19F104V"/>
    <s v="PLACIDO ANTONIO"/>
    <s v="600 - Famiglie consumatrici"/>
    <m/>
    <s v="086 - ITALIA"/>
    <n v="1345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95"/>
    <s v="14"/>
    <s v="Operazione per conto di importo elevato per la causale ed il soggetto"/>
    <d v="2025-04-05T00:00:00"/>
    <n v="53850"/>
    <n v="198"/>
    <s v="053850_198"/>
    <s v="Discovery Day"/>
    <s v="Mai valutato"/>
    <m/>
    <s v="202504045561727L"/>
    <n v="1983300001378"/>
    <n v="20250404"/>
    <x v="0"/>
    <m/>
    <m/>
    <s v="D     - Dare"/>
    <n v="4300.62"/>
    <n v="0"/>
    <n v="4251364"/>
    <s v="BCCGRZ39C46I158O"/>
    <s v="BICCARI GRAZIA"/>
    <s v="600 - Famiglie consumatrici"/>
    <m/>
    <s v="086 - ITALIA"/>
    <n v="1718"/>
    <m/>
    <m/>
    <m/>
    <m/>
    <m/>
    <m/>
    <m/>
    <n v="0"/>
    <n v="202504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93"/>
    <s v="14"/>
    <s v="Operazione per conto di importo elevato per la causale ed il soggetto"/>
    <d v="2025-04-05T00:00:00"/>
    <n v="53850"/>
    <n v="109"/>
    <s v="053850_109"/>
    <s v="Discovery Day"/>
    <s v="Mai valutato"/>
    <m/>
    <n v="202504047868337"/>
    <n v="1093307072930"/>
    <n v="20250404"/>
    <x v="6"/>
    <m/>
    <m/>
    <s v="D     - Dare"/>
    <n v="400000"/>
    <n v="0"/>
    <n v="4439527"/>
    <s v="MTTMCR62M11L220K"/>
    <s v="MATTIACE MERCURINO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92"/>
    <s v="14"/>
    <s v="Operazione per conto di importo elevato per la causale ed il soggetto"/>
    <d v="2025-04-05T00:00:00"/>
    <n v="53850"/>
    <n v="117"/>
    <s v="053850_117"/>
    <s v="Discovery Day"/>
    <s v="Mai valutato"/>
    <m/>
    <n v="202504047867413"/>
    <n v="1173300536339"/>
    <n v="20250404"/>
    <x v="1"/>
    <m/>
    <s v="086 - ITALIA"/>
    <s v="A     - Avere"/>
    <n v="243955.63"/>
    <n v="0"/>
    <n v="3028778"/>
    <s v="DLMCRL58T29L049W"/>
    <s v="DEL MARE CARLO"/>
    <s v="600 - Famiglie consumatrici"/>
    <m/>
    <s v="086 - ITALIA"/>
    <n v="1772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90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775"/>
    <n v="1503300003301"/>
    <n v="20250404"/>
    <x v="15"/>
    <m/>
    <m/>
    <s v="D     - Dare"/>
    <n v="1250003.8"/>
    <n v="0"/>
    <n v="4992759"/>
    <n v="2853230429"/>
    <s v="ARISTON S.P.A."/>
    <s v="430 - Imprese produttive"/>
    <s v="279 - FABBRICAZIONE DI ALTRE APPARECCHIATURE ELETTRICHE"/>
    <s v="086 - ITALIA"/>
    <n v="73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88"/>
    <s v="14"/>
    <s v="Operazione per conto di importo elevato per la causale ed il soggetto"/>
    <d v="2025-04-05T00:00:00"/>
    <n v="53850"/>
    <n v="102"/>
    <s v="053850_102"/>
    <s v="Discovery Day"/>
    <s v="Mai valutato"/>
    <m/>
    <n v="202504047867071"/>
    <n v="1503300003301"/>
    <n v="20250404"/>
    <x v="1"/>
    <m/>
    <s v="086 - ITALIA"/>
    <s v="A     - Avere"/>
    <n v="1250004"/>
    <n v="0"/>
    <n v="4992759"/>
    <n v="2853230429"/>
    <s v="ARISTON S.P.A."/>
    <s v="430 - Imprese produttive"/>
    <s v="279 - FABBRICAZIONE DI ALTRE APPARECCHIATURE ELETTRICHE"/>
    <s v="086 - ITALIA"/>
    <n v="73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287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273"/>
    <n v="1023308726574"/>
    <n v="20250404"/>
    <x v="6"/>
    <m/>
    <m/>
    <s v="D     - Dare"/>
    <n v="600000"/>
    <n v="0"/>
    <n v="46622"/>
    <s v="SQCNTN46D15A225Z"/>
    <s v="SQUICCIARINI ANTONIO"/>
    <s v="615 - Altre famiglie produttrici"/>
    <s v="011 - COLTIVAZIONE DI COLTURE AGRICOLE NON PERMANENTI"/>
    <s v="086 - ITALIA"/>
    <n v="580"/>
    <m/>
    <m/>
    <m/>
    <m/>
    <m/>
    <m/>
    <m/>
    <n v="0"/>
    <n v="202504"/>
    <s v="ARCHIVIATA"/>
    <x v="0"/>
    <n v="1"/>
    <m/>
    <m/>
    <n v="0"/>
    <n v="999"/>
    <n v="615"/>
    <n v="615999"/>
    <m/>
    <n v="1"/>
    <x v="4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86"/>
    <s v="14"/>
    <s v="Operazione per conto di importo elevato per la causale ed il soggetto"/>
    <d v="2025-04-05T00:00:00"/>
    <n v="53850"/>
    <n v="268"/>
    <s v="053850_268"/>
    <s v="Discovery Day"/>
    <s v="Mai valutato"/>
    <m/>
    <n v="202504047869226"/>
    <n v="2683300005239"/>
    <n v="20250404"/>
    <x v="0"/>
    <m/>
    <m/>
    <s v="D     - Dare"/>
    <n v="99198.79"/>
    <n v="0"/>
    <n v="1600096"/>
    <s v="NSANNZ36R11F537B"/>
    <s v="NASO NUNZIO"/>
    <s v="600 - Famiglie consumatrici"/>
    <m/>
    <s v="086 - ITALIA"/>
    <n v="1757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281"/>
    <s v="14"/>
    <s v="Operazione per conto di importo elevato per la causale ed il soggetto"/>
    <d v="2025-04-05T00:00:00"/>
    <n v="53850"/>
    <n v="131"/>
    <s v="053850_131"/>
    <s v="Discovery Day"/>
    <s v="Mai valutato"/>
    <m/>
    <s v="202504045555881L"/>
    <n v="1313300002966"/>
    <n v="20250404"/>
    <x v="0"/>
    <m/>
    <m/>
    <s v="D     - Dare"/>
    <n v="3519.16"/>
    <n v="0"/>
    <n v="4053961"/>
    <s v="SRRRSO55B58H307X"/>
    <s v="SERRAVALLO ROSA"/>
    <s v="600 - Famiglie consumatrici"/>
    <m/>
    <s v="086 - ITALIA"/>
    <n v="82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80"/>
    <s v="14"/>
    <s v="Operazione per conto di importo elevato per la causale ed il soggetto"/>
    <d v="2025-04-05T00:00:00"/>
    <n v="53850"/>
    <n v="273"/>
    <s v="053850_273"/>
    <s v="Discovery Day"/>
    <s v="Mai valutato"/>
    <m/>
    <n v="202504047867933"/>
    <n v="2733300010292"/>
    <n v="20250404"/>
    <x v="1"/>
    <m/>
    <s v="086 - ITALIA"/>
    <s v="A     - Avere"/>
    <n v="320000"/>
    <n v="0"/>
    <n v="1687356"/>
    <s v="DPTDRD99B18E372T"/>
    <s v="DI PETTA EDOARDO"/>
    <s v="600 - Famiglie consumatrici"/>
    <m/>
    <s v="086 - ITALIA"/>
    <n v="1295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278"/>
    <s v="14"/>
    <s v="Operazione per conto di importo elevato per la causale ed il soggetto"/>
    <d v="2025-04-05T00:00:00"/>
    <n v="53850"/>
    <n v="286"/>
    <s v="053850_286"/>
    <s v="Discovery Day"/>
    <s v="Mai valutato"/>
    <m/>
    <n v="202504047866977"/>
    <n v="2863300003269"/>
    <n v="20250404"/>
    <x v="3"/>
    <m/>
    <s v="086 - ITALIA"/>
    <s v="D     - Dare"/>
    <n v="3760894.53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76"/>
    <s v="14"/>
    <s v="Operazione per conto di importo elevato per la causale ed il soggetto"/>
    <d v="2025-04-05T00:00:00"/>
    <n v="53850"/>
    <n v="153"/>
    <s v="053850_153"/>
    <s v="Discovery Day"/>
    <s v="Mai valutato"/>
    <m/>
    <n v="202504047866805"/>
    <n v="1533300662905"/>
    <n v="20250404"/>
    <x v="3"/>
    <m/>
    <s v="086 - ITALIA"/>
    <s v="D     - Dare"/>
    <n v="732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4"/>
    <s v="ARCHIVIATA"/>
    <x v="0"/>
    <n v="1"/>
    <m/>
    <m/>
    <n v="0"/>
    <n v="236"/>
    <n v="430"/>
    <n v="430236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73"/>
    <s v="14"/>
    <s v="Operazione per conto di importo elevato per la causale ed il soggetto"/>
    <d v="2025-04-05T00:00:00"/>
    <n v="53850"/>
    <n v="106"/>
    <s v="053850_106"/>
    <s v="Discovery Day"/>
    <s v="Mai valutato"/>
    <m/>
    <n v="202504047867099"/>
    <n v="1063304957810"/>
    <n v="20250404"/>
    <x v="1"/>
    <m/>
    <s v="086 - ITALIA"/>
    <s v="A     - Avere"/>
    <n v="386230"/>
    <n v="0"/>
    <n v="495781"/>
    <s v="SLRFNC64L20F220T"/>
    <s v="SALERNO FRANCESCO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72"/>
    <s v="14"/>
    <s v="Operazione per conto di importo elevato per la causale ed il soggetto"/>
    <d v="2025-04-05T00:00:00"/>
    <n v="53850"/>
    <n v="134"/>
    <s v="053850_134"/>
    <s v="Discovery Day"/>
    <s v="Mai valutato"/>
    <m/>
    <s v="202504045562917L"/>
    <n v="1343300002838"/>
    <n v="20250404"/>
    <x v="0"/>
    <m/>
    <m/>
    <s v="D     - Dare"/>
    <n v="2746.26"/>
    <n v="0"/>
    <n v="4917006"/>
    <s v="KRYSTL66E53Z138T"/>
    <s v="KRYSHCHUCK SVITLANA"/>
    <s v="600 - Famiglie consumatrici"/>
    <m/>
    <s v="086 - ITALIA"/>
    <n v="1659"/>
    <m/>
    <m/>
    <m/>
    <m/>
    <m/>
    <m/>
    <m/>
    <n v="0"/>
    <n v="202504"/>
    <s v="IN CARICO AL RESPONSABIL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69"/>
    <s v="14"/>
    <s v="Operazione per conto di importo elevato per la causale ed il soggetto"/>
    <d v="2025-04-05T00:00:00"/>
    <n v="53850"/>
    <n v="147"/>
    <s v="053850_147"/>
    <s v="Discovery Day"/>
    <s v="Mai valutato"/>
    <m/>
    <n v="202504047869032"/>
    <n v="1473300003231"/>
    <n v="20250404"/>
    <x v="0"/>
    <m/>
    <m/>
    <s v="D     - Dare"/>
    <n v="57836.480000000003"/>
    <n v="0"/>
    <n v="4983955"/>
    <m/>
    <s v="PROCEDURA ESECUTIVA IMMOBILIARE N. 55 2019 TRIB. NAPOLI NORD"/>
    <s v="501 - Istituzioni ed enti con finalita' di assistenza, beneficenza, istruzione, culturali, sindacali, politiche, sportive, ricreative e simili"/>
    <m/>
    <s v="086 - ITALIA"/>
    <n v="1356"/>
    <m/>
    <m/>
    <m/>
    <m/>
    <m/>
    <m/>
    <m/>
    <n v="0"/>
    <n v="202504"/>
    <s v="ARCHIVIATA DA RPR"/>
    <x v="0"/>
    <n v="1"/>
    <m/>
    <m/>
    <n v="1"/>
    <n v="999"/>
    <n v="501"/>
    <n v="501999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68"/>
    <s v="14"/>
    <s v="Operazione per conto di importo elevato per la causale ed il soggetto"/>
    <d v="2025-04-05T00:00:00"/>
    <n v="53850"/>
    <n v="198"/>
    <s v="053850_198"/>
    <s v="Discovery Day"/>
    <s v="Mai valutato"/>
    <m/>
    <s v="202504045561727L"/>
    <n v="1983300001378"/>
    <n v="20250404"/>
    <x v="0"/>
    <m/>
    <m/>
    <s v="D     - Dare"/>
    <n v="4300.62"/>
    <n v="0"/>
    <n v="4409914"/>
    <s v="LNGBRN43D02I158G"/>
    <s v="LANGIALONGA BRUNO"/>
    <s v="600 - Famiglie consumatrici"/>
    <m/>
    <s v="086 - ITALIA"/>
    <n v="1718"/>
    <m/>
    <m/>
    <m/>
    <m/>
    <m/>
    <m/>
    <m/>
    <n v="0"/>
    <n v="202504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65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273"/>
    <n v="1023308726574"/>
    <n v="20250404"/>
    <x v="6"/>
    <m/>
    <m/>
    <s v="D     - Dare"/>
    <n v="600000"/>
    <n v="0"/>
    <n v="403529"/>
    <s v="SQCRRT80R46A225N"/>
    <s v="SQUICCIARINI ROBERTA"/>
    <s v="615 - Altre famiglie produttrici"/>
    <s v="011 - COLTIVAZIONE DI COLTURE AGRICOLE NON PERMANENTI"/>
    <s v="086 - ITALIA"/>
    <n v="1110"/>
    <m/>
    <m/>
    <m/>
    <m/>
    <m/>
    <m/>
    <m/>
    <n v="0"/>
    <n v="202504"/>
    <s v="ARCHIVIATA"/>
    <x v="0"/>
    <n v="1"/>
    <m/>
    <m/>
    <n v="0"/>
    <n v="999"/>
    <n v="615"/>
    <n v="615999"/>
    <m/>
    <n v="1"/>
    <x v="4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64"/>
    <s v="14"/>
    <s v="Operazione per conto di importo elevato per la causale ed il soggetto"/>
    <d v="2025-04-05T00:00:00"/>
    <n v="53850"/>
    <n v="268"/>
    <s v="053850_268"/>
    <s v="Discovery Day"/>
    <s v="Mai valutato"/>
    <m/>
    <n v="202504047869226"/>
    <n v="2683300005239"/>
    <n v="20250404"/>
    <x v="0"/>
    <m/>
    <m/>
    <s v="D     - Dare"/>
    <n v="99198.79"/>
    <n v="0"/>
    <n v="1646694"/>
    <s v="BRZCRN35C71L424O"/>
    <s v="BURZACHECHI CATERINA"/>
    <s v="600 - Famiglie consumatrici"/>
    <m/>
    <s v="086 - ITALIA"/>
    <n v="1757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263"/>
    <s v="14"/>
    <s v="Operazione per conto di importo elevato per la causale ed il soggetto"/>
    <d v="2025-04-05T00:00:00"/>
    <n v="53850"/>
    <n v="174"/>
    <s v="053850_174"/>
    <s v="Discovery Day"/>
    <s v="Mai valutato"/>
    <m/>
    <n v="202504047867766"/>
    <n v="1743302880040"/>
    <n v="20250404"/>
    <x v="1"/>
    <m/>
    <s v="086 - ITALIA"/>
    <s v="A     - Avere"/>
    <n v="213953.88"/>
    <n v="0"/>
    <n v="4945451"/>
    <s v="CVLNGL78R24F376R"/>
    <s v="CAVALIERE ANGELO"/>
    <s v="600 - Famiglie consumatrici"/>
    <m/>
    <s v="086 - ITALIA"/>
    <n v="110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262"/>
    <s v="14"/>
    <s v="Operazione per conto di importo elevato per la causale ed il soggetto"/>
    <d v="2025-04-05T00:00:00"/>
    <n v="53850"/>
    <n v="108"/>
    <s v="053850_108"/>
    <s v="Discovery Day"/>
    <s v="Mai valutato"/>
    <m/>
    <s v="202504045566453L"/>
    <n v="1083306288271"/>
    <n v="20250404"/>
    <x v="0"/>
    <m/>
    <m/>
    <s v="D     - Dare"/>
    <n v="2066.14"/>
    <n v="0"/>
    <n v="4238924"/>
    <n v="6177420723"/>
    <s v="AGRUSTI &amp; C. S.R.L."/>
    <s v="430 - Imprese produttive"/>
    <s v="466 - COMMERCIO ALL'INGROSSO DI ALTRI MACCHINARI, ATTREZZATURE E FORNITURE"/>
    <s v="086 - ITALIA"/>
    <n v="1058"/>
    <m/>
    <m/>
    <m/>
    <m/>
    <m/>
    <m/>
    <m/>
    <n v="0"/>
    <n v="202504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60"/>
    <s v="14"/>
    <s v="Operazione per conto di importo elevato per la causale ed il soggetto"/>
    <d v="2025-04-05T00:00:00"/>
    <n v="53850"/>
    <n v="286"/>
    <s v="053850_286"/>
    <s v="Discovery Day"/>
    <s v="Mai valutato"/>
    <m/>
    <n v="202504047867523"/>
    <n v="2863300003269"/>
    <n v="20250404"/>
    <x v="1"/>
    <m/>
    <s v="086 - ITALIA"/>
    <s v="A     - Avere"/>
    <n v="400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9"/>
    <s v="14"/>
    <s v="Operazione per conto di importo elevato per la causale ed il soggetto"/>
    <d v="2025-04-05T00:00:00"/>
    <n v="53850"/>
    <n v="110"/>
    <s v="053850_110"/>
    <s v="Discovery Day"/>
    <s v="Mai valutato"/>
    <m/>
    <n v="202504047868342"/>
    <n v="1103304235290"/>
    <n v="20250404"/>
    <x v="15"/>
    <m/>
    <m/>
    <s v="D     - Dare"/>
    <n v="200000"/>
    <n v="0"/>
    <n v="423529"/>
    <s v="LTTMHL58D22F205F"/>
    <s v="LATTANZIO MICHELE"/>
    <s v="600 - Famiglie consumatrici"/>
    <m/>
    <s v="086 - ITALIA"/>
    <n v="458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8"/>
    <s v="14"/>
    <s v="Operazione per conto di importo elevato per la causale ed il soggetto"/>
    <d v="2025-04-04T00:00:00"/>
    <n v="53850"/>
    <n v="137"/>
    <s v="053850_137"/>
    <s v="Discovery Day"/>
    <s v="Mai valutato"/>
    <m/>
    <n v="202504047865531"/>
    <n v="1370050040202"/>
    <n v="20250404"/>
    <x v="26"/>
    <m/>
    <m/>
    <s v="D     - Dare"/>
    <n v="467000"/>
    <n v="0"/>
    <n v="1007107"/>
    <s v="TRTMHL37E52B519Y"/>
    <s v="TARTAGLIA MICHELINA"/>
    <s v="600 - Famiglie consumatrici"/>
    <m/>
    <s v="086 - ITALIA"/>
    <n v="1797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7"/>
    <s v="14"/>
    <s v="Operazione per conto di importo elevato per la causale ed il soggetto"/>
    <d v="2025-04-04T00:00:00"/>
    <n v="53850"/>
    <n v="148"/>
    <s v="053850_148"/>
    <s v="Discovery Day"/>
    <s v="Mai valutato"/>
    <m/>
    <n v="202504037863564"/>
    <n v="1483300003872"/>
    <n v="20250403"/>
    <x v="3"/>
    <m/>
    <s v="086 - ITALIA"/>
    <s v="D     - Dare"/>
    <n v="2000000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55"/>
    <s v="14"/>
    <s v="Operazione per conto di importo elevato per la causale ed il soggetto"/>
    <d v="2025-04-04T00:00:00"/>
    <n v="53850"/>
    <n v="182"/>
    <s v="053850_182"/>
    <s v="Discovery Day"/>
    <s v="Mai valutato"/>
    <m/>
    <n v="202504037865818"/>
    <n v="1823300102662"/>
    <n v="20250403"/>
    <x v="6"/>
    <m/>
    <m/>
    <s v="D     - Dare"/>
    <n v="300000"/>
    <n v="0"/>
    <n v="3041128"/>
    <s v="DYLMRA46T19H501W"/>
    <s v="D'AYALA VALVA MARIO"/>
    <s v="600 - Famiglie consumatrici"/>
    <m/>
    <s v="086 - ITALIA"/>
    <n v="616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254"/>
    <s v="14"/>
    <s v="Operazione per conto di importo elevato per la causale ed il soggetto"/>
    <d v="2025-04-04T00:00:00"/>
    <n v="53850"/>
    <n v="273"/>
    <s v="053850_273"/>
    <s v="Discovery Day"/>
    <s v="Mai valutato"/>
    <m/>
    <n v="202504037865929"/>
    <n v="2733300001088"/>
    <n v="20250403"/>
    <x v="11"/>
    <m/>
    <m/>
    <s v="D     - Dare"/>
    <n v="500000"/>
    <n v="0"/>
    <n v="1629654"/>
    <n v="2589190699"/>
    <s v="CONSORZIO PANICHI &amp; STREVER"/>
    <s v="450 - Associazioni fra imprese non finanziarie"/>
    <s v="412 - COSTRUZIONE DI EDIFICI RESIDENZIALI E NON RESIDENZIALI"/>
    <s v="086 - ITALIA"/>
    <n v="1856"/>
    <m/>
    <m/>
    <m/>
    <m/>
    <m/>
    <m/>
    <m/>
    <n v="0"/>
    <n v="202504"/>
    <s v="ARCHIVIATA"/>
    <x v="0"/>
    <n v="1"/>
    <m/>
    <m/>
    <n v="0"/>
    <n v="412"/>
    <n v="450"/>
    <n v="450412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37"/>
    <s v="14"/>
    <s v="Operazione per conto di importo elevato per la causale ed il soggetto"/>
    <d v="2025-04-04T00:00:00"/>
    <n v="53850"/>
    <n v="104"/>
    <s v="053850_104"/>
    <s v="Discovery Day"/>
    <s v="Mai valutato"/>
    <m/>
    <n v="202504037863628"/>
    <n v="1043301448722"/>
    <n v="20250403"/>
    <x v="3"/>
    <m/>
    <s v="086 - ITALIA"/>
    <s v="D     - Dare"/>
    <n v="800000"/>
    <n v="0"/>
    <n v="4155132"/>
    <n v="5287570724"/>
    <s v="CASILLO PARTECIPAZIONI S.P.A."/>
    <s v="432 - Holding operative private"/>
    <s v="701 - ATTIVITÀ DI DIREZIONE AZIENDALE"/>
    <s v="086 - ITALIA"/>
    <n v="1696"/>
    <m/>
    <m/>
    <m/>
    <m/>
    <m/>
    <m/>
    <m/>
    <n v="0"/>
    <n v="202504"/>
    <s v="ARCHIVIATA"/>
    <x v="0"/>
    <n v="1"/>
    <m/>
    <m/>
    <n v="0"/>
    <n v="999"/>
    <n v="432"/>
    <n v="432999"/>
    <m/>
    <n v="1"/>
    <x v="5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9"/>
    <s v="14"/>
    <s v="Operazione per conto di importo elevato per la causale ed il soggetto"/>
    <d v="2025-04-04T00:00:00"/>
    <n v="53850"/>
    <n v="195"/>
    <s v="053850_195"/>
    <s v="Discovery Day"/>
    <s v="Mai valutato"/>
    <m/>
    <n v="202504027865545"/>
    <n v="1950050084361"/>
    <n v="20250402"/>
    <x v="27"/>
    <m/>
    <m/>
    <s v="A     - Avere"/>
    <n v="398797.32"/>
    <n v="0"/>
    <n v="3122467"/>
    <s v="CPDVTI65R31C136R"/>
    <s v="CAPODIFERRO VITO"/>
    <s v="600 - Famiglie consumatrici"/>
    <m/>
    <s v="086 - ITALIA"/>
    <m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8"/>
    <s v="14"/>
    <s v="Operazione per conto di importo elevato per la causale ed il soggetto"/>
    <d v="2025-04-04T00:00:00"/>
    <n v="53850"/>
    <n v="195"/>
    <s v="053850_195"/>
    <s v="Discovery Day"/>
    <s v="Mai valutato"/>
    <m/>
    <n v="202504027865545"/>
    <n v="1950050084361"/>
    <n v="20250402"/>
    <x v="27"/>
    <m/>
    <m/>
    <s v="A     - Avere"/>
    <n v="398797.32"/>
    <n v="0"/>
    <n v="3044588"/>
    <s v="BTSLSU33E61C136P"/>
    <s v="BITOSA LUISA"/>
    <s v="600 - Famiglie consumatrici"/>
    <m/>
    <s v="086 - ITALIA"/>
    <m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0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487"/>
    <n v="2863300003269"/>
    <n v="20250402"/>
    <x v="1"/>
    <m/>
    <s v="086 - ITALIA"/>
    <s v="A     - Avere"/>
    <n v="1258615.31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216"/>
    <s v="14"/>
    <s v="Operazione per conto di importo elevato per la causale ed il soggetto"/>
    <d v="2025-04-03T00:00:00"/>
    <n v="53850"/>
    <n v="122"/>
    <s v="053850_122"/>
    <s v="Discovery Day"/>
    <s v="Mai valutato"/>
    <m/>
    <n v="202504027860835"/>
    <n v="1223300001682"/>
    <n v="20250402"/>
    <x v="3"/>
    <m/>
    <s v="086 - ITALIA"/>
    <s v="D     - Dare"/>
    <n v="113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15"/>
    <s v="14"/>
    <s v="Operazione per conto di importo elevato per la causale ed il soggetto"/>
    <d v="2025-04-03T00:00:00"/>
    <n v="53850"/>
    <n v="102"/>
    <s v="053850_102"/>
    <s v="Discovery Day"/>
    <s v="Mai valutato"/>
    <m/>
    <n v="202504027862288"/>
    <n v="1023301264620"/>
    <n v="20250402"/>
    <x v="13"/>
    <m/>
    <s v="086 - ITALIA"/>
    <s v="A     - Avere"/>
    <n v="350000"/>
    <n v="0"/>
    <n v="126462"/>
    <s v="MRRDTS54A01A225M"/>
    <s v="MARROCCOLI DONATO SALVATORE"/>
    <s v="600 - Famiglie consumatrici"/>
    <m/>
    <s v="086 - ITALIA"/>
    <n v="133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13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856"/>
    <n v="2863300003129"/>
    <n v="20250402"/>
    <x v="1"/>
    <m/>
    <s v="086 - ITALIA"/>
    <s v="A     - Avere"/>
    <n v="250000"/>
    <n v="0"/>
    <n v="1604415"/>
    <s v="SBRMLL58A41I922G"/>
    <s v="SBORGIA MIRELLA"/>
    <s v="600 - Famiglie consumatrici"/>
    <m/>
    <s v="086 - ITALIA"/>
    <n v="1848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204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856"/>
    <n v="2863300003129"/>
    <n v="20250402"/>
    <x v="1"/>
    <m/>
    <s v="086 - ITALIA"/>
    <s v="A     - Avere"/>
    <n v="250000"/>
    <n v="0"/>
    <n v="1622185"/>
    <s v="DMZMRA55A08C632V"/>
    <s v="DI MUZIO MARIO"/>
    <s v="600 - Famiglie consumatrici"/>
    <m/>
    <s v="086 - ITALIA"/>
    <n v="1848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198"/>
    <s v="14"/>
    <s v="Operazione per conto di importo elevato per la causale ed il soggetto"/>
    <d v="2025-04-02T00:00:00"/>
    <n v="53850"/>
    <n v="195"/>
    <s v="053850_195"/>
    <s v="Discovery Day"/>
    <s v="Mai valutato"/>
    <m/>
    <n v="202504027858462"/>
    <n v="1953300028752"/>
    <n v="20250402"/>
    <x v="7"/>
    <m/>
    <m/>
    <s v="D     - Dare"/>
    <n v="496781.48"/>
    <n v="0"/>
    <n v="3103898"/>
    <s v="CPTBNT39S19G252P"/>
    <s v="CAPUTO BENITO"/>
    <s v="615 - Altre famiglie produttrici"/>
    <s v="012 - COLTIVAZIONE DI COLTURE PERMANENTI"/>
    <s v="086 - ITALIA"/>
    <n v="1961"/>
    <m/>
    <m/>
    <m/>
    <m/>
    <m/>
    <m/>
    <m/>
    <n v="0"/>
    <n v="202504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94"/>
    <s v="14"/>
    <s v="Operazione per conto di importo elevato per la causale ed il soggetto"/>
    <d v="2025-04-02T00:00:00"/>
    <n v="53850"/>
    <n v="103"/>
    <s v="053850_103"/>
    <s v="Discovery Day"/>
    <s v="Mai valutato"/>
    <m/>
    <n v="202504017860035"/>
    <n v="1033306972235"/>
    <n v="20250401"/>
    <x v="9"/>
    <m/>
    <m/>
    <s v="D     - Dare"/>
    <n v="449000"/>
    <n v="0"/>
    <n v="4397101"/>
    <n v="6401490724"/>
    <s v="EDIL POLI SOCIETA' A RESPONSABILITA' LIMITAT"/>
    <s v="430 - Imprese produttive"/>
    <s v="412 - COSTRUZIONE DI EDIFICI RESIDENZIALI E NON RESIDENZIALI"/>
    <s v="086 - ITALIA"/>
    <n v="1274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93"/>
    <s v="14"/>
    <s v="Operazione per conto di importo elevato per la causale ed il soggetto"/>
    <d v="2025-04-02T00:00:00"/>
    <n v="53850"/>
    <n v="105"/>
    <s v="053850_105"/>
    <s v="Discovery Day"/>
    <s v="Mai valutato"/>
    <m/>
    <n v="202504017860058"/>
    <n v="1053306288710"/>
    <n v="20250401"/>
    <x v="7"/>
    <m/>
    <m/>
    <s v="D     - Dare"/>
    <n v="4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91"/>
    <s v="14"/>
    <s v="Operazione per conto di importo elevato per la causale ed il soggetto"/>
    <d v="2025-04-02T00:00:00"/>
    <n v="53850"/>
    <n v="175"/>
    <s v="053850_175"/>
    <s v="Discovery Day"/>
    <s v="Mai valutato"/>
    <m/>
    <n v="202504017859492"/>
    <n v="1753305636160"/>
    <n v="20250401"/>
    <x v="28"/>
    <m/>
    <m/>
    <s v="A     - Avere"/>
    <n v="2927958.33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4"/>
    <s v="ARCHIVIATA"/>
    <x v="0"/>
    <n v="1"/>
    <m/>
    <m/>
    <n v="0"/>
    <n v="464"/>
    <n v="430"/>
    <n v="430464"/>
    <s v="Classe di rischio 4"/>
    <m/>
    <x v="2"/>
    <n v="2696970.87"/>
    <n v="2708520.2429999998"/>
    <n v="2720069.6159999999"/>
    <n v="2731618.9890000001"/>
    <n v="2743168.3620000002"/>
    <n v="2754717.7349999999"/>
    <n v="2766267.108"/>
    <n v="2777816.4810000001"/>
    <n v="2789365.8539999998"/>
    <n v="2800915.227"/>
    <n v="2812464.6"/>
    <n v="2824013.9730000002"/>
    <n v="2835563.3459999999"/>
    <n v="2847112.719"/>
    <n v="2858662.0920000002"/>
    <n v="2870211.4649999999"/>
    <n v="2881760.838"/>
    <n v="2893310.2110000001"/>
    <n v="2904859.5839999998"/>
    <n v="2916408.9569999999"/>
    <n v="2927958.3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90"/>
    <s v="14"/>
    <s v="Operazione per conto di importo elevato per la causale ed il soggetto"/>
    <d v="2025-04-02T00:00:00"/>
    <n v="53850"/>
    <n v="102"/>
    <s v="053850_102"/>
    <s v="Discovery Day"/>
    <s v="Mai valutato"/>
    <m/>
    <n v="202504017857363"/>
    <n v="1023308727499"/>
    <n v="20250401"/>
    <x v="1"/>
    <m/>
    <s v="086 - ITALIA"/>
    <s v="A     - Avere"/>
    <n v="300000"/>
    <n v="0"/>
    <n v="488324"/>
    <s v="LRSNTN88P06A225I"/>
    <s v="LORUSSO ANTONIO"/>
    <s v="600 - Famiglie consumatrici"/>
    <m/>
    <s v="086 - ITALIA"/>
    <n v="580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188"/>
    <s v="14"/>
    <s v="Operazione per conto di importo elevato per la causale ed il soggetto"/>
    <d v="2025-04-02T00:00:00"/>
    <n v="53850"/>
    <n v="102"/>
    <s v="053850_102"/>
    <s v="Discovery Day"/>
    <s v="Mai valutato"/>
    <m/>
    <n v="202504017860008"/>
    <n v="1023300113820"/>
    <n v="20250401"/>
    <x v="3"/>
    <m/>
    <s v="086 - ITALIA"/>
    <s v="D     - Dare"/>
    <n v="295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182"/>
    <s v="14"/>
    <s v="Operazione per conto di importo elevato per la causale ed il soggetto"/>
    <d v="2025-04-02T00:00:00"/>
    <n v="53850"/>
    <n v="129"/>
    <s v="053850_129"/>
    <s v="Discovery Day"/>
    <s v="Mai valutato"/>
    <m/>
    <n v="202504017856853"/>
    <n v="1293300002289"/>
    <n v="20250401"/>
    <x v="3"/>
    <m/>
    <s v="086 - ITALIA"/>
    <s v="D     - Dare"/>
    <n v="1010413.22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74"/>
    <s v="14"/>
    <s v="Operazione per conto di importo elevato per la causale ed il soggetto"/>
    <d v="2025-04-02T00:00:00"/>
    <n v="53850"/>
    <n v="105"/>
    <s v="053850_105"/>
    <s v="Discovery Day"/>
    <s v="Mai valutato"/>
    <m/>
    <n v="202504017858157"/>
    <n v="1053306288710"/>
    <n v="20250401"/>
    <x v="1"/>
    <m/>
    <s v="086 - ITALIA"/>
    <s v="A     - Avere"/>
    <n v="711984.13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171"/>
    <s v="14"/>
    <s v="Operazione per conto di importo elevato per la causale ed il soggetto"/>
    <d v="2025-04-02T00:00:00"/>
    <n v="53850"/>
    <n v="105"/>
    <s v="053850_105"/>
    <s v="Discovery Day"/>
    <s v="Mai valutato"/>
    <m/>
    <n v="202504017858097"/>
    <n v="1053306288710"/>
    <n v="20250401"/>
    <x v="1"/>
    <m/>
    <s v="086 - ITALIA"/>
    <s v="A     - Avere"/>
    <n v="1154498.2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69"/>
    <s v="14"/>
    <s v="Operazione per conto di importo elevato per la causale ed il soggetto"/>
    <d v="2025-04-02T00:00:00"/>
    <n v="53850"/>
    <n v="226"/>
    <s v="053850_226"/>
    <s v="Discovery Day"/>
    <s v="Mai valutato"/>
    <m/>
    <n v="202504017857996"/>
    <n v="2263300011408"/>
    <n v="20250401"/>
    <x v="1"/>
    <m/>
    <s v="086 - ITALIA"/>
    <s v="A     - Avere"/>
    <n v="242516.36"/>
    <n v="0"/>
    <n v="4542597"/>
    <s v="MMLNTN47A42L328J"/>
    <s v="MEMOLI ANTONIA"/>
    <s v="600 - Famiglie consumatrici"/>
    <m/>
    <s v="086 - ITALIA"/>
    <n v="139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168"/>
    <s v="14"/>
    <s v="Operazione per conto di importo elevato per la causale ed il soggetto"/>
    <d v="2025-04-02T00:00:00"/>
    <n v="53850"/>
    <n v="109"/>
    <s v="053850_109"/>
    <s v="Discovery Day"/>
    <s v="Mai valutato"/>
    <m/>
    <n v="202504017860077"/>
    <n v="1095500086659"/>
    <n v="20250401"/>
    <x v="18"/>
    <m/>
    <m/>
    <s v="D     - Dare"/>
    <n v="240594.1"/>
    <n v="0"/>
    <n v="565141"/>
    <s v="RSTFNC34T12I907O"/>
    <s v="ROSATO FRANCESCO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166"/>
    <s v="14"/>
    <s v="Operazione per conto di importo elevato per la causale ed il soggetto"/>
    <d v="2025-04-02T00:00:00"/>
    <n v="53850"/>
    <n v="171"/>
    <s v="053850_171"/>
    <s v="Discovery Day"/>
    <s v="Mai valutato"/>
    <m/>
    <n v="202504017859421"/>
    <n v="1713302213842"/>
    <n v="20250401"/>
    <x v="6"/>
    <m/>
    <m/>
    <s v="D     - Dare"/>
    <n v="1415418.69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4"/>
    <s v="IN CARICO AL RESPONSABILE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164"/>
    <s v="14"/>
    <s v="Operazione per conto di importo elevato per la causale ed il soggetto"/>
    <d v="2025-04-02T00:00:00"/>
    <n v="53850"/>
    <n v="102"/>
    <s v="053850_102"/>
    <s v="Discovery Day"/>
    <s v="Mai valutato"/>
    <m/>
    <n v="202504017857363"/>
    <n v="1023308727499"/>
    <n v="20250401"/>
    <x v="1"/>
    <m/>
    <s v="086 - ITALIA"/>
    <s v="A     - Avere"/>
    <n v="300000"/>
    <n v="0"/>
    <n v="187212"/>
    <s v="LDCMLR60M60A225B"/>
    <s v="LOIUDICE MARIA LAURA"/>
    <s v="600 - Famiglie consumatrici"/>
    <m/>
    <s v="086 - ITALIA"/>
    <n v="133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158"/>
    <s v="14"/>
    <s v="Operazione per conto di importo elevato per la causale ed il soggetto"/>
    <d v="2025-04-02T00:00:00"/>
    <n v="53850"/>
    <n v="170"/>
    <s v="053850_170"/>
    <s v="Discovery Day"/>
    <s v="Mai valutato"/>
    <m/>
    <n v="202504017859384"/>
    <n v="1703306288195"/>
    <n v="20250401"/>
    <x v="28"/>
    <m/>
    <m/>
    <s v="A     - Avere"/>
    <n v="2131682.06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8"/>
    <s v="14"/>
    <s v="Operazione per conto di importo elevato per la causale ed il soggetto"/>
    <d v="2025-06-04T00:00:00"/>
    <n v="53850"/>
    <n v="190"/>
    <s v="053850_190"/>
    <s v="Discovery Day"/>
    <s v="Mai valutato"/>
    <m/>
    <n v="202505298034361"/>
    <n v="1900050025418"/>
    <n v="20250529"/>
    <x v="29"/>
    <m/>
    <m/>
    <s v="A     - Avere"/>
    <n v="499974.96"/>
    <n v="0"/>
    <n v="3018135"/>
    <s v="BNRVTI67A19E469T"/>
    <s v="BONORA VITO"/>
    <s v="615 - Altre famiglie produttrici"/>
    <s v="012 - COLTIVAZIONE DI COLTURE PERMANENTI"/>
    <s v="086 - ITALIA"/>
    <n v="828"/>
    <m/>
    <m/>
    <m/>
    <m/>
    <m/>
    <m/>
    <m/>
    <n v="0"/>
    <n v="202505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47"/>
    <s v="14"/>
    <s v="Operazione per conto di importo elevato per la causale ed il soggetto"/>
    <d v="2025-05-31T00:00:00"/>
    <n v="53850"/>
    <n v="189"/>
    <s v="053850_189"/>
    <s v="Discovery Day"/>
    <s v="Mai valutato"/>
    <m/>
    <n v="202505308027189"/>
    <n v="1893300017217"/>
    <n v="20250530"/>
    <x v="0"/>
    <m/>
    <m/>
    <s v="D     - Dare"/>
    <n v="12138.63"/>
    <n v="0"/>
    <n v="4351680"/>
    <s v="GRCPTR78P05E986Q"/>
    <s v="GRECO PIETRO"/>
    <s v="600 - Famiglie consumatrici"/>
    <m/>
    <s v="086 - ITALIA"/>
    <n v="1620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541"/>
    <s v="14"/>
    <s v="Operazione per conto di importo elevato per la causale ed il soggetto"/>
    <d v="2025-05-31T00:00:00"/>
    <n v="53850"/>
    <n v="185"/>
    <s v="053850_185"/>
    <s v="Discovery Day"/>
    <s v="Mai valutato"/>
    <m/>
    <n v="202505308027693"/>
    <n v="1853300025786"/>
    <n v="20250530"/>
    <x v="0"/>
    <m/>
    <m/>
    <s v="D     - Dare"/>
    <n v="108303.22"/>
    <n v="0"/>
    <n v="3048294"/>
    <s v="DRGNGL28E60L049O"/>
    <s v="DRAGONE ANGELA"/>
    <s v="600 - Famiglie consumatrici"/>
    <m/>
    <s v="086 - ITALIA"/>
    <n v="610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39"/>
    <s v="14"/>
    <s v="Operazione per conto di importo elevato per la causale ed il soggetto"/>
    <d v="2025-05-31T00:00:00"/>
    <n v="53850"/>
    <n v="174"/>
    <s v="053850_174"/>
    <s v="Discovery Day"/>
    <s v="Mai valutato"/>
    <m/>
    <n v="202505308024053"/>
    <n v="1743302879671"/>
    <n v="20250530"/>
    <x v="3"/>
    <m/>
    <s v="086 - ITALIA"/>
    <s v="D     - Dare"/>
    <n v="1071179.8700000001"/>
    <n v="0"/>
    <n v="4866710"/>
    <n v="265680728"/>
    <s v="AS LABRUNA S.R.L."/>
    <s v="430 - Imprese produttive"/>
    <s v="281 - FABBRICAZIONE DI MACCHINE DI IMPIEGO GENERALE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536"/>
    <s v="14"/>
    <s v="Operazione per conto di importo elevato per la causale ed il soggetto"/>
    <d v="2025-05-31T00:00:00"/>
    <n v="53850"/>
    <n v="128"/>
    <s v="053850_128"/>
    <s v="Discovery Day"/>
    <s v="Mai valutato"/>
    <m/>
    <n v="202505308027410"/>
    <n v="1283300001665"/>
    <n v="20250530"/>
    <x v="9"/>
    <m/>
    <m/>
    <s v="D     - Dare"/>
    <n v="1425000"/>
    <n v="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35"/>
    <s v="14"/>
    <s v="Operazione per conto di importo elevato per la causale ed il soggetto"/>
    <d v="2025-05-31T00:00:00"/>
    <n v="53850"/>
    <n v="136"/>
    <s v="053850_136"/>
    <s v="Discovery Day"/>
    <s v="Mai valutato"/>
    <m/>
    <n v="202505308027183"/>
    <n v="1363300001888"/>
    <n v="20250530"/>
    <x v="1"/>
    <m/>
    <s v="086 - ITALIA"/>
    <s v="A     - Avere"/>
    <n v="1105649"/>
    <n v="0"/>
    <n v="4234848"/>
    <n v="61820742"/>
    <s v="ARCA NORD SALENTO"/>
    <s v="178 - Altre amministrazioni locali"/>
    <s v="841 - AMMINISTRAZIONE PUBBLICA: AMMINISTRAZIONE GENERALE, ECONOMICA E SOCIALE"/>
    <s v="086 - ITALIA"/>
    <n v="1909"/>
    <m/>
    <m/>
    <m/>
    <m/>
    <m/>
    <m/>
    <m/>
    <n v="0"/>
    <n v="202505"/>
    <m/>
    <x v="1"/>
    <n v="1"/>
    <m/>
    <m/>
    <n v="0"/>
    <n v="999"/>
    <n v="178"/>
    <n v="17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32"/>
    <s v="14"/>
    <s v="Operazione per conto di importo elevato per la causale ed il soggetto"/>
    <d v="2025-05-31T00:00:00"/>
    <n v="53850"/>
    <n v="175"/>
    <s v="053850_175"/>
    <s v="Discovery Day"/>
    <s v="Mai valutato"/>
    <m/>
    <n v="202505308027637"/>
    <n v="1753302205383"/>
    <n v="20250530"/>
    <x v="9"/>
    <m/>
    <m/>
    <s v="D     - Da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29"/>
    <s v="14"/>
    <s v="Operazione per conto di importo elevato per la causale ed il soggetto"/>
    <d v="2025-05-31T00:00:00"/>
    <n v="53850"/>
    <n v="105"/>
    <s v="053850_105"/>
    <s v="Discovery Day"/>
    <s v="Mai valutato"/>
    <m/>
    <n v="202505308027285"/>
    <n v="1053306286600"/>
    <n v="20250530"/>
    <x v="0"/>
    <m/>
    <m/>
    <s v="D     - Dare"/>
    <n v="17259.12"/>
    <n v="0"/>
    <n v="4235456"/>
    <s v="SVRNGL37L67B520I"/>
    <s v="SAVARINO ANGELA"/>
    <s v="600 - Famiglie consumatrici"/>
    <m/>
    <s v="086 - ITALIA"/>
    <m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21"/>
    <s v="14"/>
    <s v="Operazione per conto di importo elevato per la causale ed il soggetto"/>
    <d v="2025-05-31T00:00:00"/>
    <n v="53850"/>
    <n v="105"/>
    <s v="053850_105"/>
    <s v="Discovery Day"/>
    <s v="Mai valutato"/>
    <m/>
    <n v="202505308027285"/>
    <n v="1053306286600"/>
    <n v="20250530"/>
    <x v="0"/>
    <m/>
    <m/>
    <s v="D     - Dare"/>
    <n v="17259.12"/>
    <n v="0"/>
    <n v="4186319"/>
    <s v="BLLGPP37S03E038V"/>
    <s v="BELLACICCO GIUSEPPE"/>
    <s v="600 - Famiglie consumatrici"/>
    <m/>
    <s v="086 - ITALIA"/>
    <n v="1452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20"/>
    <s v="14"/>
    <s v="Operazione per conto di importo elevato per la causale ed il soggetto"/>
    <d v="2025-05-31T00:00:00"/>
    <n v="53850"/>
    <n v="99"/>
    <s v="053850_99"/>
    <s v="Discovery Day"/>
    <s v="Mai valutato"/>
    <m/>
    <n v="202505308025295"/>
    <n v="999361870311"/>
    <n v="20250530"/>
    <x v="1"/>
    <m/>
    <s v="086 - ITALIA"/>
    <s v="A     - Avere"/>
    <n v="3375000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519"/>
    <s v="14"/>
    <s v="Operazione per conto di importo elevato per la causale ed il soggetto"/>
    <d v="2025-05-31T00:00:00"/>
    <n v="53850"/>
    <n v="185"/>
    <s v="053850_185"/>
    <s v="Discovery Day"/>
    <s v="Mai valutato"/>
    <m/>
    <n v="202505308027693"/>
    <n v="1853300025786"/>
    <n v="20250530"/>
    <x v="0"/>
    <m/>
    <m/>
    <s v="D     - Dare"/>
    <n v="108303.22"/>
    <n v="0"/>
    <n v="3017106"/>
    <s v="LBNMHL57B04A662Q"/>
    <s v="LABIANCA MICHELE"/>
    <s v="600 - Famiglie consumatrici"/>
    <m/>
    <s v="086 - ITALIA"/>
    <n v="610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10"/>
    <s v="14"/>
    <s v="Operazione per conto di importo elevato per la causale ed il soggetto"/>
    <d v="2025-05-31T00:00:00"/>
    <n v="53850"/>
    <n v="181"/>
    <s v="053850_181"/>
    <s v="Discovery Day"/>
    <s v="Mai valutato"/>
    <m/>
    <n v="202505298027657"/>
    <n v="1813301035232"/>
    <n v="20250529"/>
    <x v="3"/>
    <m/>
    <s v="086 - ITALIA"/>
    <s v="D     - Dare"/>
    <n v="656000"/>
    <n v="0"/>
    <n v="3738884"/>
    <n v="8714420729"/>
    <s v="AGERAPUGLIA SOCIETA' SEMPLICE SOCIETA' AGRIC"/>
    <s v="615 - Altre famiglie produttrici"/>
    <s v="012 - COLTIVAZIONE DI COLTURE PERMANENTI"/>
    <s v="086 - ITALIA"/>
    <n v="1943"/>
    <m/>
    <m/>
    <m/>
    <m/>
    <m/>
    <m/>
    <m/>
    <n v="0"/>
    <n v="202505"/>
    <m/>
    <x v="1"/>
    <n v="1"/>
    <m/>
    <m/>
    <n v="0"/>
    <n v="999"/>
    <n v="615"/>
    <n v="615999"/>
    <m/>
    <n v="1"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9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7"/>
    <n v="2733300001901"/>
    <n v="20250530"/>
    <x v="7"/>
    <m/>
    <m/>
    <s v="D     - Dare"/>
    <n v="992320"/>
    <n v="0"/>
    <n v="1671965"/>
    <s v="BLDGRN57A20I148W"/>
    <s v="BALDASSARRE GUERINO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508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6"/>
    <n v="2733300001901"/>
    <n v="20250530"/>
    <x v="21"/>
    <m/>
    <m/>
    <s v="A     - Avere"/>
    <n v="1000000"/>
    <n v="0"/>
    <n v="1671771"/>
    <s v="RTSMCR57P69I148Y"/>
    <s v="ARTESE MARIA CRISTINA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07"/>
    <s v="14"/>
    <s v="Operazione per conto di importo elevato per la causale ed il soggetto"/>
    <d v="2025-05-30T00:00:00"/>
    <n v="53850"/>
    <n v="103"/>
    <s v="053850_103"/>
    <s v="Discovery Day"/>
    <s v="Mai valutato"/>
    <m/>
    <n v="202505308022317"/>
    <n v="1033301682021"/>
    <n v="20250530"/>
    <x v="21"/>
    <m/>
    <m/>
    <s v="A     - Avere"/>
    <n v="350000"/>
    <n v="0"/>
    <n v="107653"/>
    <s v="STMNRC53C03E155S"/>
    <s v="STIMOLA ENR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6"/>
    <s v="14"/>
    <s v="Operazione per conto di importo elevato per la causale ed il soggetto"/>
    <d v="2025-05-30T00:00:00"/>
    <n v="53850"/>
    <n v="188"/>
    <s v="053850_188"/>
    <s v="Discovery Day"/>
    <s v="Mai valutato"/>
    <m/>
    <n v="202505308022232"/>
    <n v="1883300130370"/>
    <n v="20250530"/>
    <x v="20"/>
    <m/>
    <m/>
    <s v="D     - Dare"/>
    <n v="250000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m/>
    <n v="0"/>
    <n v="477"/>
    <n v="615"/>
    <n v="615477"/>
    <s v="Classe di rischio 6"/>
    <m/>
    <x v="6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05"/>
    <s v="14"/>
    <s v="Operazione per conto di importo elevato per la causale ed il soggetto"/>
    <d v="2025-05-30T00:00:00"/>
    <n v="53850"/>
    <n v="270"/>
    <s v="053850_270"/>
    <s v="Discovery Day"/>
    <s v="Mai valutato"/>
    <m/>
    <n v="202505308022749"/>
    <n v="2703300002369"/>
    <n v="20250530"/>
    <x v="7"/>
    <m/>
    <m/>
    <s v="D     - Dare"/>
    <n v="1111398.3999999999"/>
    <n v="0"/>
    <n v="1679871"/>
    <s v="DGRRTI62A65D763A"/>
    <s v="DI GIROLAMO RITA"/>
    <s v="600 - Famiglie consumatrici"/>
    <m/>
    <s v="086 - ITALIA"/>
    <n v="1803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04"/>
    <s v="14"/>
    <s v="Operazione per conto di importo elevato per la causale ed il soggetto"/>
    <d v="2025-05-30T00:00:00"/>
    <n v="53850"/>
    <n v="270"/>
    <s v="053850_270"/>
    <s v="Discovery Day"/>
    <s v="Mai valutato"/>
    <m/>
    <n v="202505308022748"/>
    <n v="2703300002369"/>
    <n v="20250530"/>
    <x v="21"/>
    <m/>
    <m/>
    <s v="A     - Avere"/>
    <n v="1075000"/>
    <n v="0"/>
    <n v="1679871"/>
    <s v="DGRRTI62A65D763A"/>
    <s v="DI GIROLAMO RITA"/>
    <s v="600 - Famiglie consumatrici"/>
    <m/>
    <s v="086 - ITALIA"/>
    <n v="1803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503"/>
    <s v="14"/>
    <s v="Operazione per conto di importo elevato per la causale ed il soggetto"/>
    <d v="2025-05-30T00:00:00"/>
    <n v="53850"/>
    <n v="103"/>
    <s v="053850_103"/>
    <s v="Discovery Day"/>
    <s v="Mai valutato"/>
    <m/>
    <n v="202505308022317"/>
    <n v="1033301682021"/>
    <n v="20250530"/>
    <x v="21"/>
    <m/>
    <m/>
    <s v="A     - Avere"/>
    <n v="350000"/>
    <n v="0"/>
    <n v="150652"/>
    <s v="SVNLRD54R52F052W"/>
    <s v="SAVINO LEONARDA"/>
    <s v="600 - Famiglie consumatrici"/>
    <m/>
    <s v="086 - ITALIA"/>
    <m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2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7"/>
    <n v="2733300001901"/>
    <n v="20250530"/>
    <x v="7"/>
    <m/>
    <m/>
    <s v="D     - Dare"/>
    <n v="992320"/>
    <n v="0"/>
    <n v="1671771"/>
    <s v="RTSMCR57P69I148Y"/>
    <s v="ARTESE MARIA CRISTINA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501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6"/>
    <n v="2733300001901"/>
    <n v="20250530"/>
    <x v="21"/>
    <m/>
    <m/>
    <s v="A     - Avere"/>
    <n v="1000000"/>
    <n v="0"/>
    <n v="1671965"/>
    <s v="BLDGRN57A20I148W"/>
    <s v="BALDASSARRE GUERINO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99"/>
    <s v="14"/>
    <s v="Operazione per conto di importo elevato per la causale ed il soggetto"/>
    <d v="2025-05-30T00:00:00"/>
    <n v="53850"/>
    <n v="176"/>
    <s v="053850_176"/>
    <s v="Discovery Day"/>
    <s v="Mai valutato"/>
    <m/>
    <n v="202505298023302"/>
    <n v="1763300020131"/>
    <n v="20250529"/>
    <x v="0"/>
    <m/>
    <m/>
    <s v="D     - Dare"/>
    <n v="104917.75"/>
    <n v="0"/>
    <n v="4995696"/>
    <s v="GMPMLB49M63L477K"/>
    <s v="GIAMPIETRO MARIA LIBERATA"/>
    <s v="600 - Famiglie consumatrici"/>
    <m/>
    <s v="086 - ITALIA"/>
    <n v="67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497"/>
    <s v="14"/>
    <s v="Operazione per conto di importo elevato per la causale ed il soggetto"/>
    <d v="2025-05-30T00:00:00"/>
    <n v="53850"/>
    <n v="122"/>
    <s v="053850_122"/>
    <s v="Discovery Day"/>
    <s v="Mai valutato"/>
    <m/>
    <n v="202505298020860"/>
    <n v="1223300002128"/>
    <n v="20250529"/>
    <x v="13"/>
    <m/>
    <s v="086 - ITALIA"/>
    <s v="D     - Dare"/>
    <n v="1422206.78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4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95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545653"/>
    <s v="MRTTMS65H22E155O"/>
    <s v="MARTINELLI TOMMASO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89"/>
    <s v="14"/>
    <s v="Operazione per conto di importo elevato per la causale ed il soggetto"/>
    <d v="2025-05-30T00:00:00"/>
    <n v="53850"/>
    <n v="109"/>
    <s v="053850_109"/>
    <s v="Discovery Day"/>
    <s v="Mai valutato"/>
    <m/>
    <n v="202505298022047"/>
    <n v="1093304728910"/>
    <n v="20250529"/>
    <x v="1"/>
    <m/>
    <s v="086 - ITALIA"/>
    <s v="A     - Avere"/>
    <n v="230000"/>
    <n v="0"/>
    <n v="472891"/>
    <s v="LRCGCH48P15A662A"/>
    <s v="LARICCHIUTA GIOACCHINO"/>
    <s v="600 - Famiglie consumatrici"/>
    <m/>
    <s v="086 - ITALIA"/>
    <n v="77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488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18"/>
    <n v="1053306288710"/>
    <n v="20250529"/>
    <x v="1"/>
    <m/>
    <s v="086 - ITALIA"/>
    <s v="A     - Avere"/>
    <n v="296427.5399999999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84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461851"/>
    <s v="MRTGNN61D54E155R"/>
    <s v="MARTINELLI GIOVANN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83"/>
    <s v="14"/>
    <s v="Operazione per conto di importo elevato per la causale ed il soggetto"/>
    <d v="2025-05-30T00:00:00"/>
    <n v="53850"/>
    <n v="171"/>
    <s v="053850_171"/>
    <s v="Discovery Day"/>
    <s v="Mai valutato"/>
    <m/>
    <n v="202505298021936"/>
    <n v="1713302213769"/>
    <n v="20250529"/>
    <x v="1"/>
    <m/>
    <s v="086 - ITALIA"/>
    <s v="A     - Avere"/>
    <n v="1733161.25"/>
    <n v="0"/>
    <n v="545638"/>
    <n v="434710729"/>
    <s v="GIUSEPPE VACCA OLII -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5"/>
    <s v="IN CARICO AL RESPONSABILE"/>
    <x v="1"/>
    <n v="1"/>
    <m/>
    <m/>
    <n v="0"/>
    <n v="463"/>
    <n v="430"/>
    <n v="43046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82"/>
    <s v="14"/>
    <s v="Operazione per conto di importo elevato per la causale ed il soggetto"/>
    <d v="2025-05-30T00:00:00"/>
    <n v="53850"/>
    <n v="102"/>
    <s v="053850_102"/>
    <s v="Discovery Day"/>
    <s v="Mai valutato"/>
    <m/>
    <n v="202505298020646"/>
    <n v="1503300003188"/>
    <n v="20250529"/>
    <x v="3"/>
    <m/>
    <s v="086 - ITALIA"/>
    <s v="D     - Dare"/>
    <n v="14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81"/>
    <s v="14"/>
    <s v="Operazione per conto di importo elevato per la causale ed il soggetto"/>
    <d v="2025-05-30T00:00:00"/>
    <n v="53850"/>
    <n v="103"/>
    <s v="053850_103"/>
    <s v="Discovery Day"/>
    <s v="Mai valutato"/>
    <m/>
    <n v="202505298021209"/>
    <n v="1033306975431"/>
    <n v="20250529"/>
    <x v="1"/>
    <m/>
    <s v="086 - ITALIA"/>
    <s v="A     - Avere"/>
    <n v="613389.04"/>
    <n v="0"/>
    <n v="4785176"/>
    <n v="7587320727"/>
    <s v="GLARCH S.R.L."/>
    <s v="430 - Imprese produttive"/>
    <s v="412 - COSTRUZIONE DI EDIFICI RESIDENZIALI E NON RESIDENZIALI"/>
    <s v="086 - ITALIA"/>
    <n v="1274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78"/>
    <s v="14"/>
    <s v="Operazione per conto di importo elevato per la causale ed il soggetto"/>
    <d v="2025-05-30T00:00:00"/>
    <n v="53850"/>
    <n v="109"/>
    <s v="053850_109"/>
    <s v="Discovery Day"/>
    <s v="Mai valutato"/>
    <m/>
    <n v="202505298021182"/>
    <n v="1093306673843"/>
    <n v="20250529"/>
    <x v="3"/>
    <m/>
    <s v="086 - ITALIA"/>
    <s v="D     - Dare"/>
    <n v="771195.52"/>
    <n v="0"/>
    <n v="3183543"/>
    <n v="252920723"/>
    <s v="FIGLI MICHELE ANGIULI S.R.L."/>
    <s v="430 - Imprese produttive"/>
    <s v="463 - COMMERCIO ALL'INGROSSO DI PRODOTTI ALIMENTARI, BEVANDE E PRODOTTI DEL TABACCO"/>
    <s v="086 - ITALIA"/>
    <n v="1919"/>
    <m/>
    <m/>
    <m/>
    <m/>
    <m/>
    <m/>
    <m/>
    <n v="0"/>
    <n v="202505"/>
    <s v="IN VALUTAZIONE RPR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73"/>
    <s v="14"/>
    <s v="Operazione per conto di importo elevato per la causale ed il soggetto"/>
    <d v="2025-05-30T00:00:00"/>
    <n v="53850"/>
    <n v="273"/>
    <s v="053850_273"/>
    <s v="Discovery Day"/>
    <s v="Mai valutato"/>
    <m/>
    <n v="202505298020813"/>
    <n v="2733300004156"/>
    <n v="20250529"/>
    <x v="8"/>
    <m/>
    <m/>
    <s v="D     - Dare"/>
    <n v="1161775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161775"/>
    <n v="1165920.4065"/>
    <n v="1170065.8130000001"/>
    <n v="1174211.2194999999"/>
    <n v="1178356.6259999999"/>
    <n v="1182502.0325"/>
    <n v="1186647.439"/>
    <n v="1190792.8455000001"/>
    <n v="1194938.2520000001"/>
    <n v="1199083.6584999999"/>
    <n v="1203229.0649999999"/>
    <n v="1207374.4715"/>
    <n v="1211519.878"/>
    <n v="1215665.2845000001"/>
    <n v="1219810.6910000001"/>
    <n v="1223956.0974999999"/>
    <n v="1228101.504"/>
    <n v="1232246.9105"/>
    <n v="1236392.317"/>
    <n v="1240537.7235000001"/>
    <n v="1244683.12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69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32"/>
    <n v="1053306288710"/>
    <n v="20250529"/>
    <x v="1"/>
    <m/>
    <s v="086 - ITALIA"/>
    <s v="A     - Avere"/>
    <n v="208073.67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65"/>
    <s v="14"/>
    <s v="Operazione per conto di importo elevato per la causale ed il soggetto"/>
    <d v="2025-05-30T00:00:00"/>
    <n v="53850"/>
    <n v="122"/>
    <s v="053850_122"/>
    <s v="Discovery Day"/>
    <s v="Mai valutato"/>
    <m/>
    <n v="202505298022050"/>
    <n v="1223300001682"/>
    <n v="20250529"/>
    <x v="1"/>
    <m/>
    <s v="086 - ITALIA"/>
    <s v="A     - Avere"/>
    <n v="1252933.6200000001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464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597069"/>
    <s v="MRTNLN67E09E155X"/>
    <s v="MARTINELLI NICOLANTONI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63"/>
    <s v="14"/>
    <s v="Operazione per conto di importo elevato per la causale ed il soggetto"/>
    <d v="2025-05-30T00:00:00"/>
    <n v="53850"/>
    <n v="273"/>
    <s v="053850_273"/>
    <s v="Discovery Day"/>
    <s v="Mai valutato"/>
    <m/>
    <n v="202505298023307"/>
    <n v="2733300001505"/>
    <n v="20250529"/>
    <x v="0"/>
    <m/>
    <m/>
    <s v="D     - Dare"/>
    <n v="11266.94"/>
    <n v="0"/>
    <n v="1650841"/>
    <s v="DPLMHL81D26B519Q"/>
    <s v="DE PAOLA MICHELE"/>
    <s v="600 - Famiglie consumatrici"/>
    <m/>
    <s v="086 - ITALIA"/>
    <n v="129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61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31"/>
    <n v="1053306288710"/>
    <n v="20250529"/>
    <x v="1"/>
    <m/>
    <s v="086 - ITALIA"/>
    <s v="A     - Avere"/>
    <n v="250672.7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459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20"/>
    <n v="1053306288710"/>
    <n v="20250529"/>
    <x v="1"/>
    <m/>
    <s v="086 - ITALIA"/>
    <s v="A     - Avere"/>
    <n v="296427.5399999999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57"/>
    <s v="14"/>
    <s v="Operazione per conto di importo elevato per la causale ed il soggetto"/>
    <d v="2025-05-30T00:00:00"/>
    <n v="53850"/>
    <n v="175"/>
    <s v="053850_175"/>
    <s v="Discovery Day"/>
    <s v="Mai valutato"/>
    <m/>
    <n v="202505298020735"/>
    <n v="1753305636160"/>
    <n v="20250529"/>
    <x v="3"/>
    <m/>
    <s v="086 - ITALIA"/>
    <s v="D     - Dare"/>
    <n v="90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456"/>
    <s v="14"/>
    <s v="Operazione per conto di importo elevato per la causale ed il soggetto"/>
    <d v="2025-05-30T00:00:00"/>
    <n v="53850"/>
    <n v="273"/>
    <s v="053850_273"/>
    <s v="Discovery Day"/>
    <s v="Mai valutato"/>
    <m/>
    <n v="202505298021394"/>
    <n v="2733300004156"/>
    <n v="20250529"/>
    <x v="1"/>
    <m/>
    <s v="086 - ITALIA"/>
    <s v="A     - Avere"/>
    <n v="15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453"/>
    <s v="14"/>
    <s v="Operazione per conto di importo elevato per la causale ed il soggetto"/>
    <d v="2025-05-29T00:00:00"/>
    <n v="53850"/>
    <n v="188"/>
    <s v="053850_188"/>
    <s v="Discovery Day"/>
    <s v="Mai valutato"/>
    <m/>
    <n v="202505298019364"/>
    <n v="1883300130370"/>
    <n v="20250529"/>
    <x v="20"/>
    <m/>
    <m/>
    <s v="D     - Dare"/>
    <n v="250000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m/>
    <n v="0"/>
    <n v="477"/>
    <n v="615"/>
    <n v="615477"/>
    <s v="Classe di rischio 6"/>
    <m/>
    <x v="6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52"/>
    <s v="14"/>
    <s v="Operazione per conto di importo elevato per la causale ed il soggetto"/>
    <d v="2025-05-29T00:00:00"/>
    <n v="53850"/>
    <n v="110"/>
    <s v="053850_110"/>
    <s v="Discovery Day"/>
    <s v="Mai valutato"/>
    <m/>
    <s v="202505287567276L"/>
    <n v="1103306288198"/>
    <n v="20250528"/>
    <x v="0"/>
    <m/>
    <m/>
    <s v="D     - Dare"/>
    <n v="1694.49"/>
    <n v="0"/>
    <n v="474103"/>
    <s v="LNTMHL42M17A669E"/>
    <s v="LANOTTE MICHELE"/>
    <s v="600 - Famiglie consumatrici"/>
    <m/>
    <s v="086 - ITALIA"/>
    <n v="135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51"/>
    <s v="14"/>
    <s v="Operazione per conto di importo elevato per la causale ed il soggetto"/>
    <d v="2025-05-29T00:00:00"/>
    <n v="53850"/>
    <n v="153"/>
    <s v="053850_153"/>
    <s v="Discovery Day"/>
    <s v="Mai valutato"/>
    <m/>
    <s v="202505287572724L"/>
    <n v="1533300663592"/>
    <n v="20250528"/>
    <x v="0"/>
    <m/>
    <m/>
    <s v="D     - Dare"/>
    <n v="1402.45"/>
    <n v="0"/>
    <n v="4982454"/>
    <s v="VLNMRA39D49A509N"/>
    <s v="VALENTINO MARIA"/>
    <s v="600 - Famiglie consumatrici"/>
    <m/>
    <s v="086 - ITALIA"/>
    <n v="1187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48"/>
    <s v="14"/>
    <s v="Operazione per conto di importo elevato per la causale ed il soggetto"/>
    <d v="2025-05-29T00:00:00"/>
    <n v="53850"/>
    <n v="134"/>
    <s v="053850_134"/>
    <s v="Discovery Day"/>
    <s v="Mai valutato"/>
    <m/>
    <n v="202505288020006"/>
    <n v="1346004011555"/>
    <n v="20250528"/>
    <x v="13"/>
    <m/>
    <s v="086 - ITALIA"/>
    <s v="D     - Da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47"/>
    <s v="14"/>
    <s v="Operazione per conto di importo elevato per la causale ed il soggetto"/>
    <d v="2025-05-29T00:00:00"/>
    <n v="53850"/>
    <n v="169"/>
    <s v="053850_169"/>
    <s v="Discovery Day"/>
    <s v="Mai valutato"/>
    <m/>
    <n v="202505288018396"/>
    <n v="1693302224337"/>
    <n v="20250528"/>
    <x v="1"/>
    <m/>
    <s v="086 - ITALIA"/>
    <s v="A     - Avere"/>
    <n v="209054.58"/>
    <n v="0"/>
    <n v="4566922"/>
    <s v="CNTFNC90R31A883V"/>
    <s v="CONTO' FRANCESCO PAOLO"/>
    <s v="600 - Famiglie consumatrici"/>
    <m/>
    <s v="086 - ITALIA"/>
    <n v="1261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46"/>
    <s v="14"/>
    <s v="Operazione per conto di importo elevato per la causale ed il soggetto"/>
    <d v="2025-05-29T00:00:00"/>
    <n v="53850"/>
    <n v="169"/>
    <s v="053850_169"/>
    <s v="Discovery Day"/>
    <s v="Mai valutato"/>
    <m/>
    <n v="202505288020312"/>
    <n v="1693305416200"/>
    <n v="20250528"/>
    <x v="7"/>
    <m/>
    <m/>
    <s v="D     - Dare"/>
    <n v="310000"/>
    <n v="0"/>
    <n v="541619"/>
    <s v="PSQCCT46D64L328Z"/>
    <s v="PASQUADIBISCEGLIE CONCETT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41"/>
    <s v="14"/>
    <s v="Operazione per conto di importo elevato per la causale ed il soggetto"/>
    <d v="2025-05-29T00:00:00"/>
    <n v="53850"/>
    <n v="105"/>
    <s v="053850_105"/>
    <s v="Discovery Day"/>
    <s v="Mai valutato"/>
    <m/>
    <n v="202505288020149"/>
    <n v="1053306288710"/>
    <n v="20250528"/>
    <x v="22"/>
    <m/>
    <m/>
    <s v="A     - Avere"/>
    <n v="2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39"/>
    <s v="14"/>
    <s v="Operazione per conto di importo elevato per la causale ed il soggetto"/>
    <d v="2025-05-29T00:00:00"/>
    <n v="53850"/>
    <n v="114"/>
    <s v="053850_114"/>
    <s v="Discovery Day"/>
    <s v="Mai valutato"/>
    <m/>
    <s v="202505287567239L"/>
    <n v="1143306279849"/>
    <n v="20250528"/>
    <x v="0"/>
    <m/>
    <m/>
    <s v="D     - Dare"/>
    <n v="2087.63"/>
    <n v="0"/>
    <n v="4070800"/>
    <s v="PSCVTI61R20D643V"/>
    <s v="PISCOPIELLO VITO"/>
    <s v="600 - Famiglie consumatrici"/>
    <m/>
    <s v="086 - ITALIA"/>
    <n v="907"/>
    <m/>
    <m/>
    <m/>
    <m/>
    <m/>
    <m/>
    <m/>
    <n v="0"/>
    <n v="202505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438"/>
    <s v="14"/>
    <s v="Operazione per conto di importo elevato per la causale ed il soggetto"/>
    <d v="2025-05-29T00:00:00"/>
    <n v="53850"/>
    <n v="103"/>
    <s v="053850_103"/>
    <s v="Discovery Day"/>
    <s v="Mai valutato"/>
    <m/>
    <n v="202505288019253"/>
    <n v="1033306974262"/>
    <n v="20250528"/>
    <x v="1"/>
    <m/>
    <s v="086 - ITALIA"/>
    <s v="A     - Avere"/>
    <n v="800000"/>
    <n v="0"/>
    <n v="4679373"/>
    <n v="3294040724"/>
    <s v="CEREAL - FER SEMENTI DI PANTONE DOMENICO&amp; 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5"/>
    <s v="IN VALUTAZIONE RPR"/>
    <x v="1"/>
    <n v="1"/>
    <m/>
    <m/>
    <n v="0"/>
    <n v="999"/>
    <n v="492"/>
    <n v="492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36"/>
    <s v="14"/>
    <s v="Operazione per conto di importo elevato per la causale ed il soggetto"/>
    <d v="2025-05-29T00:00:00"/>
    <n v="53850"/>
    <n v="134"/>
    <s v="053850_134"/>
    <s v="Discovery Day"/>
    <s v="Mai valutato"/>
    <m/>
    <n v="202505288020228"/>
    <n v="1343300003027"/>
    <n v="20250528"/>
    <x v="3"/>
    <m/>
    <s v="086 - ITALIA"/>
    <s v="D     - Da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35"/>
    <s v="14"/>
    <s v="Operazione per conto di importo elevato per la causale ed il soggetto"/>
    <d v="2025-05-29T00:00:00"/>
    <n v="53850"/>
    <n v="116"/>
    <s v="053850_116"/>
    <s v="Discovery Day"/>
    <s v="Mai valutato"/>
    <m/>
    <n v="202505288018885"/>
    <n v="1163305431040"/>
    <n v="20250528"/>
    <x v="1"/>
    <m/>
    <s v="086 - ITALIA"/>
    <s v="A     - Avere"/>
    <n v="1349930"/>
    <n v="0"/>
    <n v="543104"/>
    <n v="4393640729"/>
    <s v="TURBO SERVICE S.R.L."/>
    <s v="430 - Imprese produttive"/>
    <s v="466 - COMMERCIO ALL'INGROSSO DI ALTRI MACCHINARI, ATTREZZATURE E FORNITURE"/>
    <s v="086 - ITALIA"/>
    <n v="1696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33"/>
    <s v="14"/>
    <s v="Operazione per conto di importo elevato per la causale ed il soggetto"/>
    <d v="2025-05-29T00:00:00"/>
    <n v="53850"/>
    <n v="102"/>
    <s v="053850_102"/>
    <s v="Discovery Day"/>
    <s v="Mai valutato"/>
    <m/>
    <n v="202505288020077"/>
    <n v="1503300003188"/>
    <n v="20250528"/>
    <x v="3"/>
    <m/>
    <s v="086 - ITALIA"/>
    <s v="D     - Dare"/>
    <n v="11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31"/>
    <s v="14"/>
    <s v="Operazione per conto di importo elevato per la causale ed il soggetto"/>
    <d v="2025-05-29T00:00:00"/>
    <n v="53850"/>
    <n v="170"/>
    <s v="053850_170"/>
    <s v="Discovery Day"/>
    <s v="Mai valutato"/>
    <m/>
    <n v="202505288019287"/>
    <n v="1703306288195"/>
    <n v="20250528"/>
    <x v="30"/>
    <m/>
    <s v="076 - TURCHIA"/>
    <s v="D     - Dare"/>
    <n v="1236943.9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29"/>
    <s v="14"/>
    <s v="Operazione per conto di importo elevato per la causale ed il soggetto"/>
    <d v="2025-05-29T00:00:00"/>
    <n v="53850"/>
    <n v="169"/>
    <s v="053850_169"/>
    <s v="Discovery Day"/>
    <s v="Mai valutato"/>
    <m/>
    <n v="202505288020312"/>
    <n v="1693305416200"/>
    <n v="20250528"/>
    <x v="7"/>
    <m/>
    <m/>
    <s v="D     - Dare"/>
    <n v="310000"/>
    <n v="0"/>
    <n v="541618"/>
    <s v="CRCFNC38E24L328Y"/>
    <s v="CURCI FRANCESCO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25"/>
    <s v="14"/>
    <s v="Operazione per conto di importo elevato per la causale ed il soggetto"/>
    <d v="2025-05-29T00:00:00"/>
    <n v="53850"/>
    <n v="134"/>
    <s v="053850_134"/>
    <s v="Discovery Day"/>
    <s v="Mai valutato"/>
    <m/>
    <n v="202505288019999"/>
    <n v="1343300003027"/>
    <n v="20250528"/>
    <x v="13"/>
    <m/>
    <s v="086 - ITALIA"/>
    <s v="A     - Ave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23"/>
    <s v="14"/>
    <s v="Operazione per conto di importo elevato per la causale ed il soggetto"/>
    <d v="2025-05-29T00:00:00"/>
    <n v="53850"/>
    <n v="261"/>
    <s v="053850_261"/>
    <s v="Discovery Day"/>
    <s v="Mai valutato"/>
    <m/>
    <n v="202505288018864"/>
    <n v="2613300000312"/>
    <n v="20250528"/>
    <x v="1"/>
    <m/>
    <s v="086 - ITALIA"/>
    <s v="A     - Avere"/>
    <n v="201301.01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22"/>
    <s v="14"/>
    <s v="Operazione per conto di importo elevato per la causale ed il soggetto"/>
    <d v="2025-05-29T00:00:00"/>
    <n v="53850"/>
    <n v="122"/>
    <s v="053850_122"/>
    <s v="Discovery Day"/>
    <s v="Mai valutato"/>
    <m/>
    <n v="202505288018264"/>
    <n v="1223300002128"/>
    <n v="20250528"/>
    <x v="1"/>
    <m/>
    <s v="086 - ITALIA"/>
    <s v="A     - Avere"/>
    <n v="1856796.5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20"/>
    <s v="14"/>
    <s v="Operazione per conto di importo elevato per la causale ed il soggetto"/>
    <d v="2025-05-29T00:00:00"/>
    <n v="53850"/>
    <n v="116"/>
    <s v="053850_116"/>
    <s v="Discovery Day"/>
    <s v="Mai valutato"/>
    <m/>
    <n v="202505288019280"/>
    <n v="2173300010307"/>
    <n v="20250528"/>
    <x v="2"/>
    <m/>
    <m/>
    <s v="D     - Dare"/>
    <n v="4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13"/>
    <s v="14"/>
    <s v="Operazione per conto di importo elevato per la causale ed il soggetto"/>
    <d v="2025-05-29T00:00:00"/>
    <n v="53850"/>
    <n v="175"/>
    <s v="053850_175"/>
    <s v="Discovery Day"/>
    <s v="Mai valutato"/>
    <m/>
    <n v="202505288018359"/>
    <n v="1753302205383"/>
    <n v="20250528"/>
    <x v="1"/>
    <m/>
    <s v="086 - ITALIA"/>
    <s v="A     - Ave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09"/>
    <s v="14"/>
    <s v="Operazione per conto di importo elevato per la causale ed il soggetto"/>
    <d v="2025-05-28T00:00:00"/>
    <n v="53850"/>
    <n v="171"/>
    <s v="053850_171"/>
    <s v="Discovery Day"/>
    <s v="Mai valutato"/>
    <m/>
    <n v="202505288016300"/>
    <n v="1713302214622"/>
    <n v="20250528"/>
    <x v="20"/>
    <m/>
    <m/>
    <s v="D     - Dare"/>
    <n v="350000"/>
    <n v="0"/>
    <n v="4253879"/>
    <s v="DSNVCN58A24D969M"/>
    <s v="DE SANTIS VINCENZO"/>
    <s v="600 - Famiglie consumatrici"/>
    <m/>
    <s v="086 - ITALIA"/>
    <n v="815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08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7"/>
    <m/>
    <m/>
    <s v="D     - Dare"/>
    <n v="1706698.81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7"/>
    <s v="14"/>
    <s v="Operazione per conto di importo elevato per la causale ed il soggetto"/>
    <d v="2025-05-28T00:00:00"/>
    <n v="53850"/>
    <n v="190"/>
    <s v="053850_190"/>
    <s v="Discovery Day"/>
    <s v="Mai valutato"/>
    <m/>
    <n v="202505288016311"/>
    <n v="1903300015028"/>
    <n v="20250528"/>
    <x v="20"/>
    <m/>
    <m/>
    <s v="D     - Dare"/>
    <n v="500000"/>
    <n v="0"/>
    <n v="3018135"/>
    <s v="BNRVTI67A19E469T"/>
    <s v="BONORA VITO"/>
    <s v="615 - Altre famiglie produttrici"/>
    <s v="012 - COLTIVAZIONE DI COLTURE PERMANENTI"/>
    <s v="086 - ITALIA"/>
    <n v="828"/>
    <m/>
    <m/>
    <m/>
    <m/>
    <m/>
    <m/>
    <m/>
    <n v="0"/>
    <n v="202505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06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7"/>
    <m/>
    <m/>
    <s v="D     - Dare"/>
    <n v="1706698.81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5"/>
    <s v="14"/>
    <s v="Operazione per conto di importo elevato per la causale ed il soggetto"/>
    <d v="2025-05-28T00:00:00"/>
    <n v="53850"/>
    <n v="190"/>
    <s v="053850_190"/>
    <s v="Discovery Day"/>
    <s v="Mai valutato"/>
    <m/>
    <n v="202505288016311"/>
    <n v="1903300015028"/>
    <n v="20250528"/>
    <x v="20"/>
    <m/>
    <m/>
    <s v="D     - Dare"/>
    <n v="500000"/>
    <n v="0"/>
    <n v="3018136"/>
    <s v="BNRSFN73D16E469S"/>
    <s v="BONORA STEFANO"/>
    <s v="600 - Famiglie consumatrici"/>
    <m/>
    <s v="086 - ITALIA"/>
    <n v="82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04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7"/>
    <m/>
    <m/>
    <s v="D     - Dare"/>
    <n v="1706698.81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3"/>
    <s v="14"/>
    <s v="Operazione per conto di importo elevato per la causale ed il soggetto"/>
    <d v="2025-05-28T00:00:00"/>
    <n v="53850"/>
    <n v="105"/>
    <s v="053850_105"/>
    <s v="Discovery Day"/>
    <s v="Mai valutato"/>
    <m/>
    <n v="202505278017088"/>
    <n v="1053300516650"/>
    <n v="20250527"/>
    <x v="22"/>
    <m/>
    <m/>
    <s v="A     - Avere"/>
    <n v="225000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02"/>
    <s v="14"/>
    <s v="Operazione per conto di importo elevato per la causale ed il soggetto"/>
    <d v="2025-05-28T00:00:00"/>
    <n v="53850"/>
    <n v="110"/>
    <s v="053850_110"/>
    <s v="Discovery Day"/>
    <s v="Mai valutato"/>
    <m/>
    <n v="202505278015854"/>
    <n v="1103306286918"/>
    <n v="20250527"/>
    <x v="1"/>
    <m/>
    <s v="086 - ITALIA"/>
    <s v="A     - Avere"/>
    <n v="377927.89"/>
    <n v="0"/>
    <n v="469616"/>
    <s v="CPNMRA55B67A669N"/>
    <s v="CAPUANO MARIA"/>
    <s v="600 - Famiglie consumatrici"/>
    <m/>
    <s v="086 - ITALIA"/>
    <n v="45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98"/>
    <s v="14"/>
    <s v="Operazione per conto di importo elevato per la causale ed il soggetto"/>
    <d v="2025-05-28T00:00:00"/>
    <n v="53850"/>
    <n v="118"/>
    <s v="053850_118"/>
    <s v="Discovery Day"/>
    <s v="Mai valutato"/>
    <m/>
    <n v="202505278017157"/>
    <n v="1183306280319"/>
    <n v="20250527"/>
    <x v="0"/>
    <m/>
    <m/>
    <s v="D     - Dare"/>
    <n v="21441.7"/>
    <n v="0"/>
    <n v="518647"/>
    <s v="TMBMRA40L51A225G"/>
    <s v="TAMBORRA MARIA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97"/>
    <s v="14"/>
    <s v="Operazione per conto di importo elevato per la causale ed il soggetto"/>
    <d v="2025-05-28T00:00:00"/>
    <n v="53850"/>
    <n v="273"/>
    <s v="053850_273"/>
    <s v="Discovery Day"/>
    <s v="Mai valutato"/>
    <m/>
    <n v="202505278017459"/>
    <n v="2733300010399"/>
    <n v="20250527"/>
    <x v="3"/>
    <m/>
    <s v="086 - ITALIA"/>
    <s v="D     - Dare"/>
    <n v="675717.72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5"/>
    <s v="IN CARICO AL GESTORE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94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743565"/>
    <s v="CVLFNC90R16E205U"/>
    <s v="CAVALLO FRANCESC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91"/>
    <s v="14"/>
    <s v="Operazione per conto di importo elevato per la causale ed il soggetto"/>
    <d v="2025-05-28T00:00:00"/>
    <n v="53850"/>
    <n v="168"/>
    <s v="053850_168"/>
    <s v="Discovery Day"/>
    <s v="Mai valutato"/>
    <m/>
    <n v="202505278015403"/>
    <n v="1683306274827"/>
    <n v="20250527"/>
    <x v="10"/>
    <m/>
    <m/>
    <s v="A     - Avere"/>
    <n v="189076.79"/>
    <n v="0"/>
    <n v="4143678"/>
    <s v="DMTTZN67D69L682B"/>
    <s v="DE MATTIA TIZIANA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86"/>
    <s v="14"/>
    <s v="Operazione per conto di importo elevato per la causale ed il soggetto"/>
    <d v="2025-05-28T00:00:00"/>
    <n v="53850"/>
    <n v="200"/>
    <s v="053850_200"/>
    <s v="Discovery Day"/>
    <s v="Mai valutato"/>
    <m/>
    <n v="202505278015142"/>
    <n v="2003300002517"/>
    <n v="20250527"/>
    <x v="1"/>
    <m/>
    <s v="086 - ITALIA"/>
    <s v="A     - Avere"/>
    <n v="914775.13"/>
    <n v="0"/>
    <n v="4808884"/>
    <n v="2094150683"/>
    <s v="DI GIAMPAOLO S.R.L."/>
    <s v="430 - Imprese produttive"/>
    <s v="433 - COMPLETAMENTO E FINITURA DI EDIFICI"/>
    <s v="086 - ITALIA"/>
    <n v="1767"/>
    <m/>
    <m/>
    <m/>
    <m/>
    <m/>
    <m/>
    <m/>
    <n v="0"/>
    <n v="202505"/>
    <s v="ARCHIVIATA"/>
    <x v="0"/>
    <n v="1"/>
    <m/>
    <m/>
    <n v="0"/>
    <n v="433"/>
    <n v="430"/>
    <n v="43043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83"/>
    <s v="14"/>
    <s v="Operazione per conto di importo elevato per la causale ed il soggetto"/>
    <d v="2025-05-28T00:00:00"/>
    <n v="53850"/>
    <n v="270"/>
    <s v="053850_270"/>
    <s v="Discovery Day"/>
    <s v="Mai valutato"/>
    <m/>
    <n v="202505278017439"/>
    <n v="2703300002366"/>
    <n v="20250527"/>
    <x v="22"/>
    <m/>
    <m/>
    <s v="A     - Avere"/>
    <n v="200000"/>
    <n v="0"/>
    <n v="1679865"/>
    <s v="DGRGNN46L06L263T"/>
    <s v="DI GIROLAMO GIOVANNI"/>
    <s v="600 - Famiglie consumatrici"/>
    <m/>
    <s v="086 - ITALIA"/>
    <n v="1803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82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185415"/>
    <s v="PTRNNA69R50L219J"/>
    <s v="PETRUZZI ANN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81"/>
    <s v="14"/>
    <s v="Operazione per conto di importo elevato per la causale ed il soggetto"/>
    <d v="2025-05-28T00:00:00"/>
    <n v="53850"/>
    <n v="268"/>
    <s v="053850_268"/>
    <s v="Discovery Day"/>
    <s v="Mai valutato"/>
    <m/>
    <n v="202505278017416"/>
    <n v="2683300003796"/>
    <n v="20250527"/>
    <x v="22"/>
    <m/>
    <m/>
    <s v="A     - Avere"/>
    <n v="160000"/>
    <n v="0"/>
    <n v="1644839"/>
    <s v="LCNLSN01B11F537Z"/>
    <s v="LUCIANO ALESSANDRO FRANCESCO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79"/>
    <s v="14"/>
    <s v="Operazione per conto di importo elevato per la causale ed il soggetto"/>
    <d v="2025-05-28T00:00:00"/>
    <n v="53850"/>
    <n v="116"/>
    <s v="053850_116"/>
    <s v="Discovery Day"/>
    <s v="Mai valutato"/>
    <m/>
    <n v="202505278015455"/>
    <n v="2173300010307"/>
    <n v="20250527"/>
    <x v="1"/>
    <m/>
    <s v="086 - ITALIA"/>
    <s v="A     - Avere"/>
    <n v="11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76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743562"/>
    <s v="RGNLCN60T21L049B"/>
    <s v="RAGNATELA LUCIAN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74"/>
    <s v="14"/>
    <s v="Operazione per conto di importo elevato per la causale ed il soggetto"/>
    <d v="2025-05-28T00:00:00"/>
    <n v="53850"/>
    <n v="116"/>
    <s v="053850_116"/>
    <s v="Discovery Day"/>
    <s v="Mai valutato"/>
    <m/>
    <n v="202505278014986"/>
    <n v="2173300010307"/>
    <n v="20250527"/>
    <x v="1"/>
    <m/>
    <s v="086 - ITALIA"/>
    <s v="A     - Avere"/>
    <n v="29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368"/>
    <s v="14"/>
    <s v="Operazione per conto di importo elevato per la causale ed il soggetto"/>
    <d v="2025-05-27T00:00:00"/>
    <n v="53850"/>
    <n v="102"/>
    <s v="053850_102"/>
    <s v="Discovery Day"/>
    <s v="Mai valutato"/>
    <m/>
    <s v="202505267434058L"/>
    <n v="1023308724410"/>
    <n v="20250526"/>
    <x v="0"/>
    <m/>
    <m/>
    <s v="D     - Dare"/>
    <n v="2739.9"/>
    <n v="0"/>
    <n v="528970"/>
    <s v="LDCMRA31R70A225Y"/>
    <s v="LOIUDICE MARIA"/>
    <s v="600 - Famiglie consumatrici"/>
    <m/>
    <s v="086 - ITALIA"/>
    <n v="638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366"/>
    <s v="14"/>
    <s v="Operazione per conto di importo elevato per la causale ed il soggetto"/>
    <d v="2025-05-27T00:00:00"/>
    <n v="53850"/>
    <n v="111"/>
    <s v="053850_111"/>
    <s v="Discovery Day"/>
    <s v="Mai valutato"/>
    <m/>
    <n v="202505268013858"/>
    <n v="1113302814198"/>
    <n v="20250526"/>
    <x v="0"/>
    <m/>
    <m/>
    <s v="D     - Dare"/>
    <n v="11112.61"/>
    <n v="0"/>
    <n v="520760"/>
    <s v="PCANCL49A06E326T"/>
    <s v="PACE NICOLA"/>
    <s v="600 - Famiglie consumatrici"/>
    <m/>
    <s v="086 - ITALIA"/>
    <n v="4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65"/>
    <s v="14"/>
    <s v="Operazione per conto di importo elevato per la causale ed il soggetto"/>
    <d v="2025-05-27T00:00:00"/>
    <n v="53850"/>
    <n v="277"/>
    <s v="053850_277"/>
    <s v="Discovery Day"/>
    <s v="Mai valutato"/>
    <m/>
    <n v="202505268014273"/>
    <n v="2773300000981"/>
    <n v="20250526"/>
    <x v="0"/>
    <m/>
    <m/>
    <s v="D     - Dare"/>
    <n v="8094.28"/>
    <n v="0"/>
    <n v="1676767"/>
    <s v="FBRLLN67M58A485O"/>
    <s v="FABRIZIO ELISA ELENA"/>
    <s v="600 - Famiglie consumatrici"/>
    <m/>
    <s v="086 - ITALIA"/>
    <n v="179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363"/>
    <s v="14"/>
    <s v="Operazione per conto di importo elevato per la causale ed il soggetto"/>
    <d v="2025-05-27T00:00:00"/>
    <n v="53850"/>
    <n v="103"/>
    <s v="053850_103"/>
    <s v="Discovery Day"/>
    <s v="Mai valutato"/>
    <m/>
    <n v="202505268013774"/>
    <n v="1035500408029"/>
    <n v="20250526"/>
    <x v="18"/>
    <m/>
    <m/>
    <s v="D     - Dare"/>
    <n v="251379.54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5"/>
    <s v="IN CARICO AL GESTORE"/>
    <x v="1"/>
    <n v="1"/>
    <m/>
    <m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62"/>
    <s v="14"/>
    <s v="Operazione per conto di importo elevato per la causale ed il soggetto"/>
    <d v="2025-05-27T00:00:00"/>
    <n v="53850"/>
    <n v="187"/>
    <s v="053850_187"/>
    <s v="Discovery Day"/>
    <s v="Mai valutato"/>
    <m/>
    <n v="202505268011589"/>
    <n v="999361870311"/>
    <n v="20250526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61"/>
    <s v="14"/>
    <s v="Operazione per conto di importo elevato per la causale ed il soggetto"/>
    <d v="2025-05-27T00:00:00"/>
    <n v="53850"/>
    <n v="111"/>
    <s v="053850_111"/>
    <s v="Discovery Day"/>
    <s v="Mai valutato"/>
    <m/>
    <n v="202505268013858"/>
    <n v="1113302814198"/>
    <n v="20250526"/>
    <x v="0"/>
    <m/>
    <m/>
    <s v="D     - Dare"/>
    <n v="11112.61"/>
    <n v="0"/>
    <n v="520852"/>
    <s v="LLCMRC56P64E326D"/>
    <s v="LOLAICO MARIA ARCANGELA"/>
    <s v="600 - Famiglie consumatrici"/>
    <m/>
    <s v="086 - ITALIA"/>
    <n v="4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59"/>
    <s v="14"/>
    <s v="Operazione per conto di importo elevato per la causale ed il soggetto"/>
    <d v="2025-05-27T00:00:00"/>
    <n v="53850"/>
    <n v="104"/>
    <s v="053850_104"/>
    <s v="Discovery Day"/>
    <s v="Mai valutato"/>
    <m/>
    <n v="202505268012099"/>
    <n v="1043301450145"/>
    <n v="20250526"/>
    <x v="1"/>
    <m/>
    <s v="086 - ITALIA"/>
    <s v="A     - Avere"/>
    <n v="827713.75"/>
    <n v="0"/>
    <n v="4903762"/>
    <n v="8138460723"/>
    <s v="CORBUILD SOCIETA' A RESPONSABILITA' LIMITATA"/>
    <s v="430 - Imprese produttive"/>
    <s v="412 - COSTRUZIONE DI EDIFICI RESIDENZIALI E NON RESIDENZIALI"/>
    <s v="086 - ITALIA"/>
    <n v="1696"/>
    <m/>
    <m/>
    <m/>
    <m/>
    <m/>
    <m/>
    <m/>
    <n v="0"/>
    <n v="202505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54"/>
    <s v="14"/>
    <s v="Operazione per conto di importo elevato per la causale ed il soggetto"/>
    <d v="2025-05-27T00:00:00"/>
    <n v="53850"/>
    <n v="200"/>
    <s v="053850_200"/>
    <s v="Discovery Day"/>
    <s v="Mai valutato"/>
    <m/>
    <n v="202505268012515"/>
    <n v="2003300003846"/>
    <n v="20250526"/>
    <x v="1"/>
    <m/>
    <s v="086 - ITALIA"/>
    <s v="A     - Avere"/>
    <n v="295000"/>
    <n v="0"/>
    <n v="3742834"/>
    <s v="MRNFBN76S13E058P"/>
    <s v="MARINI FABIANO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353"/>
    <s v="14"/>
    <s v="Operazione per conto di importo elevato per la causale ed il soggetto"/>
    <d v="2025-05-27T00:00:00"/>
    <n v="53850"/>
    <n v="200"/>
    <s v="053850_200"/>
    <s v="Discovery Day"/>
    <s v="Mai valutato"/>
    <m/>
    <n v="202505268012515"/>
    <n v="2003300003846"/>
    <n v="20250526"/>
    <x v="1"/>
    <m/>
    <s v="086 - ITALIA"/>
    <s v="A     - Avere"/>
    <n v="295000"/>
    <n v="0"/>
    <n v="3742853"/>
    <s v="FNCTNA71L63Z614Z"/>
    <s v="FINOCCHIO TANIA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352"/>
    <s v="14"/>
    <s v="Operazione per conto di importo elevato per la causale ed il soggetto"/>
    <d v="2025-05-27T00:00:00"/>
    <n v="53850"/>
    <n v="200"/>
    <s v="053850_200"/>
    <s v="Discovery Day"/>
    <s v="Mai valutato"/>
    <m/>
    <n v="202505268014187"/>
    <n v="2003300003805"/>
    <n v="20250526"/>
    <x v="3"/>
    <m/>
    <s v="086 - ITALIA"/>
    <s v="D     - Dare"/>
    <n v="250000"/>
    <n v="0"/>
    <n v="3738733"/>
    <s v="CFLNNT82B41A783T"/>
    <s v="CIFELLI ANTONIETTA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41"/>
    <s v="14"/>
    <s v="Operazione per conto di importo elevato per la causale ed il soggetto"/>
    <d v="2025-05-27T00:00:00"/>
    <n v="53850"/>
    <n v="200"/>
    <s v="053850_200"/>
    <s v="Discovery Day"/>
    <s v="Mai valutato"/>
    <m/>
    <n v="202505268014187"/>
    <n v="2003300003805"/>
    <n v="20250526"/>
    <x v="3"/>
    <m/>
    <s v="086 - ITALIA"/>
    <s v="D     - Dare"/>
    <n v="250000"/>
    <n v="0"/>
    <n v="3738734"/>
    <s v="SPNMSM70B28G482T"/>
    <s v="SPINOZZI MASSIMILIANO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37"/>
    <s v="14"/>
    <s v="Operazione per conto di importo elevato per la causale ed il soggetto"/>
    <d v="2025-05-27T00:00:00"/>
    <n v="53850"/>
    <n v="286"/>
    <s v="053850_286"/>
    <s v="Discovery Day"/>
    <s v="Mai valutato"/>
    <m/>
    <n v="202505268012474"/>
    <n v="2863300000284"/>
    <n v="20250526"/>
    <x v="1"/>
    <m/>
    <s v="086 - ITALIA"/>
    <s v="A     - Avere"/>
    <n v="1967111.99"/>
    <n v="0"/>
    <n v="1604848"/>
    <n v="80000480691"/>
    <s v="TRIBUNALE DI CHIETI"/>
    <s v="102 - Amministrazione Statale e Organi Costituzionali"/>
    <s v="842 - SERVIZI COLLETTIVI DELLE AMMINISTRAZIONI PUBBLICHE"/>
    <s v="086 - ITALIA"/>
    <n v="1935"/>
    <m/>
    <m/>
    <m/>
    <m/>
    <m/>
    <m/>
    <m/>
    <n v="0"/>
    <n v="202505"/>
    <s v="ARCHIVIATA"/>
    <x v="0"/>
    <n v="1"/>
    <m/>
    <m/>
    <n v="0"/>
    <n v="999"/>
    <n v="102"/>
    <n v="102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32"/>
    <s v="14"/>
    <s v="Operazione per conto di importo elevato per la causale ed il soggetto"/>
    <d v="2025-05-27T00:00:00"/>
    <n v="53850"/>
    <n v="187"/>
    <s v="053850_187"/>
    <s v="Discovery Day"/>
    <s v="Mai valutato"/>
    <m/>
    <n v="202505268011218"/>
    <n v="999361870311"/>
    <n v="20250526"/>
    <x v="8"/>
    <m/>
    <m/>
    <s v="D     - Dare"/>
    <n v="1240852.879999999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7"/>
    <s v="14"/>
    <s v="Operazione per conto di importo elevato per la causale ed il soggetto"/>
    <d v="2025-05-27T00:00:00"/>
    <n v="53850"/>
    <n v="277"/>
    <s v="053850_277"/>
    <s v="Discovery Day"/>
    <s v="Mai valutato"/>
    <m/>
    <n v="202505268014273"/>
    <n v="2773300000981"/>
    <n v="20250526"/>
    <x v="0"/>
    <m/>
    <m/>
    <s v="D     - Dare"/>
    <n v="8094.28"/>
    <n v="0"/>
    <n v="1676766"/>
    <s v="BCCCMN59A17L218N"/>
    <s v="BOCCHINI CARMINE ANTONIO"/>
    <s v="600 - Famiglie consumatrici"/>
    <m/>
    <s v="086 - ITALIA"/>
    <n v="179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325"/>
    <s v="14"/>
    <s v="Operazione per conto di importo elevato per la causale ed il soggetto"/>
    <d v="2025-05-24T00:00:00"/>
    <n v="53850"/>
    <n v="226"/>
    <s v="053850_226"/>
    <s v="Discovery Day"/>
    <s v="Mai valutato"/>
    <m/>
    <n v="202505268005859"/>
    <n v="2265500010051"/>
    <n v="20250526"/>
    <x v="19"/>
    <m/>
    <m/>
    <s v="A     - Avere"/>
    <n v="151048"/>
    <n v="0"/>
    <n v="616022"/>
    <s v="LCNNCL57L02L328T"/>
    <s v="LOCONTE NICOLA"/>
    <s v="600 - Famiglie consumatrici"/>
    <m/>
    <s v="086 - ITALIA"/>
    <n v="1395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4"/>
    <s v="14"/>
    <s v="Operazione per conto di importo elevato per la causale ed il soggetto"/>
    <d v="2025-05-24T00:00:00"/>
    <n v="53850"/>
    <n v="114"/>
    <s v="053850_114"/>
    <s v="Discovery Day"/>
    <s v="Mai valutato"/>
    <m/>
    <n v="202505268005702"/>
    <n v="1143306278589"/>
    <n v="20250526"/>
    <x v="21"/>
    <m/>
    <m/>
    <s v="A     - Avere"/>
    <n v="4027998"/>
    <n v="0"/>
    <n v="4175755"/>
    <s v="PTTLMP50S41I158L"/>
    <s v="PETITTI OLIMPIA"/>
    <s v="600 - Famiglie consumatrici"/>
    <m/>
    <s v="086 - ITALIA"/>
    <n v="80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23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30"/>
    <n v="1035500408053"/>
    <n v="20250526"/>
    <x v="21"/>
    <m/>
    <m/>
    <s v="A     - Avere"/>
    <n v="3020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2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29"/>
    <n v="1035500408053"/>
    <n v="20250526"/>
    <x v="19"/>
    <m/>
    <m/>
    <s v="A     - Avere"/>
    <n v="3020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21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01"/>
    <n v="1823300167713"/>
    <n v="20250526"/>
    <x v="21"/>
    <m/>
    <m/>
    <s v="A     - Avere"/>
    <n v="302098"/>
    <n v="0"/>
    <n v="599131"/>
    <s v="BRNCST82R54L049U"/>
    <s v="BERNARDINI CRISTI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0"/>
    <s v="14"/>
    <s v="Operazione per conto di importo elevato per la causale ed il soggetto"/>
    <d v="2025-05-24T00:00:00"/>
    <n v="53850"/>
    <n v="273"/>
    <s v="053850_273"/>
    <s v="Discovery Day"/>
    <s v="Mai valutato"/>
    <m/>
    <n v="202505268005902"/>
    <n v="2733300002410"/>
    <n v="20250526"/>
    <x v="21"/>
    <m/>
    <m/>
    <s v="A     - Avere"/>
    <n v="528675"/>
    <n v="0"/>
    <n v="1664632"/>
    <s v="TTVMRZ71E02E372N"/>
    <s v="OTTAVIANO MAURIZIO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19"/>
    <s v="14"/>
    <s v="Operazione per conto di importo elevato per la causale ed il soggetto"/>
    <d v="2025-05-24T00:00:00"/>
    <n v="53850"/>
    <n v="273"/>
    <s v="053850_273"/>
    <s v="Discovery Day"/>
    <s v="Mai valutato"/>
    <m/>
    <n v="202505268005902"/>
    <n v="2733300002410"/>
    <n v="20250526"/>
    <x v="21"/>
    <m/>
    <m/>
    <s v="A     - Avere"/>
    <n v="528675"/>
    <n v="0"/>
    <n v="1673302"/>
    <s v="MNCDBR75E54F839T"/>
    <s v="MONACO DEBORA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18"/>
    <s v="14"/>
    <s v="Operazione per conto di importo elevato per la causale ed il soggetto"/>
    <d v="2025-05-24T00:00:00"/>
    <n v="53850"/>
    <n v="114"/>
    <s v="053850_114"/>
    <s v="Discovery Day"/>
    <s v="Mai valutato"/>
    <m/>
    <n v="202505268005702"/>
    <n v="1143306278589"/>
    <n v="20250526"/>
    <x v="21"/>
    <m/>
    <m/>
    <s v="A     - Avere"/>
    <n v="4027998"/>
    <n v="0"/>
    <n v="4096156"/>
    <s v="TRLMTT49B09I054M"/>
    <s v="TORELLI MATTEO"/>
    <s v="600 - Famiglie consumatrici"/>
    <m/>
    <s v="086 - ITALIA"/>
    <n v="80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17"/>
    <s v="14"/>
    <s v="Operazione per conto di importo elevato per la causale ed il soggetto"/>
    <d v="2025-05-24T00:00:00"/>
    <n v="53850"/>
    <n v="188"/>
    <s v="053850_188"/>
    <s v="Discovery Day"/>
    <s v="Mai valutato"/>
    <m/>
    <n v="202505268005825"/>
    <n v="1883300130370"/>
    <n v="20250526"/>
    <x v="21"/>
    <m/>
    <m/>
    <s v="A     - Avere"/>
    <n v="503498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m/>
    <n v="0"/>
    <n v="477"/>
    <n v="615"/>
    <n v="615477"/>
    <s v="Classe di rischio 6"/>
    <m/>
    <x v="6"/>
    <n v="199998"/>
    <n v="215173"/>
    <n v="230348"/>
    <n v="245523"/>
    <n v="260698"/>
    <n v="275873"/>
    <n v="291048"/>
    <n v="306223"/>
    <n v="321398"/>
    <n v="336573"/>
    <n v="351748"/>
    <n v="366923"/>
    <n v="382098"/>
    <n v="397273"/>
    <n v="412448"/>
    <n v="427623"/>
    <n v="442798"/>
    <n v="457973"/>
    <n v="473148"/>
    <n v="488323"/>
    <n v="5034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16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13"/>
    <n v="1825502404908"/>
    <n v="20250526"/>
    <x v="19"/>
    <m/>
    <m/>
    <s v="A     - Avere"/>
    <n v="201398"/>
    <n v="0"/>
    <n v="3000573"/>
    <s v="PGNCNZ70A48L049Y"/>
    <s v="PIGNATELLI CINZIA"/>
    <s v="600 - Famiglie consumatrici"/>
    <m/>
    <s v="086 - ITALIA"/>
    <n v="67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5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03"/>
    <n v="1033301057030"/>
    <n v="20250526"/>
    <x v="21"/>
    <m/>
    <m/>
    <s v="A     - Avere"/>
    <n v="402798"/>
    <n v="0"/>
    <n v="105703"/>
    <s v="CLSMHL58T07E155M"/>
    <s v="COLASANTI MICHELE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4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09"/>
    <n v="1825502403124"/>
    <n v="20250526"/>
    <x v="19"/>
    <m/>
    <m/>
    <s v="A     - Avere"/>
    <n v="151048"/>
    <n v="0"/>
    <n v="3000579"/>
    <s v="PGNGDE68A07L049U"/>
    <s v="PIGNATELLI EGIDIO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3"/>
    <s v="14"/>
    <s v="Operazione per conto di importo elevato per la causale ed il soggetto"/>
    <d v="2025-05-24T00:00:00"/>
    <n v="53850"/>
    <n v="226"/>
    <s v="053850_226"/>
    <s v="Discovery Day"/>
    <s v="Mai valutato"/>
    <m/>
    <n v="202505268005859"/>
    <n v="2265500010051"/>
    <n v="20250526"/>
    <x v="19"/>
    <m/>
    <m/>
    <s v="A     - Avere"/>
    <n v="151048"/>
    <n v="0"/>
    <n v="4503929"/>
    <s v="DRGSVN59H63L328P"/>
    <s v="DRAGONETTI SAVINA"/>
    <s v="600 - Famiglie consumatrici"/>
    <m/>
    <s v="086 - ITALIA"/>
    <n v="1395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2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27"/>
    <n v="1035500408053"/>
    <n v="20250526"/>
    <x v="19"/>
    <m/>
    <m/>
    <s v="A     - Avere"/>
    <n v="2499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311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13"/>
    <n v="1825502404908"/>
    <n v="20250526"/>
    <x v="19"/>
    <m/>
    <m/>
    <s v="A     - Avere"/>
    <n v="201398"/>
    <n v="0"/>
    <n v="3000579"/>
    <s v="PGNGDE68A07L049U"/>
    <s v="PIGNATELLI EGIDIO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0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794"/>
    <n v="1823300017474"/>
    <n v="20250526"/>
    <x v="21"/>
    <m/>
    <m/>
    <s v="A     - Avere"/>
    <n v="906298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09"/>
    <s v="14"/>
    <s v="Operazione per conto di importo elevato per la causale ed il soggetto"/>
    <d v="2025-05-24T00:00:00"/>
    <n v="53850"/>
    <n v="182"/>
    <s v="053850_182"/>
    <s v="Discovery Day"/>
    <s v="Mai valutato"/>
    <m/>
    <n v="202505238005231"/>
    <n v="1823300172332"/>
    <n v="20250523"/>
    <x v="1"/>
    <m/>
    <s v="086 - ITALIA"/>
    <s v="A     - Avere"/>
    <n v="223136.7"/>
    <n v="0"/>
    <n v="4778753"/>
    <s v="ZZLLSN93R60L049I"/>
    <s v="AZZOLLINI ALESSANDR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08"/>
    <s v="14"/>
    <s v="Operazione per conto di importo elevato per la causale ed il soggetto"/>
    <d v="2025-05-24T00:00:00"/>
    <n v="53850"/>
    <n v="102"/>
    <s v="053850_102"/>
    <s v="Discovery Day"/>
    <s v="Mai valutato"/>
    <m/>
    <n v="202505238004809"/>
    <n v="1023308726073"/>
    <n v="20250523"/>
    <x v="1"/>
    <m/>
    <s v="086 - ITALIA"/>
    <s v="A     - Avere"/>
    <n v="830379.9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05"/>
    <s v="14"/>
    <s v="Operazione per conto di importo elevato per la causale ed il soggetto"/>
    <d v="2025-05-24T00:00:00"/>
    <n v="53850"/>
    <n v="182"/>
    <s v="053850_182"/>
    <s v="Discovery Day"/>
    <s v="Mai valutato"/>
    <m/>
    <n v="202505238005231"/>
    <n v="1823300172332"/>
    <n v="20250523"/>
    <x v="1"/>
    <m/>
    <s v="086 - ITALIA"/>
    <s v="A     - Avere"/>
    <n v="223136.7"/>
    <n v="0"/>
    <n v="3032172"/>
    <s v="LVRNNA54C57L049R"/>
    <s v="OLIVIERI AN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99"/>
    <s v="14"/>
    <s v="Operazione per conto di importo elevato per la causale ed il soggetto"/>
    <d v="2025-05-24T00:00:00"/>
    <n v="53850"/>
    <n v="277"/>
    <s v="053850_277"/>
    <s v="Discovery Day"/>
    <s v="Mai valutato"/>
    <m/>
    <s v="202505237390665L"/>
    <n v="2773300001134"/>
    <n v="20250523"/>
    <x v="0"/>
    <m/>
    <m/>
    <s v="D     - Dare"/>
    <n v="1646.54"/>
    <n v="0"/>
    <n v="1676787"/>
    <s v="PRSMNG69T52E435R"/>
    <s v="PERSICHITTI MARINA GABRIELLA"/>
    <s v="600 - Famiglie consumatrici"/>
    <m/>
    <s v="086 - ITALIA"/>
    <n v="179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298"/>
    <s v="14"/>
    <s v="Operazione per conto di importo elevato per la causale ed il soggetto"/>
    <d v="2025-05-24T00:00:00"/>
    <n v="53850"/>
    <n v="105"/>
    <s v="053850_105"/>
    <s v="Discovery Day"/>
    <s v="Mai valutato"/>
    <m/>
    <n v="202505238004934"/>
    <n v="1053306287087"/>
    <n v="20250523"/>
    <x v="1"/>
    <m/>
    <s v="086 - ITALIA"/>
    <s v="A     - Avere"/>
    <n v="231556.77"/>
    <n v="0"/>
    <n v="454750"/>
    <s v="MNCGNN73D20E038C"/>
    <s v="MANCINO GIOVANNI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97"/>
    <s v="14"/>
    <s v="Operazione per conto di importo elevato per la causale ed il soggetto"/>
    <d v="2025-05-24T00:00:00"/>
    <n v="53850"/>
    <n v="149"/>
    <s v="053850_149"/>
    <s v="Discovery Day"/>
    <s v="Mai valutato"/>
    <m/>
    <n v="202505238006665"/>
    <n v="1493303650760"/>
    <n v="20250523"/>
    <x v="0"/>
    <m/>
    <m/>
    <s v="D     - Dare"/>
    <n v="134330.78"/>
    <n v="0"/>
    <n v="2003192"/>
    <s v="PTRGLD26S43Z326W"/>
    <s v="PETRUZZI GILDA"/>
    <s v="600 - Famiglie consumatrici"/>
    <m/>
    <s v="086 - ITALIA"/>
    <n v="123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96"/>
    <s v="14"/>
    <s v="Operazione per conto di importo elevato per la causale ed il soggetto"/>
    <d v="2025-05-24T00:00:00"/>
    <n v="53850"/>
    <n v="196"/>
    <s v="053850_196"/>
    <s v="Discovery Day"/>
    <s v="Mai valutato"/>
    <m/>
    <n v="202505238006368"/>
    <n v="1963302354092"/>
    <n v="20250523"/>
    <x v="6"/>
    <m/>
    <m/>
    <s v="D     - Dare"/>
    <n v="250000"/>
    <n v="0"/>
    <n v="4922081"/>
    <s v="RNLLGU45M03C514F"/>
    <s v="RINALDI LUIGI"/>
    <s v="600 - Famiglie consumatrici"/>
    <m/>
    <s v="086 - ITALIA"/>
    <n v="87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95"/>
    <s v="14"/>
    <s v="Operazione per conto di importo elevato per la causale ed il soggetto"/>
    <d v="2025-05-24T00:00:00"/>
    <n v="53850"/>
    <n v="187"/>
    <s v="053850_187"/>
    <s v="Discovery Day"/>
    <s v="Mai valutato"/>
    <m/>
    <n v="202505238004297"/>
    <n v="999361870311"/>
    <n v="20250523"/>
    <x v="3"/>
    <m/>
    <s v="086 - ITALIA"/>
    <s v="D     - Dare"/>
    <n v="1140733.72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93"/>
    <s v="14"/>
    <s v="Operazione per conto di importo elevato per la causale ed il soggetto"/>
    <d v="2025-05-24T00:00:00"/>
    <n v="53850"/>
    <n v="105"/>
    <s v="053850_105"/>
    <s v="Discovery Day"/>
    <s v="Mai valutato"/>
    <m/>
    <n v="202505238006528"/>
    <n v="1053306288710"/>
    <n v="20250523"/>
    <x v="22"/>
    <m/>
    <m/>
    <s v="A     - Avere"/>
    <n v="3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92"/>
    <s v="14"/>
    <s v="Operazione per conto di importo elevato per la causale ed il soggetto"/>
    <d v="2025-05-24T00:00:00"/>
    <n v="53850"/>
    <n v="171"/>
    <s v="053850_171"/>
    <s v="Discovery Day"/>
    <s v="Mai valutato"/>
    <m/>
    <n v="202505238005359"/>
    <n v="1713302214622"/>
    <n v="20250523"/>
    <x v="1"/>
    <m/>
    <s v="086 - ITALIA"/>
    <s v="A     - Avere"/>
    <n v="356502.93"/>
    <n v="0"/>
    <n v="4253879"/>
    <s v="DSNVCN58A24D969M"/>
    <s v="DE SANTIS VINCENZO"/>
    <s v="600 - Famiglie consumatrici"/>
    <m/>
    <s v="086 - ITALIA"/>
    <n v="815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90"/>
    <s v="14"/>
    <s v="Operazione per conto di importo elevato per la causale ed il soggetto"/>
    <d v="2025-05-24T00:00:00"/>
    <n v="53850"/>
    <n v="196"/>
    <s v="053850_196"/>
    <s v="Discovery Day"/>
    <s v="Mai valutato"/>
    <m/>
    <n v="202505238006368"/>
    <n v="1963302354092"/>
    <n v="20250523"/>
    <x v="6"/>
    <m/>
    <m/>
    <s v="D     - Dare"/>
    <n v="250000"/>
    <n v="0"/>
    <n v="4922085"/>
    <s v="DMBVCN42M49L219U"/>
    <s v="D'AMBROSIO VINCENZINA"/>
    <s v="600 - Famiglie consumatrici"/>
    <m/>
    <s v="086 - ITALIA"/>
    <n v="87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82"/>
    <s v="14"/>
    <s v="Operazione per conto di importo elevato per la causale ed il soggetto"/>
    <d v="2025-05-24T00:00:00"/>
    <n v="53850"/>
    <n v="105"/>
    <s v="053850_105"/>
    <s v="Discovery Day"/>
    <s v="Mai valutato"/>
    <m/>
    <n v="202505238004934"/>
    <n v="1053306287087"/>
    <n v="20250523"/>
    <x v="1"/>
    <m/>
    <s v="086 - ITALIA"/>
    <s v="A     - Avere"/>
    <n v="231556.77"/>
    <n v="0"/>
    <n v="4328851"/>
    <s v="CLZVNC74H44C136X"/>
    <s v="COLIZZI VERONIC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79"/>
    <s v="14"/>
    <s v="Operazione per conto di importo elevato per la causale ed il soggetto"/>
    <d v="2025-05-24T00:00:00"/>
    <n v="53850"/>
    <n v="175"/>
    <s v="053850_175"/>
    <s v="Discovery Day"/>
    <s v="Mai valutato"/>
    <m/>
    <n v="202505238006747"/>
    <n v="1753302205383"/>
    <n v="20250523"/>
    <x v="3"/>
    <m/>
    <s v="086 - ITALIA"/>
    <s v="D     - Da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75"/>
    <s v="14"/>
    <s v="Operazione per conto di importo elevato per la causale ed il soggetto"/>
    <d v="2025-05-24T00:00:00"/>
    <n v="53850"/>
    <n v="277"/>
    <s v="053850_277"/>
    <s v="Discovery Day"/>
    <s v="Mai valutato"/>
    <m/>
    <s v="202505237390665L"/>
    <n v="2773300001134"/>
    <n v="20250523"/>
    <x v="0"/>
    <m/>
    <m/>
    <s v="D     - Dare"/>
    <n v="1646.54"/>
    <n v="0"/>
    <n v="1677157"/>
    <s v="PRSDDR35E69L218N"/>
    <s v="PRESENZA DESIDERI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273"/>
    <s v="14"/>
    <s v="Operazione per conto di importo elevato per la causale ed il soggetto"/>
    <d v="2025-05-23T00:00:00"/>
    <n v="53850"/>
    <n v="108"/>
    <s v="053850_108"/>
    <s v="Discovery Day"/>
    <s v="Mai valutato"/>
    <m/>
    <n v="202505238002919"/>
    <n v="1085500039514"/>
    <n v="20250523"/>
    <x v="18"/>
    <m/>
    <m/>
    <s v="D     - Dare"/>
    <n v="196048.72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272"/>
    <s v="14"/>
    <s v="Operazione per conto di importo elevato per la causale ed il soggetto"/>
    <d v="2025-05-23T00:00:00"/>
    <n v="53850"/>
    <n v="108"/>
    <s v="053850_108"/>
    <s v="Discovery Day"/>
    <s v="Mai valutato"/>
    <m/>
    <n v="202505238002919"/>
    <n v="1085500039514"/>
    <n v="20250523"/>
    <x v="18"/>
    <m/>
    <m/>
    <s v="D     - Dare"/>
    <n v="196048.72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269"/>
    <s v="14"/>
    <s v="Operazione per conto di importo elevato per la causale ed il soggetto"/>
    <d v="2025-05-23T00:00:00"/>
    <n v="53850"/>
    <n v="169"/>
    <s v="053850_169"/>
    <s v="Discovery Day"/>
    <s v="Mai valutato"/>
    <m/>
    <n v="202505228003684"/>
    <n v="1693305416200"/>
    <n v="20250522"/>
    <x v="31"/>
    <m/>
    <m/>
    <s v="A     - Avere"/>
    <n v="310000"/>
    <n v="0"/>
    <n v="541618"/>
    <s v="CRCFNC38E24L328Y"/>
    <s v="CURCI FRANCESCO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63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25"/>
    <n v="1143306280045"/>
    <n v="20250522"/>
    <x v="0"/>
    <m/>
    <m/>
    <s v="D     - Dare"/>
    <n v="88763.05"/>
    <n v="0"/>
    <n v="4440994"/>
    <s v="CRCNTN51H05D643K"/>
    <s v="CORCETTI ANTONIO"/>
    <s v="600 - Famiglie consumatrici"/>
    <m/>
    <s v="086 - ITALIA"/>
    <n v="907"/>
    <m/>
    <m/>
    <m/>
    <m/>
    <m/>
    <m/>
    <m/>
    <n v="0"/>
    <n v="202505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54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25"/>
    <n v="1143306280045"/>
    <n v="20250522"/>
    <x v="0"/>
    <m/>
    <m/>
    <s v="D     - Dare"/>
    <n v="88763.05"/>
    <n v="0"/>
    <n v="4440996"/>
    <s v="TTDMLS55R48D643W"/>
    <s v="ATTADEMO MARIA LUISA"/>
    <s v="600 - Famiglie consumatrici"/>
    <m/>
    <s v="086 - ITALIA"/>
    <n v="642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50"/>
    <s v="14"/>
    <s v="Operazione per conto di importo elevato per la causale ed il soggetto"/>
    <d v="2025-05-23T00:00:00"/>
    <n v="53850"/>
    <n v="169"/>
    <s v="053850_169"/>
    <s v="Discovery Day"/>
    <s v="Mai valutato"/>
    <m/>
    <n v="202505228003684"/>
    <n v="1693305416200"/>
    <n v="20250522"/>
    <x v="31"/>
    <m/>
    <m/>
    <s v="A     - Avere"/>
    <n v="310000"/>
    <n v="0"/>
    <n v="541619"/>
    <s v="PSQCCT46D64L328Z"/>
    <s v="PASQUADIBISCEGLIE CONCETT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6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18"/>
    <n v="1143306282512"/>
    <n v="20250522"/>
    <x v="0"/>
    <m/>
    <m/>
    <s v="D     - Dare"/>
    <n v="664672.81999999995"/>
    <n v="0"/>
    <n v="4969914"/>
    <n v="3855320713"/>
    <s v="FALLIMENTO AGRICOLA ZAPPONETA S.R.L."/>
    <s v="430 - Imprese produttive"/>
    <s v="011 - COLTIVAZIONE DI COLTURE AGRICOLE NON PERMANENTI"/>
    <s v="086 - ITALIA"/>
    <n v="519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5"/>
    <s v="14"/>
    <s v="Operazione per conto di importo elevato per la causale ed il soggetto"/>
    <d v="2025-05-23T00:00:00"/>
    <n v="53850"/>
    <n v="104"/>
    <s v="053850_104"/>
    <s v="Discovery Day"/>
    <s v="Mai valutato"/>
    <m/>
    <n v="202505228001924"/>
    <n v="1043301449156"/>
    <n v="20250522"/>
    <x v="1"/>
    <m/>
    <s v="086 - ITALIA"/>
    <s v="A     - Avere"/>
    <n v="35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44"/>
    <s v="14"/>
    <s v="Operazione per conto di importo elevato per la causale ed il soggetto"/>
    <d v="2025-05-23T00:00:00"/>
    <n v="53850"/>
    <n v="104"/>
    <s v="053850_104"/>
    <s v="Discovery Day"/>
    <s v="Mai valutato"/>
    <m/>
    <n v="202505228002767"/>
    <n v="1043301449156"/>
    <n v="20250522"/>
    <x v="2"/>
    <m/>
    <m/>
    <s v="D     - Dare"/>
    <n v="35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1"/>
    <s v="14"/>
    <s v="Operazione per conto di importo elevato per la causale ed il soggetto"/>
    <d v="2025-05-23T00:00:00"/>
    <n v="53850"/>
    <n v="200"/>
    <s v="053850_200"/>
    <s v="Discovery Day"/>
    <s v="Mai valutato"/>
    <m/>
    <n v="202505228003776"/>
    <n v="2003300003833"/>
    <n v="20250522"/>
    <x v="3"/>
    <m/>
    <s v="086 - ITALIA"/>
    <s v="D     - Dare"/>
    <n v="203277.8"/>
    <n v="0"/>
    <n v="3742670"/>
    <s v="CCCMNL89C07H5L1G"/>
    <s v="COCCO EMANUELE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237"/>
    <s v="14"/>
    <s v="Operazione per conto di importo elevato per la causale ed il soggetto"/>
    <d v="2025-05-23T00:00:00"/>
    <n v="53850"/>
    <n v="261"/>
    <s v="053850_261"/>
    <s v="Discovery Day"/>
    <s v="Mai valutato"/>
    <m/>
    <n v="202505228003788"/>
    <n v="2613300000312"/>
    <n v="20250522"/>
    <x v="22"/>
    <m/>
    <m/>
    <s v="A     - Avere"/>
    <n v="200000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234"/>
    <s v="14"/>
    <s v="Operazione per conto di importo elevato per la causale ed il soggetto"/>
    <d v="2025-05-23T00:00:00"/>
    <n v="53850"/>
    <n v="268"/>
    <s v="053850_268"/>
    <s v="Discovery Day"/>
    <s v="Mai valutato"/>
    <m/>
    <n v="202505228003810"/>
    <n v="2683300010355"/>
    <n v="20250522"/>
    <x v="22"/>
    <m/>
    <m/>
    <s v="A     - Avere"/>
    <n v="220000"/>
    <n v="0"/>
    <n v="1633404"/>
    <s v="CRPVCN75D30F537F"/>
    <s v="CRUPI VINCENZO VALTER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27"/>
    <s v="14"/>
    <s v="Operazione per conto di importo elevato per la causale ed il soggetto"/>
    <d v="2025-05-22T00:00:00"/>
    <n v="53850"/>
    <n v="105"/>
    <s v="053850_105"/>
    <s v="Discovery Day"/>
    <s v="Mai valutato"/>
    <m/>
    <n v="202505217999576"/>
    <n v="1053306288710"/>
    <n v="20250521"/>
    <x v="1"/>
    <m/>
    <s v="086 - ITALIA"/>
    <s v="A     - Avere"/>
    <n v="200531.43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5"/>
    <s v="14"/>
    <s v="Operazione per conto di importo elevato per la causale ed il soggetto"/>
    <d v="2025-05-22T00:00:00"/>
    <n v="53850"/>
    <n v="175"/>
    <s v="053850_175"/>
    <s v="Discovery Day"/>
    <s v="Mai valutato"/>
    <m/>
    <n v="202505217998785"/>
    <n v="1753305636160"/>
    <n v="20250521"/>
    <x v="3"/>
    <m/>
    <s v="086 - ITALIA"/>
    <s v="D     - Dare"/>
    <n v="366991.76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4"/>
    <s v="14"/>
    <s v="Operazione per conto di importo elevato per la causale ed il soggetto"/>
    <d v="2025-05-22T00:00:00"/>
    <n v="53850"/>
    <n v="122"/>
    <s v="053850_122"/>
    <s v="Discovery Day"/>
    <s v="Mai valutato"/>
    <m/>
    <s v="202505217304233L"/>
    <n v="1223300001984"/>
    <n v="20250521"/>
    <x v="0"/>
    <m/>
    <m/>
    <s v="D     - Dare"/>
    <n v="1177.48"/>
    <n v="0"/>
    <n v="4682230"/>
    <s v="GDLSST82R07A883V"/>
    <s v="GADALETA SEBASTIANO"/>
    <s v="600 - Famiglie consumatrici"/>
    <m/>
    <s v="086 - ITALIA"/>
    <n v="156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3"/>
    <s v="14"/>
    <s v="Operazione per conto di importo elevato per la causale ed il soggetto"/>
    <d v="2025-05-22T00:00:00"/>
    <n v="53850"/>
    <n v="191"/>
    <s v="053850_191"/>
    <s v="Discovery Day"/>
    <s v="Mai valutato"/>
    <m/>
    <n v="202505218001044"/>
    <n v="1913300068760"/>
    <n v="20250521"/>
    <x v="0"/>
    <m/>
    <m/>
    <s v="D     - Dare"/>
    <n v="120110.85"/>
    <n v="0"/>
    <n v="3099802"/>
    <s v="DMNFMN36D46E882U"/>
    <s v="DIMONOPOLI FILOMENA"/>
    <s v="600 - Famiglie consumatrici"/>
    <m/>
    <s v="086 - ITALIA"/>
    <n v="95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19"/>
    <s v="14"/>
    <s v="Operazione per conto di importo elevato per la causale ed il soggetto"/>
    <d v="2025-05-22T00:00:00"/>
    <n v="53850"/>
    <n v="110"/>
    <s v="053850_110"/>
    <s v="Discovery Day"/>
    <s v="Mai valutato"/>
    <m/>
    <n v="202505218000710"/>
    <n v="1103306285611"/>
    <n v="20250521"/>
    <x v="0"/>
    <m/>
    <m/>
    <s v="D     - Dare"/>
    <n v="40771.61"/>
    <n v="0"/>
    <n v="537815"/>
    <s v="DRNBBR82A64L219H"/>
    <s v="DORONZO BARBARA"/>
    <s v="600 - Famiglie consumatrici"/>
    <m/>
    <s v="086 - ITALIA"/>
    <n v="458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217"/>
    <s v="14"/>
    <s v="Operazione per conto di importo elevato per la causale ed il soggetto"/>
    <d v="2025-05-22T00:00:00"/>
    <n v="53850"/>
    <n v="105"/>
    <s v="053850_105"/>
    <s v="Discovery Day"/>
    <s v="Mai valutato"/>
    <m/>
    <n v="202505217999489"/>
    <n v="1053306288710"/>
    <n v="20250521"/>
    <x v="1"/>
    <m/>
    <s v="086 - ITALIA"/>
    <s v="A     - Avere"/>
    <n v="306973.39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213"/>
    <s v="14"/>
    <s v="Operazione per conto di importo elevato per la causale ed il soggetto"/>
    <d v="2025-05-22T00:00:00"/>
    <n v="53850"/>
    <n v="110"/>
    <s v="053850_110"/>
    <s v="Discovery Day"/>
    <s v="Mai valutato"/>
    <m/>
    <n v="202505218000807"/>
    <n v="1103306286918"/>
    <n v="20250521"/>
    <x v="22"/>
    <m/>
    <m/>
    <s v="A     - Avere"/>
    <n v="162000"/>
    <n v="0"/>
    <n v="469616"/>
    <s v="CPNMRA55B67A669N"/>
    <s v="CAPUANO MARIA"/>
    <s v="600 - Famiglie consumatrici"/>
    <m/>
    <s v="086 - ITALIA"/>
    <n v="45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8"/>
    <s v="14"/>
    <s v="Operazione per conto di importo elevato per la causale ed il soggetto"/>
    <d v="2025-05-22T00:00:00"/>
    <n v="53850"/>
    <n v="175"/>
    <s v="053850_175"/>
    <s v="Discovery Day"/>
    <s v="Mai valutato"/>
    <m/>
    <n v="202505217999321"/>
    <n v="1753302205349"/>
    <n v="20250521"/>
    <x v="1"/>
    <m/>
    <s v="086 - ITALIA"/>
    <s v="A     - Avere"/>
    <n v="842689.95"/>
    <n v="0"/>
    <n v="3741362"/>
    <s v="LGNGNR42S07E147I"/>
    <s v="LAGONIGRO GENNARO"/>
    <s v="600 - Famiglie consumatrici"/>
    <m/>
    <s v="086 - ITALIA"/>
    <n v="12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07"/>
    <s v="14"/>
    <s v="Operazione per conto di importo elevato per la causale ed il soggetto"/>
    <d v="2025-05-21T00:00:00"/>
    <n v="53850"/>
    <n v="108"/>
    <s v="053850_108"/>
    <s v="Discovery Day"/>
    <s v="Mai valutato"/>
    <m/>
    <n v="202505217997107"/>
    <n v="1085500039514"/>
    <n v="20250521"/>
    <x v="19"/>
    <m/>
    <m/>
    <s v="A     - Avere"/>
    <n v="171477.3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6"/>
    <s v="14"/>
    <s v="Operazione per conto di importo elevato per la causale ed il soggetto"/>
    <d v="2025-05-21T00:00:00"/>
    <n v="53850"/>
    <n v="108"/>
    <s v="053850_108"/>
    <s v="Discovery Day"/>
    <s v="Mai valutato"/>
    <m/>
    <n v="202505217997107"/>
    <n v="1085500039514"/>
    <n v="20250521"/>
    <x v="19"/>
    <m/>
    <m/>
    <s v="A     - Avere"/>
    <n v="171477.3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5"/>
    <s v="14"/>
    <s v="Operazione per conto di importo elevato per la causale ed il soggetto"/>
    <d v="2025-05-21T00:00:00"/>
    <n v="53850"/>
    <n v="102"/>
    <s v="053850_102"/>
    <s v="Discovery Day"/>
    <s v="Mai valutato"/>
    <m/>
    <s v="202505207235321L"/>
    <n v="1023308727899"/>
    <n v="20250520"/>
    <x v="0"/>
    <m/>
    <m/>
    <s v="D     - Dare"/>
    <n v="1649.45"/>
    <n v="0"/>
    <n v="3734883"/>
    <s v="PLNFNC07C24A225B"/>
    <s v="PLANTAMURA FRANCESCO"/>
    <s v="600 - Famiglie consumatrici"/>
    <m/>
    <s v="086 - ITALIA"/>
    <n v="51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198"/>
    <s v="14"/>
    <s v="Operazione per conto di importo elevato per la causale ed il soggetto"/>
    <d v="2025-05-21T00:00:00"/>
    <n v="53850"/>
    <n v="121"/>
    <s v="053850_121"/>
    <s v="Discovery Day"/>
    <s v="Mai valutato"/>
    <m/>
    <n v="202505207995690"/>
    <n v="1213300002600"/>
    <n v="20250520"/>
    <x v="3"/>
    <m/>
    <s v="086 - ITALIA"/>
    <s v="D     - Dare"/>
    <n v="673080.41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s v="IN CARICO AL RESPONSABILE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87"/>
    <s v="14"/>
    <s v="Operazione per conto di importo elevato per la causale ed il soggetto"/>
    <d v="2025-05-21T00:00:00"/>
    <n v="53850"/>
    <n v="187"/>
    <s v="053850_187"/>
    <s v="Discovery Day"/>
    <s v="Mai valutato"/>
    <m/>
    <n v="202505207995725"/>
    <n v="999361870311"/>
    <n v="20250520"/>
    <x v="3"/>
    <m/>
    <s v="086 - ITALIA"/>
    <s v="D     - Dare"/>
    <n v="1405323.68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184"/>
    <s v="14"/>
    <s v="Operazione per conto di importo elevato per la causale ed il soggetto"/>
    <d v="2025-05-21T00:00:00"/>
    <n v="53850"/>
    <n v="273"/>
    <s v="053850_273"/>
    <s v="Discovery Day"/>
    <s v="Mai valutato"/>
    <m/>
    <n v="202505207996485"/>
    <n v="2733300010399"/>
    <n v="20250520"/>
    <x v="1"/>
    <m/>
    <s v="086 - ITALIA"/>
    <s v="A     - Avere"/>
    <n v="2252392.36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5"/>
    <s v="IN CARICO AL GESTORE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178"/>
    <s v="14"/>
    <s v="Operazione per conto di importo elevato per la causale ed il soggetto"/>
    <d v="2025-05-21T00:00:00"/>
    <n v="53850"/>
    <n v="198"/>
    <s v="053850_198"/>
    <s v="Discovery Day"/>
    <s v="Mai valutato"/>
    <m/>
    <n v="202505207997806"/>
    <n v="1983300002101"/>
    <n v="20250520"/>
    <x v="0"/>
    <m/>
    <m/>
    <s v="D     - Dare"/>
    <n v="12234.6"/>
    <n v="0"/>
    <n v="622877"/>
    <s v="PNTMRS43L49I158L"/>
    <s v="PINTO MARIA ROSARIA"/>
    <s v="600 - Famiglie consumatrici"/>
    <m/>
    <s v="086 - ITALIA"/>
    <n v="1718"/>
    <m/>
    <m/>
    <m/>
    <m/>
    <m/>
    <m/>
    <m/>
    <n v="0"/>
    <n v="202505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176"/>
    <s v="14"/>
    <s v="Operazione per conto di importo elevato per la causale ed il soggetto"/>
    <d v="2025-05-21T00:00:00"/>
    <n v="53850"/>
    <n v="175"/>
    <s v="053850_175"/>
    <s v="Discovery Day"/>
    <s v="Mai valutato"/>
    <m/>
    <n v="202505207996819"/>
    <n v="1753302205383"/>
    <n v="20250520"/>
    <x v="1"/>
    <m/>
    <s v="086 - ITALIA"/>
    <s v="A     - Avere"/>
    <n v="310022.93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171"/>
    <s v="14"/>
    <s v="Operazione per conto di importo elevato per la causale ed il soggetto"/>
    <d v="2025-05-21T00:00:00"/>
    <n v="53850"/>
    <n v="103"/>
    <s v="053850_103"/>
    <s v="Discovery Day"/>
    <s v="Mai valutato"/>
    <m/>
    <n v="202505197997156"/>
    <n v="1030050004920"/>
    <n v="20250519"/>
    <x v="32"/>
    <m/>
    <m/>
    <s v="D     - Dare"/>
    <n v="210004.99"/>
    <n v="0"/>
    <n v="7973"/>
    <s v="BRNGNN47H26E155S"/>
    <s v="BRUNO GIOVANNI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66"/>
    <s v="14"/>
    <s v="Operazione per conto di importo elevato per la causale ed il soggetto"/>
    <d v="2025-05-20T00:00:00"/>
    <n v="53850"/>
    <n v="173"/>
    <s v="053850_173"/>
    <s v="Discovery Day"/>
    <s v="Mai valutato"/>
    <m/>
    <n v="202505197994686"/>
    <n v="1733302704527"/>
    <n v="20250519"/>
    <x v="0"/>
    <m/>
    <m/>
    <s v="D     - Dare"/>
    <n v="5894.36"/>
    <n v="0"/>
    <n v="591632"/>
    <s v="DDNGNN66R41L425H"/>
    <s v="ADDANTE GIOVANNA"/>
    <s v="600 - Famiglie consumatrici"/>
    <m/>
    <s v="086 - ITALIA"/>
    <n v="147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62"/>
    <s v="14"/>
    <s v="Operazione per conto di importo elevato per la causale ed il soggetto"/>
    <d v="2025-05-20T00:00:00"/>
    <n v="53850"/>
    <n v="277"/>
    <s v="053850_277"/>
    <s v="Discovery Day"/>
    <s v="Mai valutato"/>
    <m/>
    <s v="202505197180093L"/>
    <n v="2773300002057"/>
    <n v="20250519"/>
    <x v="0"/>
    <m/>
    <m/>
    <s v="D     - Dare"/>
    <n v="1048.27"/>
    <n v="0"/>
    <n v="1676448"/>
    <s v="RSSPRZ61M62E435E"/>
    <s v="RUSSO PATRIZIA"/>
    <s v="600 - Famiglie consumatrici"/>
    <m/>
    <s v="086 - ITALIA"/>
    <n v="179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59"/>
    <s v="14"/>
    <s v="Operazione per conto di importo elevato per la causale ed il soggetto"/>
    <d v="2025-05-20T00:00:00"/>
    <n v="53850"/>
    <n v="182"/>
    <s v="053850_182"/>
    <s v="Discovery Day"/>
    <s v="Mai valutato"/>
    <m/>
    <n v="202505197995123"/>
    <n v="1823300172332"/>
    <n v="20250519"/>
    <x v="22"/>
    <m/>
    <m/>
    <s v="A     - Avere"/>
    <n v="260000"/>
    <n v="0"/>
    <n v="3032172"/>
    <s v="LVRNNA54C57L049R"/>
    <s v="OLIVIERI AN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53"/>
    <s v="14"/>
    <s v="Operazione per conto di importo elevato per la causale ed il soggetto"/>
    <d v="2025-05-20T00:00:00"/>
    <n v="53850"/>
    <n v="169"/>
    <s v="053850_169"/>
    <s v="Discovery Day"/>
    <s v="Mai valutato"/>
    <m/>
    <n v="202505197992531"/>
    <n v="1693302225447"/>
    <n v="20250519"/>
    <x v="1"/>
    <m/>
    <s v="086 - ITALIA"/>
    <s v="A     - Avere"/>
    <n v="298753.13"/>
    <n v="0"/>
    <n v="553393"/>
    <s v="CCEMDL41A41F284K"/>
    <s v="CECI MADDALEN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144"/>
    <s v="14"/>
    <s v="Operazione per conto di importo elevato per la causale ed il soggetto"/>
    <d v="2025-05-20T00:00:00"/>
    <n v="53850"/>
    <n v="173"/>
    <s v="053850_173"/>
    <s v="Discovery Day"/>
    <s v="Mai valutato"/>
    <m/>
    <n v="202505197994686"/>
    <n v="1733302704527"/>
    <n v="20250519"/>
    <x v="0"/>
    <m/>
    <m/>
    <s v="D     - Dare"/>
    <n v="5894.36"/>
    <n v="0"/>
    <n v="464730"/>
    <s v="LPRSMN62B17L425Q"/>
    <s v="LOPRIORE SIMONE"/>
    <s v="600 - Famiglie consumatrici"/>
    <m/>
    <s v="086 - ITALIA"/>
    <n v="147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42"/>
    <s v="14"/>
    <s v="Operazione per conto di importo elevato per la causale ed il soggetto"/>
    <d v="2025-05-20T00:00:00"/>
    <n v="53850"/>
    <n v="182"/>
    <s v="053850_182"/>
    <s v="Discovery Day"/>
    <s v="Mai valutato"/>
    <m/>
    <n v="202505197995123"/>
    <n v="1823300172332"/>
    <n v="20250519"/>
    <x v="22"/>
    <m/>
    <m/>
    <s v="A     - Avere"/>
    <n v="260000"/>
    <n v="0"/>
    <n v="4778753"/>
    <s v="ZZLLSN93R60L049I"/>
    <s v="AZZOLLINI ALESSANDR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34"/>
    <s v="14"/>
    <s v="Operazione per conto di importo elevato per la causale ed il soggetto"/>
    <d v="2025-05-20T00:00:00"/>
    <n v="53850"/>
    <n v="103"/>
    <s v="053850_103"/>
    <s v="Discovery Day"/>
    <s v="Mai valutato"/>
    <m/>
    <n v="202505197994728"/>
    <n v="1033302886547"/>
    <n v="20250519"/>
    <x v="0"/>
    <m/>
    <m/>
    <s v="D     - Dare"/>
    <n v="53494.55"/>
    <n v="0"/>
    <n v="5453"/>
    <n v="82000970721"/>
    <s v="COMUNE DI GRAVINA"/>
    <s v="173 - Amministrazioni comunali e unioni di comuni"/>
    <m/>
    <s v="086 - ITALIA"/>
    <n v="1926"/>
    <m/>
    <m/>
    <m/>
    <m/>
    <m/>
    <m/>
    <m/>
    <n v="0"/>
    <n v="202505"/>
    <s v="ARCHIVIATA"/>
    <x v="0"/>
    <n v="1"/>
    <m/>
    <m/>
    <n v="1"/>
    <n v="999"/>
    <n v="173"/>
    <n v="173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132"/>
    <s v="14"/>
    <s v="Operazione per conto di importo elevato per la causale ed il soggetto"/>
    <d v="2025-05-20T00:00:00"/>
    <n v="53850"/>
    <n v="116"/>
    <s v="053850_116"/>
    <s v="Discovery Day"/>
    <s v="Mai valutato"/>
    <m/>
    <n v="202505197994867"/>
    <n v="1163307617735"/>
    <n v="20250519"/>
    <x v="3"/>
    <m/>
    <s v="086 - ITALIA"/>
    <s v="D     - Dare"/>
    <n v="340000"/>
    <n v="0"/>
    <n v="570966"/>
    <s v="STMGPP65B24A662A"/>
    <s v="STIMOLA GIUSEPPE"/>
    <s v="600 - Famiglie consumatrici"/>
    <m/>
    <s v="086 - ITALIA"/>
    <n v="924"/>
    <m/>
    <m/>
    <m/>
    <m/>
    <m/>
    <m/>
    <m/>
    <n v="0"/>
    <n v="202505"/>
    <s v="IN CARICO AL RESPONSABILE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25"/>
    <s v="14"/>
    <s v="Operazione per conto di importo elevato per la causale ed il soggetto"/>
    <d v="2025-05-17T00:00:00"/>
    <n v="53850"/>
    <n v="102"/>
    <s v="053850_102"/>
    <s v="Discovery Day"/>
    <s v="Mai valutato"/>
    <m/>
    <n v="202505167985582"/>
    <n v="1023308728031"/>
    <n v="20250516"/>
    <x v="15"/>
    <m/>
    <m/>
    <s v="D     - Dare"/>
    <n v="1401654.56"/>
    <n v="0"/>
    <n v="3033613"/>
    <n v="5066690156"/>
    <s v="PELLEGRINI S.P.A."/>
    <s v="430 - Imprese produttive"/>
    <s v="562 - FORNITURA DI PASTI PREPARATI (CATERING) E ALTRI SERVIZI DI RISTORAZIONE"/>
    <s v="086 - ITALIA"/>
    <n v="12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24"/>
    <s v="14"/>
    <s v="Operazione per conto di importo elevato per la causale ed il soggetto"/>
    <d v="2025-05-17T00:00:00"/>
    <n v="53850"/>
    <n v="109"/>
    <s v="053850_109"/>
    <s v="Discovery Day"/>
    <s v="Mai valutato"/>
    <m/>
    <n v="202505167985905"/>
    <n v="1093306673999"/>
    <n v="20250516"/>
    <x v="15"/>
    <m/>
    <m/>
    <s v="D     - Dare"/>
    <n v="1138611.3600000001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23"/>
    <s v="14"/>
    <s v="Operazione per conto di importo elevato per la causale ed il soggetto"/>
    <d v="2025-05-17T00:00:00"/>
    <n v="53850"/>
    <n v="187"/>
    <s v="053850_187"/>
    <s v="Discovery Day"/>
    <s v="Mai valutato"/>
    <m/>
    <n v="202505167984032"/>
    <n v="999361870311"/>
    <n v="20250516"/>
    <x v="30"/>
    <m/>
    <s v="050 - PAESI BASSI"/>
    <s v="D     - Dare"/>
    <n v="1828906.67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828906.67"/>
    <n v="1979373.003"/>
    <n v="2129839.3360000001"/>
    <n v="2280305.6690000002"/>
    <n v="2430772.0019999999"/>
    <n v="2581238.335"/>
    <n v="2731704.6680000001"/>
    <n v="2882171.0010000002"/>
    <n v="3032637.3339999998"/>
    <n v="3183103.6669999999"/>
    <n v="3333570"/>
    <n v="3484036.3330000001"/>
    <n v="3634502.6660000002"/>
    <n v="3784968.9989999998"/>
    <n v="3935435.3319999999"/>
    <n v="4085901.665"/>
    <n v="4236367.9979999997"/>
    <n v="4386834.3310000002"/>
    <n v="4537300.6640000008"/>
    <n v="4687766.9970000004"/>
    <n v="4838233.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22"/>
    <s v="14"/>
    <s v="Operazione per conto di importo elevato per la causale ed il soggetto"/>
    <d v="2025-05-17T00:00:00"/>
    <n v="53850"/>
    <n v="114"/>
    <s v="053850_114"/>
    <s v="Discovery Day"/>
    <s v="Mai valutato"/>
    <m/>
    <n v="202505167986712"/>
    <n v="1143306280450"/>
    <n v="20250516"/>
    <x v="0"/>
    <m/>
    <m/>
    <s v="D     - Dare"/>
    <n v="39861.81"/>
    <n v="0"/>
    <n v="4585160"/>
    <n v="2073300713"/>
    <s v="FALLIMENTO FRATELLI BRACCIA DI BRACCIA ANTON"/>
    <s v="430 - Imprese produttive"/>
    <s v="473 - COMMERCIO AL DETTAGLIO DI CARBURANTE PER AUTOTRAZIONE IN ESERCIZI SPECIALIZZATI"/>
    <s v="086 - ITALIA"/>
    <n v="519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20"/>
    <s v="14"/>
    <s v="Operazione per conto di importo elevato per la causale ed il soggetto"/>
    <d v="2025-05-17T00:00:00"/>
    <n v="53850"/>
    <n v="173"/>
    <s v="053850_173"/>
    <s v="Discovery Day"/>
    <s v="Mai valutato"/>
    <m/>
    <n v="202505167986883"/>
    <n v="1733302705276"/>
    <n v="20250516"/>
    <x v="3"/>
    <m/>
    <s v="086 - ITALIA"/>
    <s v="D     - Dare"/>
    <n v="400000"/>
    <n v="0"/>
    <n v="4792738"/>
    <s v="VNTGNN60H13L425V"/>
    <s v="VENTRELLA GAETANO ANTONIO"/>
    <s v="600 - Famiglie consumatrici"/>
    <m/>
    <s v="086 - ITALIA"/>
    <n v="1179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16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4895193"/>
    <s v="LGRDRD69A55A662X"/>
    <s v="LEGROTTAGLIE IDA LOREDANA"/>
    <s v="600 - Famiglie consumatrici"/>
    <m/>
    <s v="086 - ITALIA"/>
    <n v="92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15"/>
    <s v="14"/>
    <s v="Operazione per conto di importo elevato per la causale ed il soggetto"/>
    <d v="2025-05-17T00:00:00"/>
    <n v="53850"/>
    <n v="170"/>
    <s v="053850_170"/>
    <s v="Discovery Day"/>
    <s v="Mai valutato"/>
    <m/>
    <n v="202505167986875"/>
    <n v="1703306289593"/>
    <n v="20250516"/>
    <x v="13"/>
    <m/>
    <s v="086 - ITALIA"/>
    <s v="A     - Avere"/>
    <n v="312000"/>
    <n v="0"/>
    <n v="4944194"/>
    <s v="FNTVCN90L09A285V"/>
    <s v="FINTO VINCENZO"/>
    <s v="600 - Famiglie consumatrici"/>
    <m/>
    <s v="086 - ITALIA"/>
    <n v="195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13"/>
    <s v="14"/>
    <s v="Operazione per conto di importo elevato per la causale ed il soggetto"/>
    <d v="2025-05-17T00:00:00"/>
    <n v="53850"/>
    <n v="182"/>
    <s v="053850_182"/>
    <s v="Discovery Day"/>
    <s v="Mai valutato"/>
    <m/>
    <n v="202505167984806"/>
    <n v="1823300072312"/>
    <n v="20250516"/>
    <x v="1"/>
    <m/>
    <s v="086 - ITALIA"/>
    <s v="A     - Avere"/>
    <n v="1215238.24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110"/>
    <s v="14"/>
    <s v="Operazione per conto di importo elevato per la causale ed il soggetto"/>
    <d v="2025-05-17T00:00:00"/>
    <n v="53850"/>
    <n v="102"/>
    <s v="053850_102"/>
    <s v="Discovery Day"/>
    <s v="Mai valutato"/>
    <m/>
    <n v="202505167984992"/>
    <n v="1023308727913"/>
    <n v="20250516"/>
    <x v="1"/>
    <m/>
    <s v="086 - ITALIA"/>
    <s v="A     - Avere"/>
    <n v="972757.19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5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07"/>
    <s v="14"/>
    <s v="Operazione per conto di importo elevato per la causale ed il soggetto"/>
    <d v="2025-05-17T00:00:00"/>
    <n v="53850"/>
    <n v="141"/>
    <s v="053850_141"/>
    <s v="Discovery Day"/>
    <s v="Mai valutato"/>
    <m/>
    <n v="202505167985904"/>
    <n v="1413300003347"/>
    <n v="20250516"/>
    <x v="15"/>
    <m/>
    <m/>
    <s v="D     - Dare"/>
    <n v="796339.63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m/>
    <n v="0"/>
    <n v="620"/>
    <n v="430"/>
    <n v="430620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106"/>
    <s v="14"/>
    <s v="Operazione per conto di importo elevato per la causale ed il soggetto"/>
    <d v="2025-05-17T00:00:00"/>
    <n v="53850"/>
    <n v="141"/>
    <s v="053850_141"/>
    <s v="Discovery Day"/>
    <s v="Mai valutato"/>
    <m/>
    <n v="202505167983788"/>
    <n v="1413300003985"/>
    <n v="20250516"/>
    <x v="3"/>
    <m/>
    <s v="086 - ITALIA"/>
    <s v="D     - Dare"/>
    <n v="170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s v="ARCHIVIATA"/>
    <x v="0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05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613337"/>
    <s v="DNGMRT31L41F915A"/>
    <s v="D'ONGHIA MARTA"/>
    <s v="600 - Famiglie consumatrici"/>
    <m/>
    <s v="086 - ITALIA"/>
    <n v="14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02"/>
    <s v="14"/>
    <s v="Operazione per conto di importo elevato per la causale ed il soggetto"/>
    <d v="2025-05-17T00:00:00"/>
    <n v="53850"/>
    <n v="105"/>
    <s v="053850_105"/>
    <s v="Discovery Day"/>
    <s v="Mai valutato"/>
    <m/>
    <n v="202505167986663"/>
    <n v="1053306288710"/>
    <n v="20250516"/>
    <x v="22"/>
    <m/>
    <m/>
    <s v="A     - Avere"/>
    <n v="3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01"/>
    <s v="14"/>
    <s v="Operazione per conto di importo elevato per la causale ed il soggetto"/>
    <d v="2025-05-17T00:00:00"/>
    <n v="53850"/>
    <n v="116"/>
    <s v="053850_116"/>
    <s v="Discovery Day"/>
    <s v="Mai valutato"/>
    <m/>
    <n v="202505167985179"/>
    <n v="2173300010307"/>
    <n v="20250516"/>
    <x v="2"/>
    <m/>
    <m/>
    <s v="D     - Dare"/>
    <n v="6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97"/>
    <s v="14"/>
    <s v="Operazione per conto di importo elevato per la causale ed il soggetto"/>
    <d v="2025-05-17T00:00:00"/>
    <n v="53850"/>
    <n v="196"/>
    <s v="053850_196"/>
    <s v="Discovery Day"/>
    <s v="Mai valutato"/>
    <m/>
    <n v="202505167986970"/>
    <n v="1963302355156"/>
    <n v="20250516"/>
    <x v="0"/>
    <m/>
    <m/>
    <s v="D     - Dare"/>
    <n v="37875.4"/>
    <n v="0"/>
    <n v="4444344"/>
    <s v="DBNMHL60A03C514M"/>
    <s v="DIBENEDETTO MICHELE"/>
    <s v="615 - Altre famiglie produttrici"/>
    <s v="012 - COLTIVAZIONE DI COLTURE PERMANENTI"/>
    <s v="086 - ITALIA"/>
    <n v="1945"/>
    <m/>
    <m/>
    <m/>
    <m/>
    <m/>
    <m/>
    <m/>
    <n v="0"/>
    <n v="202505"/>
    <s v="IN VALUTAZIONE RPR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095"/>
    <s v="14"/>
    <s v="Operazione per conto di importo elevato per la causale ed il soggetto"/>
    <d v="2025-05-17T00:00:00"/>
    <n v="53850"/>
    <n v="141"/>
    <s v="053850_141"/>
    <s v="Discovery Day"/>
    <s v="Mai valutato"/>
    <m/>
    <n v="202505167984955"/>
    <n v="1413300003749"/>
    <n v="20250516"/>
    <x v="1"/>
    <m/>
    <s v="086 - ITALIA"/>
    <s v="A     - Avere"/>
    <n v="986023.06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92"/>
    <s v="14"/>
    <s v="Operazione per conto di importo elevato per la causale ed il soggetto"/>
    <d v="2025-05-17T00:00:00"/>
    <n v="53850"/>
    <n v="187"/>
    <s v="053850_187"/>
    <s v="Discovery Day"/>
    <s v="Mai valutato"/>
    <m/>
    <n v="202505167984002"/>
    <n v="999361870311"/>
    <n v="20250516"/>
    <x v="30"/>
    <m/>
    <s v="050 - PAESI BASSI"/>
    <s v="D     - Dare"/>
    <n v="4838233.3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828906.67"/>
    <n v="1979373.003"/>
    <n v="2129839.3360000001"/>
    <n v="2280305.6690000002"/>
    <n v="2430772.0019999999"/>
    <n v="2581238.335"/>
    <n v="2731704.6680000001"/>
    <n v="2882171.0010000002"/>
    <n v="3032637.3339999998"/>
    <n v="3183103.6669999999"/>
    <n v="3333570"/>
    <n v="3484036.3330000001"/>
    <n v="3634502.6660000002"/>
    <n v="3784968.9989999998"/>
    <n v="3935435.3319999999"/>
    <n v="4085901.665"/>
    <n v="4236367.9979999997"/>
    <n v="4386834.3310000002"/>
    <n v="4537300.6640000008"/>
    <n v="4687766.9970000004"/>
    <n v="4838233.3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87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563942"/>
    <s v="LGRRLL70A55A662I"/>
    <s v="LEGROTTAGLIE ORNELLA ANNA"/>
    <s v="600 - Famiglie consumatrici"/>
    <m/>
    <s v="086 - ITALIA"/>
    <n v="92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86"/>
    <s v="14"/>
    <s v="Operazione per conto di importo elevato per la causale ed il soggetto"/>
    <d v="2025-05-17T00:00:00"/>
    <n v="53850"/>
    <n v="195"/>
    <s v="053850_195"/>
    <s v="Discovery Day"/>
    <s v="Mai valutato"/>
    <m/>
    <n v="202505167986467"/>
    <n v="1943300004576"/>
    <n v="20250516"/>
    <x v="6"/>
    <m/>
    <m/>
    <s v="D     - Dare"/>
    <n v="90000"/>
    <n v="0"/>
    <n v="3043207"/>
    <s v="SNRFNC60T13E986P"/>
    <s v="SANARICA FRANCESCO"/>
    <s v="615 - Altre famiglie produttrici"/>
    <s v="477 - COMMERCIO AL DETTAGLIO DI ALTRI PRODOTTI IN ESERCIZI SPECIALIZZATI"/>
    <s v="086 - ITALIA"/>
    <n v="938"/>
    <m/>
    <m/>
    <m/>
    <m/>
    <m/>
    <m/>
    <m/>
    <n v="0"/>
    <n v="202505"/>
    <s v="IN VALUTAZIONE RPR"/>
    <x v="1"/>
    <n v="1"/>
    <m/>
    <m/>
    <n v="0"/>
    <n v="477"/>
    <n v="615"/>
    <n v="615477"/>
    <s v="Classe di rischio 6"/>
    <m/>
    <x v="6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82"/>
    <s v="14"/>
    <s v="Operazione per conto di importo elevato per la causale ed il soggetto"/>
    <d v="2025-05-16T00:00:00"/>
    <n v="53850"/>
    <n v="103"/>
    <s v="053850_103"/>
    <s v="Discovery Day"/>
    <s v="Mai valutato"/>
    <m/>
    <n v="202505167982350"/>
    <n v="1030050005143"/>
    <n v="20250516"/>
    <x v="26"/>
    <m/>
    <m/>
    <s v="D     - Dare"/>
    <n v="200000"/>
    <n v="0"/>
    <n v="156633"/>
    <s v="GGLNNA54A57E155Q"/>
    <s v="GIGLIO ANNA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81"/>
    <s v="14"/>
    <s v="Operazione per conto di importo elevato per la causale ed il soggetto"/>
    <d v="2025-05-16T00:00:00"/>
    <n v="53850"/>
    <n v="103"/>
    <s v="053850_103"/>
    <s v="Discovery Day"/>
    <s v="Mai valutato"/>
    <m/>
    <n v="202505167982350"/>
    <n v="1030050005143"/>
    <n v="20250516"/>
    <x v="26"/>
    <m/>
    <m/>
    <s v="D     - Dare"/>
    <n v="200000"/>
    <n v="0"/>
    <n v="18223"/>
    <s v="TRNNGL49A24E155M"/>
    <s v="TRANQUILLINO MINERVA ANGELO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77"/>
    <s v="14"/>
    <s v="Operazione per conto di importo elevato per la causale ed il soggetto"/>
    <d v="2025-05-16T00:00:00"/>
    <n v="53850"/>
    <n v="103"/>
    <s v="053850_103"/>
    <s v="Discovery Day"/>
    <s v="Mai valutato"/>
    <m/>
    <n v="202505157983001"/>
    <n v="1033306974276"/>
    <n v="20250515"/>
    <x v="9"/>
    <m/>
    <m/>
    <s v="D     - Dare"/>
    <n v="225000"/>
    <n v="0"/>
    <n v="4098513"/>
    <s v="SPRNTN68A30E155V"/>
    <s v="SPORTELLA ANTONI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74"/>
    <s v="14"/>
    <s v="Operazione per conto di importo elevato per la causale ed il soggetto"/>
    <d v="2025-05-16T00:00:00"/>
    <n v="53850"/>
    <n v="102"/>
    <s v="053850_102"/>
    <s v="Discovery Day"/>
    <s v="Mai valutato"/>
    <m/>
    <n v="202505157981565"/>
    <n v="1023308719190"/>
    <n v="20250515"/>
    <x v="1"/>
    <m/>
    <s v="086 - ITALIA"/>
    <s v="A     - Avere"/>
    <n v="1575466.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5"/>
    <s v="IN VALUTAZIONE RPR"/>
    <x v="1"/>
    <n v="1"/>
    <m/>
    <m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072"/>
    <s v="14"/>
    <s v="Operazione per conto di importo elevato per la causale ed il soggetto"/>
    <d v="2025-05-16T00:00:00"/>
    <n v="53850"/>
    <n v="141"/>
    <s v="053850_141"/>
    <s v="Discovery Day"/>
    <s v="Mai valutato"/>
    <m/>
    <n v="202505157981971"/>
    <n v="1413300003985"/>
    <n v="20250515"/>
    <x v="1"/>
    <m/>
    <s v="086 - ITALIA"/>
    <s v="A     - Avere"/>
    <n v="2814221.66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s v="ARCHIVIATA"/>
    <x v="0"/>
    <n v="1"/>
    <m/>
    <m/>
    <n v="0"/>
    <n v="931"/>
    <n v="430"/>
    <n v="43093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070"/>
    <s v="14"/>
    <s v="Operazione per conto di importo elevato per la causale ed il soggetto"/>
    <d v="2025-05-16T00:00:00"/>
    <n v="53850"/>
    <n v="164"/>
    <s v="053850_164"/>
    <s v="Discovery Day"/>
    <s v="Mai valutato"/>
    <m/>
    <n v="202505157983238"/>
    <n v="1643300015060"/>
    <n v="20250515"/>
    <x v="0"/>
    <m/>
    <m/>
    <s v="D     - Dare"/>
    <n v="12394.44"/>
    <n v="0"/>
    <n v="810601"/>
    <s v="QLNMHL44A22A339Z"/>
    <s v="AQUILANO MICHELE"/>
    <s v="600 - Famiglie consumatrici"/>
    <m/>
    <s v="086 - ITALIA"/>
    <n v="787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68"/>
    <s v="14"/>
    <s v="Operazione per conto di importo elevato per la causale ed il soggetto"/>
    <d v="2025-05-16T00:00:00"/>
    <n v="53850"/>
    <n v="173"/>
    <s v="053850_173"/>
    <s v="Discovery Day"/>
    <s v="Mai valutato"/>
    <m/>
    <n v="202505157981675"/>
    <n v="1733302705276"/>
    <n v="20250515"/>
    <x v="1"/>
    <m/>
    <s v="086 - ITALIA"/>
    <s v="A     - Avere"/>
    <n v="400000"/>
    <n v="0"/>
    <n v="4792738"/>
    <s v="VNTGNN60H13L425V"/>
    <s v="VENTRELLA GAETANO ANTONIO"/>
    <s v="600 - Famiglie consumatrici"/>
    <m/>
    <s v="086 - ITALIA"/>
    <n v="1179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067"/>
    <s v="14"/>
    <s v="Operazione per conto di importo elevato per la causale ed il soggetto"/>
    <d v="2025-05-16T00:00:00"/>
    <n v="53850"/>
    <n v="102"/>
    <s v="053850_102"/>
    <s v="Discovery Day"/>
    <s v="Mai valutato"/>
    <m/>
    <n v="202505157982423"/>
    <n v="1023308719190"/>
    <n v="20250515"/>
    <x v="15"/>
    <m/>
    <m/>
    <s v="D     - Dare"/>
    <n v="1602602.61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5"/>
    <s v="IN VALUTAZIONE RPR"/>
    <x v="1"/>
    <n v="1"/>
    <m/>
    <m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64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608841"/>
    <s v="DMRFNC75H48A225G"/>
    <s v="DEMARZIO FRANCESC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61"/>
    <s v="14"/>
    <s v="Operazione per conto di importo elevato per la causale ed il soggetto"/>
    <d v="2025-05-16T00:00:00"/>
    <n v="53850"/>
    <n v="265"/>
    <s v="053850_265"/>
    <s v="Discovery Day"/>
    <s v="Mai valutato"/>
    <m/>
    <s v="202505157060372L"/>
    <n v="2653300000419"/>
    <n v="20250515"/>
    <x v="0"/>
    <m/>
    <m/>
    <s v="D     - Dare"/>
    <n v="1652"/>
    <n v="0"/>
    <n v="1636814"/>
    <s v="FLRMMT35T68L220V"/>
    <s v="FLORIO MARIA MATTEA"/>
    <s v="600 - Famiglie consumatrici"/>
    <m/>
    <s v="086 - ITALIA"/>
    <n v="189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058"/>
    <s v="14"/>
    <s v="Operazione per conto di importo elevato per la causale ed il soggetto"/>
    <d v="2025-05-16T00:00:00"/>
    <n v="53850"/>
    <n v="182"/>
    <s v="053850_182"/>
    <s v="Discovery Day"/>
    <s v="Mai valutato"/>
    <m/>
    <n v="202505157983327"/>
    <n v="1823300172492"/>
    <n v="20250515"/>
    <x v="22"/>
    <m/>
    <m/>
    <s v="A     - Avere"/>
    <n v="233000"/>
    <n v="0"/>
    <n v="3014130"/>
    <s v="TROMHL60T47L049N"/>
    <s v="TORIO MICHELINA"/>
    <s v="600 - Famiglie consumatrici"/>
    <m/>
    <s v="086 - ITALIA"/>
    <n v="61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57"/>
    <s v="14"/>
    <s v="Operazione per conto di importo elevato per la causale ed il soggetto"/>
    <d v="2025-05-16T00:00:00"/>
    <n v="53850"/>
    <n v="196"/>
    <s v="053850_196"/>
    <s v="Discovery Day"/>
    <s v="Mai valutato"/>
    <m/>
    <n v="202505157983369"/>
    <n v="1963302355120"/>
    <n v="20250515"/>
    <x v="1"/>
    <m/>
    <s v="086 - ITALIA"/>
    <s v="A     - Avere"/>
    <n v="890523.24"/>
    <n v="0"/>
    <n v="3722752"/>
    <n v="1998440711"/>
    <s v="SIMEONE S.P.A."/>
    <s v="430 - Imprese produttive"/>
    <s v="429 - COSTRUZIONE DI ALTRE OPERE DI INGEGNERIA CIVILE"/>
    <s v="086 - ITALIA"/>
    <n v="870"/>
    <m/>
    <m/>
    <m/>
    <m/>
    <m/>
    <m/>
    <m/>
    <n v="0"/>
    <n v="202505"/>
    <s v="IN VALUTAZIONE RPR"/>
    <x v="1"/>
    <n v="1"/>
    <m/>
    <m/>
    <n v="0"/>
    <n v="429"/>
    <n v="430"/>
    <n v="430429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055"/>
    <s v="14"/>
    <s v="Operazione per conto di importo elevato per la causale ed il soggetto"/>
    <d v="2025-05-16T00:00:00"/>
    <n v="53850"/>
    <n v="187"/>
    <s v="053850_187"/>
    <s v="Discovery Day"/>
    <s v="Mai valutato"/>
    <m/>
    <n v="202505157980945"/>
    <n v="999361870311"/>
    <n v="20250515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54"/>
    <s v="14"/>
    <s v="Operazione per conto di importo elevato per la causale ed il soggetto"/>
    <d v="2025-05-16T00:00:00"/>
    <n v="53850"/>
    <n v="118"/>
    <s v="053850_118"/>
    <s v="Discovery Day"/>
    <s v="Mai valutato"/>
    <m/>
    <n v="202505157983116"/>
    <n v="1183306278983"/>
    <n v="20250515"/>
    <x v="0"/>
    <m/>
    <m/>
    <s v="D     - Dare"/>
    <n v="7987.97"/>
    <n v="0"/>
    <n v="56722"/>
    <s v="GRVVTI30D25A225E"/>
    <s v="GERVASIO VIT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53"/>
    <s v="14"/>
    <s v="Operazione per conto di importo elevato per la causale ed il soggetto"/>
    <d v="2025-05-16T00:00:00"/>
    <n v="53850"/>
    <n v="116"/>
    <s v="053850_116"/>
    <s v="Discovery Day"/>
    <s v="Mai valutato"/>
    <m/>
    <n v="202505157981153"/>
    <n v="2173300010307"/>
    <n v="20250515"/>
    <x v="1"/>
    <m/>
    <s v="086 - ITALIA"/>
    <s v="A     - Avere"/>
    <n v="2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052"/>
    <s v="14"/>
    <s v="Operazione per conto di importo elevato per la causale ed il soggetto"/>
    <d v="2025-05-16T00:00:00"/>
    <n v="53850"/>
    <n v="118"/>
    <s v="053850_118"/>
    <s v="Discovery Day"/>
    <s v="Mai valutato"/>
    <m/>
    <n v="202505157983116"/>
    <n v="1183306278983"/>
    <n v="20250515"/>
    <x v="0"/>
    <m/>
    <m/>
    <s v="D     - Dare"/>
    <n v="7987.97"/>
    <n v="0"/>
    <n v="56732"/>
    <s v="CLNNGL32M42A225B"/>
    <s v="COLONNA ANGELA"/>
    <s v="600 - Famiglie consumatrici"/>
    <m/>
    <s v="086 - ITALIA"/>
    <n v="63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51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96293"/>
    <s v="DPLRNI40R62E155R"/>
    <s v="DIPALO IRENE"/>
    <s v="600 - Famiglie consumatrici"/>
    <m/>
    <s v="086 - ITALIA"/>
    <n v="95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44"/>
    <s v="14"/>
    <s v="Operazione per conto di importo elevato per la causale ed il soggetto"/>
    <d v="2025-05-16T00:00:00"/>
    <n v="53850"/>
    <n v="125"/>
    <s v="053850_125"/>
    <s v="Discovery Day"/>
    <s v="Mai valutato"/>
    <m/>
    <n v="202505157980462"/>
    <n v="1253300010106"/>
    <n v="20250515"/>
    <x v="30"/>
    <m/>
    <s v="031 - REGNO UNITO"/>
    <s v="D     - Dare"/>
    <n v="309000"/>
    <n v="0"/>
    <n v="4315652"/>
    <s v="MNLPQL72H12F839B"/>
    <s v="MENALE PASQUALANTONIO"/>
    <s v="600 - Famiglie consumatrici"/>
    <m/>
    <s v="086 - ITALIA"/>
    <n v="134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42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540058"/>
    <s v="DMRRLB69A45A225H"/>
    <s v="DEMARZIO ROSALB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41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608838"/>
    <s v="DMRGPP73H47A225Z"/>
    <s v="DEMARZIO GIUSEPPIN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38"/>
    <s v="14"/>
    <s v="Operazione per conto di importo elevato per la causale ed il soggetto"/>
    <d v="2025-05-16T00:00:00"/>
    <n v="53850"/>
    <n v="182"/>
    <s v="053850_182"/>
    <s v="Discovery Day"/>
    <s v="Mai valutato"/>
    <m/>
    <n v="202505157983327"/>
    <n v="1823300172492"/>
    <n v="20250515"/>
    <x v="22"/>
    <m/>
    <m/>
    <s v="A     - Avere"/>
    <n v="233000"/>
    <n v="0"/>
    <n v="3113202"/>
    <s v="TROMLD67P43L049E"/>
    <s v="TORIO MATILDE"/>
    <s v="600 - Famiglie consumatrici"/>
    <m/>
    <s v="086 - ITALIA"/>
    <n v="61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7"/>
    <s v="14"/>
    <s v="Operazione per conto di importo elevato per la causale ed il soggetto"/>
    <d v="2025-05-16T00:00:00"/>
    <n v="53850"/>
    <n v="116"/>
    <s v="053850_116"/>
    <s v="Discovery Day"/>
    <s v="Mai valutato"/>
    <m/>
    <n v="202505157981810"/>
    <n v="1163307617735"/>
    <n v="20250515"/>
    <x v="1"/>
    <m/>
    <s v="086 - ITALIA"/>
    <s v="A     - Avere"/>
    <n v="264367"/>
    <n v="0"/>
    <n v="570966"/>
    <s v="STMGPP65B24A662A"/>
    <s v="STIMOLA GIUSEPPE"/>
    <s v="600 - Famiglie consumatrici"/>
    <m/>
    <s v="086 - ITALIA"/>
    <n v="924"/>
    <m/>
    <m/>
    <m/>
    <m/>
    <m/>
    <m/>
    <m/>
    <n v="0"/>
    <n v="202505"/>
    <s v="IN CARICO AL RESPONSABILE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036"/>
    <s v="14"/>
    <s v="Operazione per conto di importo elevato per la causale ed il soggetto"/>
    <d v="2025-05-15T00:00:00"/>
    <n v="53850"/>
    <n v="268"/>
    <s v="053850_268"/>
    <s v="Discovery Day"/>
    <s v="Mai valutato"/>
    <m/>
    <n v="202505157979361"/>
    <n v="2683300002752"/>
    <n v="20250515"/>
    <x v="31"/>
    <m/>
    <m/>
    <s v="A     - Avere"/>
    <n v="623419.42000000004"/>
    <n v="0"/>
    <n v="1611487"/>
    <s v="LVRFTN39R28E479V"/>
    <s v="ALVARO FORTUNATO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5"/>
    <s v="14"/>
    <s v="Operazione per conto di importo elevato per la causale ed il soggetto"/>
    <d v="2025-05-15T00:00:00"/>
    <n v="53850"/>
    <n v="268"/>
    <s v="053850_268"/>
    <s v="Discovery Day"/>
    <s v="Mai valutato"/>
    <m/>
    <n v="202505157979361"/>
    <n v="2683300002752"/>
    <n v="20250515"/>
    <x v="31"/>
    <m/>
    <m/>
    <s v="A     - Avere"/>
    <n v="623419.42000000004"/>
    <n v="0"/>
    <n v="1625093"/>
    <s v="PSTPMP40P59D005I"/>
    <s v="PISTOIA POMPEA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0"/>
    <s v="14"/>
    <s v="Operazione per conto di importo elevato per la causale ed il soggetto"/>
    <d v="2025-05-15T00:00:00"/>
    <n v="53850"/>
    <n v="105"/>
    <s v="053850_105"/>
    <s v="Discovery Day"/>
    <s v="Mai valutato"/>
    <m/>
    <n v="202505147979957"/>
    <n v="1053300336450"/>
    <n v="20250514"/>
    <x v="22"/>
    <m/>
    <m/>
    <s v="A     - Avere"/>
    <n v="200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25"/>
    <s v="14"/>
    <s v="Operazione per conto di importo elevato per la causale ed il soggetto"/>
    <d v="2025-05-15T00:00:00"/>
    <n v="53850"/>
    <n v="102"/>
    <s v="053850_102"/>
    <s v="Discovery Day"/>
    <s v="Mai valutato"/>
    <m/>
    <n v="202505147979467"/>
    <n v="1023300113820"/>
    <n v="20250514"/>
    <x v="11"/>
    <m/>
    <m/>
    <s v="D     - Dare"/>
    <n v="1026452.35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23"/>
    <s v="14"/>
    <s v="Operazione per conto di importo elevato per la causale ed il soggetto"/>
    <d v="2025-05-15T00:00:00"/>
    <n v="53850"/>
    <n v="125"/>
    <s v="053850_125"/>
    <s v="Discovery Day"/>
    <s v="Mai valutato"/>
    <m/>
    <n v="202505147977797"/>
    <n v="1253300010383"/>
    <n v="20250514"/>
    <x v="3"/>
    <m/>
    <s v="086 - ITALIA"/>
    <s v="D     - Dare"/>
    <n v="1750000"/>
    <n v="0"/>
    <n v="4693650"/>
    <n v="7055451210"/>
    <s v="IMI SUD LAMINATI S.R.L."/>
    <s v="430 - Imprese produttive"/>
    <s v="241 - SIDERURGIA"/>
    <s v="086 - ITALIA"/>
    <n v="982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18"/>
    <s v="14"/>
    <s v="Operazione per conto di importo elevato per la causale ed il soggetto"/>
    <d v="2025-05-15T00:00:00"/>
    <n v="53850"/>
    <n v="161"/>
    <s v="053850_161"/>
    <s v="Discovery Day"/>
    <s v="Mai valutato"/>
    <m/>
    <n v="202505147978905"/>
    <n v="1613300029174"/>
    <n v="20250514"/>
    <x v="1"/>
    <m/>
    <s v="086 - ITALIA"/>
    <s v="A     - Avere"/>
    <n v="325570.92"/>
    <n v="0"/>
    <n v="4017792"/>
    <s v="FZAGPP63P67A892K"/>
    <s v="FAZIO GIUSEPPINA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16"/>
    <s v="14"/>
    <s v="Operazione per conto di importo elevato per la causale ed il soggetto"/>
    <d v="2025-05-15T00:00:00"/>
    <n v="53850"/>
    <n v="170"/>
    <s v="053850_170"/>
    <s v="Discovery Day"/>
    <s v="Mai valutato"/>
    <m/>
    <n v="202505147977415"/>
    <n v="1703306290830"/>
    <n v="20250514"/>
    <x v="8"/>
    <m/>
    <m/>
    <s v="D     - Dare"/>
    <n v="729828.68"/>
    <n v="0"/>
    <n v="4934769"/>
    <n v="2791590728"/>
    <s v="LA PULITA &amp; SERVICE S.C.R.L. COOPERATIVA DI"/>
    <s v="430 - Imprese produttive"/>
    <s v="812 - ATTIVITÀ DI PULIZIA E DISINFESTAZIONE"/>
    <s v="086 - ITALIA"/>
    <n v="1919"/>
    <m/>
    <m/>
    <m/>
    <m/>
    <m/>
    <m/>
    <m/>
    <n v="0"/>
    <n v="202505"/>
    <s v="IN VALUTAZIONE RPR"/>
    <x v="1"/>
    <n v="1"/>
    <m/>
    <m/>
    <n v="0"/>
    <n v="812"/>
    <n v="430"/>
    <n v="4308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12"/>
    <s v="14"/>
    <s v="Operazione per conto di importo elevato per la causale ed il soggetto"/>
    <d v="2025-05-15T00:00:00"/>
    <n v="53850"/>
    <n v="170"/>
    <s v="053850_170"/>
    <s v="Discovery Day"/>
    <s v="Mai valutato"/>
    <m/>
    <s v="202505147041628L"/>
    <n v="1703306287314"/>
    <n v="20250514"/>
    <x v="0"/>
    <m/>
    <m/>
    <s v="A     - Avere"/>
    <n v="1000"/>
    <n v="0"/>
    <n v="4221749"/>
    <n v="5485630726"/>
    <s v="ANTONIO FIORE ALIMENTARE S.R.L."/>
    <s v="430 - Imprese produttive"/>
    <s v="107 - PRODUZIONE DI PRODOTTI DA FORNO E FARINACEI"/>
    <s v="086 - ITALIA"/>
    <n v="1920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08"/>
    <s v="14"/>
    <s v="Operazione per conto di importo elevato per la causale ed il soggetto"/>
    <d v="2025-05-15T00:00:00"/>
    <n v="53850"/>
    <n v="102"/>
    <s v="053850_102"/>
    <s v="Discovery Day"/>
    <s v="Mai valutato"/>
    <m/>
    <n v="202505147979882"/>
    <n v="1023308717407"/>
    <n v="20250514"/>
    <x v="0"/>
    <m/>
    <m/>
    <s v="D     - Dare"/>
    <n v="14235.26"/>
    <n v="0"/>
    <n v="49012"/>
    <s v="LRRNGL37M71A225X"/>
    <s v="LAURIERO ANGELA"/>
    <s v="600 - Famiglie consumatrici"/>
    <m/>
    <s v="086 - ITALIA"/>
    <n v="58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004"/>
    <s v="14"/>
    <s v="Operazione per conto di importo elevato per la causale ed il soggetto"/>
    <d v="2025-05-15T00:00:00"/>
    <n v="53850"/>
    <n v="286"/>
    <s v="053850_286"/>
    <s v="Discovery Day"/>
    <s v="Mai valutato"/>
    <m/>
    <s v="202505147040459L"/>
    <n v="2863300002062"/>
    <n v="20250514"/>
    <x v="0"/>
    <m/>
    <m/>
    <s v="D     - Dare"/>
    <n v="1841.29"/>
    <n v="0"/>
    <n v="1656116"/>
    <s v="DPRFNC43T11H562L"/>
    <s v="DI PROFIO FRANCO"/>
    <s v="600 - Famiglie consumatrici"/>
    <m/>
    <s v="086 - ITALIA"/>
    <n v="1764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03"/>
    <s v="14"/>
    <s v="Operazione per conto di importo elevato per la causale ed il soggetto"/>
    <d v="2025-05-15T00:00:00"/>
    <n v="53850"/>
    <n v="103"/>
    <s v="053850_103"/>
    <s v="Discovery Day"/>
    <s v="Mai valutato"/>
    <m/>
    <n v="202505147979921"/>
    <n v="1033306985959"/>
    <n v="20250514"/>
    <x v="9"/>
    <m/>
    <m/>
    <s v="D     - Dare"/>
    <n v="270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002"/>
    <s v="14"/>
    <s v="Operazione per conto di importo elevato per la causale ed il soggetto"/>
    <d v="2025-05-15T00:00:00"/>
    <n v="53850"/>
    <n v="116"/>
    <s v="053850_116"/>
    <s v="Discovery Day"/>
    <s v="Mai valutato"/>
    <m/>
    <n v="202505147978940"/>
    <n v="2173300010307"/>
    <n v="20250514"/>
    <x v="1"/>
    <m/>
    <s v="086 - ITALIA"/>
    <s v="A     - Avere"/>
    <n v="3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00"/>
    <s v="14"/>
    <s v="Operazione per conto di importo elevato per la causale ed il soggetto"/>
    <d v="2025-05-15T00:00:00"/>
    <n v="53850"/>
    <n v="161"/>
    <s v="053850_161"/>
    <s v="Discovery Day"/>
    <s v="Mai valutato"/>
    <m/>
    <n v="202505147978905"/>
    <n v="1613300029174"/>
    <n v="20250514"/>
    <x v="1"/>
    <m/>
    <s v="086 - ITALIA"/>
    <s v="A     - Avere"/>
    <n v="325570.92"/>
    <n v="0"/>
    <n v="4017790"/>
    <s v="GRMNCL63T05G291O"/>
    <s v="GERMANO NICOLA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7992"/>
    <s v="14"/>
    <s v="Operazione per conto di importo elevato per la causale ed il soggetto"/>
    <d v="2025-05-15T00:00:00"/>
    <n v="53850"/>
    <n v="109"/>
    <s v="053850_109"/>
    <s v="Discovery Day"/>
    <s v="Mai valutato"/>
    <m/>
    <n v="202505147979977"/>
    <n v="1723306283969"/>
    <n v="20250514"/>
    <x v="0"/>
    <m/>
    <m/>
    <s v="D     - Dare"/>
    <n v="42874.68"/>
    <n v="0"/>
    <n v="4972749"/>
    <s v="NTTMHL37M07A662M"/>
    <s v="NITTI MICHELE"/>
    <s v="600 - Famiglie consumatrici"/>
    <m/>
    <s v="086 - ITALIA"/>
    <n v="49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7991"/>
    <s v="14"/>
    <s v="Operazione per conto di importo elevato per la causale ed il soggetto"/>
    <d v="2025-05-14T00:00:00"/>
    <n v="53850"/>
    <n v="174"/>
    <s v="053850_174"/>
    <s v="Discovery Day"/>
    <s v="Mai valutato"/>
    <m/>
    <n v="202505147975908"/>
    <n v="1743302879825"/>
    <n v="20250514"/>
    <x v="31"/>
    <m/>
    <m/>
    <s v="A     - Avere"/>
    <n v="156758.56"/>
    <n v="0"/>
    <n v="4916814"/>
    <s v="LSTNTN47E16H643U"/>
    <s v="LOSITO ANTONIO"/>
    <s v="615 - Altre famiglie produttrici"/>
    <s v="477 - COMMERCIO AL DETTAGLIO DI ALTRI PRODOTTI IN ESERCIZI SPECIALIZZATI"/>
    <s v="086 - ITALIA"/>
    <n v="720"/>
    <m/>
    <m/>
    <m/>
    <m/>
    <m/>
    <m/>
    <m/>
    <n v="0"/>
    <n v="202505"/>
    <s v="IN VALUTAZIONE RPR"/>
    <x v="1"/>
    <n v="1"/>
    <m/>
    <m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90"/>
    <s v="14"/>
    <s v="Operazione per conto di importo elevato per la causale ed il soggetto"/>
    <d v="2025-05-14T00:00:00"/>
    <n v="53850"/>
    <n v="102"/>
    <s v="053850_102"/>
    <s v="Discovery Day"/>
    <s v="Mai valutato"/>
    <m/>
    <n v="202505147975743"/>
    <n v="1023302251821"/>
    <n v="20250514"/>
    <x v="7"/>
    <m/>
    <m/>
    <s v="D     - Dare"/>
    <n v="196891"/>
    <n v="0"/>
    <n v="522069"/>
    <s v="CHRGNN79D17A225A"/>
    <s v="CHIRONNA GIOVANNI"/>
    <s v="614 - Artigiani"/>
    <s v="383 - RECUPERO DEI MATERIALI"/>
    <s v="086 - ITALIA"/>
    <n v="1306"/>
    <m/>
    <m/>
    <m/>
    <m/>
    <m/>
    <m/>
    <m/>
    <n v="0"/>
    <n v="202505"/>
    <s v="ARCHIVIATA"/>
    <x v="0"/>
    <n v="1"/>
    <m/>
    <m/>
    <n v="0"/>
    <n v="383"/>
    <n v="614"/>
    <n v="614383"/>
    <s v="Classe di rischio 6"/>
    <m/>
    <x v="6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84"/>
    <s v="14"/>
    <s v="Operazione per conto di importo elevato per la causale ed il soggetto"/>
    <d v="2025-05-14T00:00:00"/>
    <n v="53850"/>
    <n v="175"/>
    <s v="053850_175"/>
    <s v="Discovery Day"/>
    <s v="Mai valutato"/>
    <m/>
    <n v="202505137973833"/>
    <n v="1753305636160"/>
    <n v="20250513"/>
    <x v="3"/>
    <m/>
    <s v="086 - ITALIA"/>
    <s v="D     - Dare"/>
    <n v="200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83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7L"/>
    <n v="2683300002309"/>
    <n v="20250513"/>
    <x v="0"/>
    <m/>
    <m/>
    <s v="D     - Dare"/>
    <n v="1518.13"/>
    <n v="0"/>
    <n v="1635245"/>
    <s v="TTNTRS22S56F888G"/>
    <s v="ATTANASIO TERESA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2"/>
    <s v="14"/>
    <s v="Operazione per conto di importo elevato per la causale ed il soggetto"/>
    <d v="2025-05-14T00:00:00"/>
    <n v="53850"/>
    <n v="279"/>
    <s v="053850_279"/>
    <s v="Discovery Day"/>
    <s v="Mai valutato"/>
    <m/>
    <s v="202505136969919L"/>
    <n v="2793300001229"/>
    <n v="20250513"/>
    <x v="0"/>
    <m/>
    <m/>
    <s v="D     - Dare"/>
    <n v="1045.46"/>
    <n v="0"/>
    <n v="1681220"/>
    <s v="CRZFNC12D14G290I"/>
    <s v="CORAZZARI FRANCESCO"/>
    <s v="600 - Famiglie consumatrici"/>
    <m/>
    <s v="086 - ITALIA"/>
    <n v="1847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1"/>
    <s v="14"/>
    <s v="Operazione per conto di importo elevato per la causale ed il soggetto"/>
    <d v="2025-05-14T00:00:00"/>
    <n v="53850"/>
    <n v="286"/>
    <s v="053850_286"/>
    <s v="Discovery Day"/>
    <s v="Mai valutato"/>
    <m/>
    <n v="202505137974985"/>
    <n v="2863300013638"/>
    <n v="20250513"/>
    <x v="1"/>
    <m/>
    <s v="086 - ITALIA"/>
    <s v="A     - Avere"/>
    <n v="1371568.24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5"/>
    <s v="ARCHIVIATA"/>
    <x v="0"/>
    <n v="1"/>
    <m/>
    <m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0"/>
    <s v="14"/>
    <s v="Operazione per conto di importo elevato per la causale ed il soggetto"/>
    <d v="2025-05-14T00:00:00"/>
    <n v="53850"/>
    <n v="125"/>
    <s v="053850_125"/>
    <s v="Discovery Day"/>
    <s v="Mai valutato"/>
    <m/>
    <n v="202505137975561"/>
    <n v="1253300010106"/>
    <n v="20250513"/>
    <x v="13"/>
    <m/>
    <s v="086 - ITALIA"/>
    <s v="A     - Avere"/>
    <n v="400000"/>
    <n v="0"/>
    <n v="4315652"/>
    <s v="MNLPQL72H12F839B"/>
    <s v="MENALE PASQUALANTONIO"/>
    <s v="600 - Famiglie consumatrici"/>
    <m/>
    <s v="086 - ITALIA"/>
    <n v="134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77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9L"/>
    <n v="2683300004281"/>
    <n v="20250513"/>
    <x v="0"/>
    <m/>
    <m/>
    <s v="D     - Dare"/>
    <n v="2060.67"/>
    <n v="0"/>
    <n v="1648024"/>
    <s v="MZZMTR24D57I854G"/>
    <s v="MAZZOTTA MARIA TERESA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73"/>
    <s v="14"/>
    <s v="Operazione per conto di importo elevato per la causale ed il soggetto"/>
    <d v="2025-05-14T00:00:00"/>
    <n v="53850"/>
    <n v="114"/>
    <s v="053850_114"/>
    <s v="Discovery Day"/>
    <s v="Mai valutato"/>
    <m/>
    <n v="202505137976880"/>
    <n v="1143306281849"/>
    <n v="20250513"/>
    <x v="0"/>
    <m/>
    <m/>
    <s v="D     - Dare"/>
    <n v="80449.39999999999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5"/>
    <s v="ARCHIVIATA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71"/>
    <s v="14"/>
    <s v="Operazione per conto di importo elevato per la causale ed il soggetto"/>
    <d v="2025-05-14T00:00:00"/>
    <n v="53850"/>
    <n v="176"/>
    <s v="053850_176"/>
    <s v="Discovery Day"/>
    <s v="Mai valutato"/>
    <m/>
    <n v="202505137977069"/>
    <n v="1763300002000"/>
    <n v="20250513"/>
    <x v="0"/>
    <m/>
    <m/>
    <s v="D     - Dare"/>
    <n v="7018.4"/>
    <n v="0"/>
    <n v="3400212"/>
    <s v="SCZFNC61R09G942P"/>
    <s v="SCAZZARI FRANCESCO"/>
    <s v="600 - Famiglie consumatrici"/>
    <m/>
    <s v="086 - ITALIA"/>
    <n v="67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70"/>
    <s v="14"/>
    <s v="Operazione per conto di importo elevato per la causale ed il soggetto"/>
    <d v="2025-05-14T00:00:00"/>
    <n v="53850"/>
    <n v="102"/>
    <s v="053850_102"/>
    <s v="Discovery Day"/>
    <s v="Mai valutato"/>
    <m/>
    <n v="202505137973992"/>
    <n v="1023308726073"/>
    <n v="20250513"/>
    <x v="3"/>
    <m/>
    <s v="086 - ITALIA"/>
    <s v="D     - Dare"/>
    <n v="1200000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7969"/>
    <s v="14"/>
    <s v="Operazione per conto di importo elevato per la causale ed il soggetto"/>
    <d v="2025-05-14T00:00:00"/>
    <n v="53850"/>
    <n v="286"/>
    <s v="053850_286"/>
    <s v="Discovery Day"/>
    <s v="Mai valutato"/>
    <m/>
    <s v="202505136969831L"/>
    <n v="2863300001177"/>
    <n v="20250513"/>
    <x v="0"/>
    <m/>
    <m/>
    <s v="D     - Dare"/>
    <n v="1038.44"/>
    <n v="0"/>
    <n v="1653433"/>
    <s v="FSLDGS43E48C632K"/>
    <s v="FUSELLA ADALGISA"/>
    <s v="600 - Famiglie consumatrici"/>
    <m/>
    <s v="086 - ITALIA"/>
    <n v="1764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66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8L"/>
    <n v="2683300002913"/>
    <n v="20250513"/>
    <x v="0"/>
    <m/>
    <m/>
    <s v="D     - Dare"/>
    <n v="1744.07"/>
    <n v="0"/>
    <n v="1700584"/>
    <s v="FLIFNC26C21F537W"/>
    <s v="FIALA' FRANCESC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7964"/>
    <s v="14"/>
    <s v="Operazione per conto di importo elevato per la causale ed il soggetto"/>
    <d v="2025-05-14T00:00:00"/>
    <n v="53850"/>
    <n v="199"/>
    <s v="053850_199"/>
    <s v="Discovery Day"/>
    <s v="Mai valutato"/>
    <m/>
    <n v="202505137975477"/>
    <n v="1993300002653"/>
    <n v="20250513"/>
    <x v="1"/>
    <m/>
    <s v="086 - ITALIA"/>
    <s v="A     - Avere"/>
    <n v="1185000"/>
    <n v="0"/>
    <n v="4862196"/>
    <n v="1430150746"/>
    <s v="CANTINE DUE PALME - SOCIETA' COOPERATIVAAGRI"/>
    <s v="430 - Imprese produttive"/>
    <s v="012 - COLTIVAZIONE DI COLTURE PERMANENTI"/>
    <s v="086 - ITALIA"/>
    <n v="1627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62"/>
    <s v="14"/>
    <s v="Operazione per conto di importo elevato per la causale ed il soggetto"/>
    <d v="2025-05-14T00:00:00"/>
    <n v="53850"/>
    <n v="103"/>
    <s v="053850_103"/>
    <s v="Discovery Day"/>
    <s v="Mai valutato"/>
    <m/>
    <n v="202505137976155"/>
    <n v="1033306976187"/>
    <n v="20250513"/>
    <x v="6"/>
    <m/>
    <m/>
    <s v="D     - Dare"/>
    <n v="232000"/>
    <n v="0"/>
    <n v="4540292"/>
    <s v="CCGMLC76A61E155O"/>
    <s v="CUCUGLIELLI MARIA LUCRE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61"/>
    <s v="14"/>
    <s v="Operazione per conto di importo elevato per la causale ed il soggetto"/>
    <d v="2025-05-14T00:00:00"/>
    <n v="53850"/>
    <n v="125"/>
    <s v="053850_125"/>
    <s v="Discovery Day"/>
    <s v="Mai valutato"/>
    <m/>
    <n v="202505137975413"/>
    <n v="1253300010013"/>
    <n v="20250513"/>
    <x v="1"/>
    <m/>
    <s v="086 - ITALIA"/>
    <s v="A     - Avere"/>
    <n v="400000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5"/>
    <s v="ARCHIVIATA DA RPR"/>
    <x v="0"/>
    <n v="1"/>
    <m/>
    <m/>
    <n v="0"/>
    <n v="464"/>
    <n v="430"/>
    <n v="430464"/>
    <s v="Classe di rischio 4"/>
    <m/>
    <x v="2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60"/>
    <s v="14"/>
    <s v="Operazione per conto di importo elevato per la causale ed il soggetto"/>
    <d v="2025-05-14T00:00:00"/>
    <n v="53850"/>
    <n v="103"/>
    <s v="053850_103"/>
    <s v="Discovery Day"/>
    <s v="Mai valutato"/>
    <m/>
    <n v="202505137974141"/>
    <n v="1033306973875"/>
    <n v="20250513"/>
    <x v="3"/>
    <m/>
    <s v="086 - ITALIA"/>
    <s v="D     - Dare"/>
    <n v="900000"/>
    <n v="0"/>
    <n v="4669615"/>
    <n v="7203330720"/>
    <s v="CAPORALCEREALI SOCIETA' A RESPONSABILITA' LI"/>
    <s v="430 - Imprese produttive"/>
    <s v="462 - COMMERCIO ALL'INGROSSO DI MATERIE PRIME AGRICOLE E DI ANIMALI VIVI"/>
    <s v="086 - ITALIA"/>
    <n v="1926"/>
    <m/>
    <m/>
    <m/>
    <m/>
    <m/>
    <m/>
    <m/>
    <n v="0"/>
    <n v="202505"/>
    <s v="IN CARICO AL GESTORE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58"/>
    <s v="14"/>
    <s v="Operazione per conto di importo elevato per la causale ed il soggetto"/>
    <d v="2025-05-14T00:00:00"/>
    <n v="53850"/>
    <n v="268"/>
    <s v="053850_268"/>
    <s v="Discovery Day"/>
    <s v="Mai valutato"/>
    <m/>
    <n v="202505137977203"/>
    <n v="2683300000159"/>
    <n v="20250513"/>
    <x v="0"/>
    <m/>
    <m/>
    <s v="D     - Dare"/>
    <n v="5336.47"/>
    <n v="0"/>
    <n v="1606026"/>
    <s v="LBNNDR37H18E479Y"/>
    <s v="ALBINO FREZZA ANDREA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7956"/>
    <s v="14"/>
    <s v="Operazione per conto di importo elevato per la causale ed il soggetto"/>
    <d v="2025-05-14T00:00:00"/>
    <n v="53850"/>
    <n v="269"/>
    <s v="053850_269"/>
    <s v="Discovery Day"/>
    <s v="Mai valutato"/>
    <m/>
    <s v="202505136970056L"/>
    <n v="2693300001109"/>
    <n v="20250513"/>
    <x v="0"/>
    <m/>
    <m/>
    <s v="D     - Dare"/>
    <n v="1526.83"/>
    <n v="0"/>
    <n v="1679198"/>
    <s v="FRGSLV21L21D209Z"/>
    <s v="FORGIONE SILVIO"/>
    <s v="600 - Famiglie consumatrici"/>
    <m/>
    <s v="086 - ITALIA"/>
    <n v="1879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55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8L"/>
    <n v="2683300002913"/>
    <n v="20250513"/>
    <x v="0"/>
    <m/>
    <m/>
    <s v="D     - Dare"/>
    <n v="1744.07"/>
    <n v="0"/>
    <n v="1630064"/>
    <s v="DCINTN37H53I093G"/>
    <s v="DIACO ANTONI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7953"/>
    <s v="14"/>
    <s v="Operazione per conto di importo elevato per la causale ed il soggetto"/>
    <d v="2025-05-14T00:00:00"/>
    <n v="53850"/>
    <n v="169"/>
    <s v="053850_169"/>
    <s v="Discovery Day"/>
    <s v="Mai valutato"/>
    <m/>
    <n v="202505137977032"/>
    <n v="1693302225641"/>
    <n v="20250513"/>
    <x v="0"/>
    <m/>
    <m/>
    <s v="D     - Dare"/>
    <n v="14482.57"/>
    <n v="0"/>
    <n v="3715785"/>
    <n v="6316660726"/>
    <s v="MARNJN S.R.L. UNIPERSONALE"/>
    <s v="430 - Imprese produttive"/>
    <s v="561 - RISTORANTI E ATTIVITÀ DI RISTORAZIONE MOBILE"/>
    <s v="086 - ITALIA"/>
    <n v="905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7950"/>
    <s v="14"/>
    <s v="Operazione per conto di importo elevato per la causale ed il soggetto"/>
    <d v="2025-05-14T00:00:00"/>
    <n v="53850"/>
    <n v="286"/>
    <s v="053850_286"/>
    <s v="Discovery Day"/>
    <s v="Mai valutato"/>
    <m/>
    <n v="202505137974664"/>
    <n v="2863300013638"/>
    <n v="20250513"/>
    <x v="1"/>
    <m/>
    <s v="086 - ITALIA"/>
    <s v="A     - Avere"/>
    <n v="2500000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5"/>
    <s v="ARCHIVIATA"/>
    <x v="0"/>
    <n v="1"/>
    <m/>
    <m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7948"/>
    <s v="14"/>
    <s v="Operazione per conto di importo elevato per la causale ed il soggetto"/>
    <d v="2025-05-14T00:00:00"/>
    <n v="53850"/>
    <n v="102"/>
    <s v="053850_102"/>
    <s v="Discovery Day"/>
    <s v="Mai valutato"/>
    <m/>
    <n v="202505137974765"/>
    <n v="1023308726073"/>
    <n v="20250513"/>
    <x v="1"/>
    <m/>
    <s v="086 - ITALIA"/>
    <s v="A     - Avere"/>
    <n v="69517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47"/>
    <s v="14"/>
    <s v="Operazione per conto di importo elevato per la causale ed il soggetto"/>
    <d v="2025-05-14T00:00:00"/>
    <n v="53850"/>
    <n v="109"/>
    <s v="053850_109"/>
    <s v="Discovery Day"/>
    <s v="Mai valutato"/>
    <m/>
    <n v="202505137976858"/>
    <n v="1093304100117"/>
    <n v="20250513"/>
    <x v="0"/>
    <m/>
    <m/>
    <s v="D     - Dare"/>
    <n v="7719.46"/>
    <n v="0"/>
    <n v="1007122"/>
    <s v="TRSVCN26P29F519D"/>
    <s v="TARSIA VINCENZO"/>
    <s v="600 - Famiglie consumatrici"/>
    <m/>
    <s v="086 - ITALIA"/>
    <n v="1271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45"/>
    <s v="14"/>
    <s v="Operazione per conto di importo elevato per la causale ed il soggetto"/>
    <d v="2025-05-14T00:00:00"/>
    <n v="53850"/>
    <n v="286"/>
    <s v="053850_286"/>
    <s v="Discovery Day"/>
    <s v="Mai valutato"/>
    <m/>
    <n v="202505137976740"/>
    <n v="2863300002276"/>
    <n v="20250513"/>
    <x v="0"/>
    <m/>
    <m/>
    <s v="D     - Dare"/>
    <n v="36278.19"/>
    <n v="0"/>
    <n v="1677596"/>
    <s v="MGRSLV76E43G224K"/>
    <s v="MAGRI SILVIA"/>
    <s v="600 - Famiglie consumatrici"/>
    <m/>
    <s v="086 - ITALIA"/>
    <n v="1798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44"/>
    <s v="14"/>
    <s v="Operazione per conto di importo elevato per la causale ed il soggetto"/>
    <d v="2025-05-14T00:00:00"/>
    <n v="53850"/>
    <n v="270"/>
    <s v="053850_270"/>
    <s v="Discovery Day"/>
    <s v="Mai valutato"/>
    <m/>
    <n v="202505137977212"/>
    <n v="2703300000033"/>
    <n v="20250513"/>
    <x v="0"/>
    <m/>
    <m/>
    <s v="D     - Dare"/>
    <n v="6937.71"/>
    <n v="0"/>
    <n v="1602036"/>
    <s v="CLLVTR32M52H501Z"/>
    <s v="COLELLA VITTORIA"/>
    <s v="600 - Famiglie consumatrici"/>
    <m/>
    <s v="086 - ITALIA"/>
    <n v="1822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40"/>
    <s v="14"/>
    <s v="Operazione per conto di importo elevato per la causale ed il soggetto"/>
    <d v="2025-05-13T00:00:00"/>
    <n v="53850"/>
    <n v="108"/>
    <s v="053850_108"/>
    <s v="Discovery Day"/>
    <s v="Mai valutato"/>
    <m/>
    <n v="202505137971953"/>
    <n v="1085500039514"/>
    <n v="20250513"/>
    <x v="19"/>
    <m/>
    <m/>
    <s v="A     - Avere"/>
    <n v="195977.3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39"/>
    <s v="14"/>
    <s v="Operazione per conto di importo elevato per la causale ed il soggetto"/>
    <d v="2025-05-13T00:00:00"/>
    <n v="53850"/>
    <n v="108"/>
    <s v="053850_108"/>
    <s v="Discovery Day"/>
    <s v="Mai valutato"/>
    <m/>
    <n v="202505137971953"/>
    <n v="1085500039514"/>
    <n v="20250513"/>
    <x v="19"/>
    <m/>
    <m/>
    <s v="A     - Avere"/>
    <n v="195977.3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35"/>
    <s v="14"/>
    <s v="Operazione per conto di importo elevato per la causale ed il soggetto"/>
    <d v="2025-05-13T00:00:00"/>
    <n v="53850"/>
    <n v="284"/>
    <s v="053850_284"/>
    <s v="Discovery Day"/>
    <s v="Mai valutato"/>
    <m/>
    <n v="202505127973664"/>
    <n v="2845500000060"/>
    <n v="20250512"/>
    <x v="18"/>
    <m/>
    <m/>
    <s v="D     - Dare"/>
    <n v="175971.72"/>
    <n v="0"/>
    <n v="1656421"/>
    <s v="MRSMRA51C56B238E"/>
    <s v="MARUSCO MARIA"/>
    <s v="600 - Famiglie consumatrici"/>
    <m/>
    <s v="086 - ITALIA"/>
    <n v="1840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30"/>
    <s v="14"/>
    <s v="Operazione per conto di importo elevato per la causale ed il soggetto"/>
    <d v="2025-05-13T00:00:00"/>
    <n v="53850"/>
    <n v="102"/>
    <s v="053850_102"/>
    <s v="Discovery Day"/>
    <s v="Mai valutato"/>
    <m/>
    <n v="202505127969820"/>
    <n v="1023308719178"/>
    <n v="20250512"/>
    <x v="3"/>
    <m/>
    <s v="086 - ITALIA"/>
    <s v="D     - Dare"/>
    <n v="612708.1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23"/>
    <s v="14"/>
    <s v="Operazione per conto di importo elevato per la causale ed il soggetto"/>
    <d v="2025-05-13T00:00:00"/>
    <n v="53850"/>
    <n v="164"/>
    <s v="053850_164"/>
    <s v="Discovery Day"/>
    <s v="Mai valutato"/>
    <m/>
    <n v="202505127973356"/>
    <n v="1643300370785"/>
    <n v="20250512"/>
    <x v="3"/>
    <m/>
    <s v="086 - ITALIA"/>
    <s v="D     - Dare"/>
    <n v="1016300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22"/>
    <s v="14"/>
    <s v="Operazione per conto di importo elevato per la causale ed il soggetto"/>
    <d v="2025-05-13T00:00:00"/>
    <n v="53850"/>
    <n v="261"/>
    <s v="053850_261"/>
    <s v="Discovery Day"/>
    <s v="Mai valutato"/>
    <m/>
    <s v="202505126909305L"/>
    <n v="2613300003915"/>
    <n v="20250512"/>
    <x v="0"/>
    <m/>
    <m/>
    <s v="D     - Dare"/>
    <n v="2473.96"/>
    <n v="0"/>
    <n v="1696446"/>
    <s v="VRDNTN35H14B466O"/>
    <s v="VERDILE ANTONIO"/>
    <s v="600 - Famiglie consumatrici"/>
    <m/>
    <s v="086 - ITALIA"/>
    <n v="1818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7921"/>
    <s v="14"/>
    <s v="Operazione per conto di importo elevato per la causale ed il soggetto"/>
    <d v="2025-05-13T00:00:00"/>
    <n v="53850"/>
    <n v="261"/>
    <s v="053850_261"/>
    <s v="Discovery Day"/>
    <s v="Mai valutato"/>
    <m/>
    <s v="202505126909304L"/>
    <n v="2613300002543"/>
    <n v="20250512"/>
    <x v="0"/>
    <m/>
    <m/>
    <s v="D     - Dare"/>
    <n v="2270.96"/>
    <n v="0"/>
    <n v="1651802"/>
    <s v="STFDTT37C51F429L"/>
    <s v="STAFFIERI ADILETTA"/>
    <s v="600 - Famiglie consumatrici"/>
    <m/>
    <s v="086 - ITALIA"/>
    <n v="175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18"/>
    <s v="14"/>
    <s v="Operazione per conto di importo elevato per la causale ed il soggetto"/>
    <d v="2025-05-13T00:00:00"/>
    <n v="53850"/>
    <n v="102"/>
    <s v="053850_102"/>
    <s v="Discovery Day"/>
    <s v="Mai valutato"/>
    <m/>
    <n v="202505127971335"/>
    <n v="1603300002981"/>
    <n v="20250512"/>
    <x v="1"/>
    <m/>
    <s v="086 - ITALIA"/>
    <s v="A     - Avere"/>
    <n v="14903049.34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5"/>
    <s v="IN VALUTAZIONE RPR"/>
    <x v="1"/>
    <n v="1"/>
    <m/>
    <m/>
    <n v="0"/>
    <n v="999"/>
    <n v="475"/>
    <n v="475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17"/>
    <s v="14"/>
    <s v="Operazione per conto di importo elevato per la causale ed il soggetto"/>
    <d v="2025-05-13T00:00:00"/>
    <n v="53850"/>
    <n v="114"/>
    <s v="053850_114"/>
    <s v="Discovery Day"/>
    <s v="Mai valutato"/>
    <m/>
    <n v="202505127972094"/>
    <n v="1146000019363"/>
    <n v="20250512"/>
    <x v="22"/>
    <m/>
    <m/>
    <s v="A     - Avere"/>
    <n v="194072.24"/>
    <n v="0"/>
    <n v="4072202"/>
    <s v="DCRNRT67M57D643S"/>
    <s v="DI CARLO ANNA RITA"/>
    <s v="600 - Famiglie consumatrici"/>
    <m/>
    <s v="086 - ITALIA"/>
    <n v="1644"/>
    <m/>
    <m/>
    <m/>
    <m/>
    <m/>
    <m/>
    <m/>
    <n v="0"/>
    <n v="202505"/>
    <s v="IN CARICO AL GESTORE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14"/>
    <s v="14"/>
    <s v="Operazione per conto di importo elevato per la causale ed il soggetto"/>
    <d v="2025-05-13T00:00:00"/>
    <n v="53850"/>
    <n v="102"/>
    <s v="053850_102"/>
    <s v="Discovery Day"/>
    <s v="Mai valutato"/>
    <m/>
    <n v="202505127973062"/>
    <n v="1603300002981"/>
    <n v="20250512"/>
    <x v="15"/>
    <m/>
    <m/>
    <s v="D     - Dare"/>
    <n v="14903049.34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5"/>
    <s v="IN VALUTAZIONE RPR"/>
    <x v="1"/>
    <n v="1"/>
    <m/>
    <m/>
    <n v="0"/>
    <n v="999"/>
    <n v="475"/>
    <n v="475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11"/>
    <s v="14"/>
    <s v="Operazione per conto di importo elevato per la causale ed il soggetto"/>
    <d v="2025-05-13T00:00:00"/>
    <n v="53850"/>
    <n v="102"/>
    <s v="053850_102"/>
    <s v="Discovery Day"/>
    <s v="Mai valutato"/>
    <m/>
    <n v="202505127972163"/>
    <n v="1023305697550"/>
    <n v="20250512"/>
    <x v="6"/>
    <m/>
    <m/>
    <s v="D     - Dare"/>
    <n v="1200000"/>
    <n v="0"/>
    <n v="569755"/>
    <n v="4504560725"/>
    <s v="LOIUDICE S.R.L."/>
    <s v="430 - Imprese produttive"/>
    <s v="259 - FABBRICAZIONE DI ALTRI PRODOTTI IN METALLO"/>
    <s v="086 - ITALIA"/>
    <n v="73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08"/>
    <s v="14"/>
    <s v="Operazione per conto di importo elevato per la causale ed il soggetto"/>
    <d v="2025-05-13T00:00:00"/>
    <n v="53850"/>
    <n v="284"/>
    <s v="053850_284"/>
    <s v="Discovery Day"/>
    <s v="Mai valutato"/>
    <m/>
    <n v="202505127973664"/>
    <n v="2845500000060"/>
    <n v="20250512"/>
    <x v="18"/>
    <m/>
    <m/>
    <s v="D     - Dare"/>
    <n v="175971.72"/>
    <n v="0"/>
    <n v="1604878"/>
    <s v="MRSLCN60L04B238C"/>
    <s v="MARUSCO LUCIANO"/>
    <s v="600 - Famiglie consumatrici"/>
    <m/>
    <s v="086 - ITALIA"/>
    <n v="1840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06"/>
    <s v="14"/>
    <s v="Operazione per conto di importo elevato per la causale ed il soggetto"/>
    <d v="2025-05-13T00:00:00"/>
    <n v="53850"/>
    <n v="102"/>
    <s v="053850_102"/>
    <s v="Discovery Day"/>
    <s v="Mai valutato"/>
    <m/>
    <n v="202505127970583"/>
    <n v="1023302279020"/>
    <n v="20250512"/>
    <x v="8"/>
    <m/>
    <m/>
    <s v="D     - Dare"/>
    <n v="419575.92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5"/>
    <s v="IN VALUTAZIONE RPR"/>
    <x v="1"/>
    <n v="1"/>
    <m/>
    <m/>
    <n v="0"/>
    <n v="493"/>
    <n v="430"/>
    <n v="43049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44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3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2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3"/>
    <m/>
    <s v="086 - ITALIA"/>
    <s v="A     - Avere"/>
    <n v="1500000"/>
    <n v="0"/>
    <n v="496233"/>
    <s v="FRRFNC58D08A225C"/>
    <s v="FERRI FRANCESCO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39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3"/>
    <n v="1183306280513"/>
    <n v="20250509"/>
    <x v="13"/>
    <m/>
    <s v="086 - ITALIA"/>
    <s v="D     - Dare"/>
    <n v="1500000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38"/>
    <s v="14"/>
    <s v="Operazione per conto di importo elevato per la causale ed il soggetto"/>
    <d v="2025-05-10T00:00:00"/>
    <n v="53850"/>
    <n v="264"/>
    <s v="053850_264"/>
    <s v="Discovery Day"/>
    <s v="Mai valutato"/>
    <m/>
    <s v="202505096850921L"/>
    <n v="2643300001045"/>
    <n v="20250509"/>
    <x v="0"/>
    <m/>
    <m/>
    <s v="D     - Dare"/>
    <n v="4102.1499999999996"/>
    <n v="0"/>
    <n v="1646159"/>
    <s v="DSNNNA22C59I029S"/>
    <s v="DISANZA ANNA"/>
    <s v="600 - Famiglie consumatrici"/>
    <m/>
    <s v="086 - ITALIA"/>
    <n v="18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8037"/>
    <s v="14"/>
    <s v="Operazione per conto di importo elevato per la causale ed il soggetto"/>
    <d v="2025-05-10T00:00:00"/>
    <n v="53850"/>
    <n v="161"/>
    <s v="053850_161"/>
    <s v="Discovery Day"/>
    <s v="Mai valutato"/>
    <m/>
    <s v="202505096857492L"/>
    <n v="1613300033039"/>
    <n v="20250509"/>
    <x v="0"/>
    <m/>
    <m/>
    <s v="D     - Dare"/>
    <n v="1494"/>
    <n v="0"/>
    <n v="4925453"/>
    <n v="8050450728"/>
    <s v="RIESCA SOCIETA' A RESPONSABILITA' LIMITATA S"/>
    <s v="430 - Imprese produttive"/>
    <s v="561 - RISTORANTI E ATTIVITÀ DI RISTORAZIONE MOBILE"/>
    <s v="086 - ITALIA"/>
    <n v="1118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3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2L"/>
    <n v="2613300002795"/>
    <n v="20250509"/>
    <x v="0"/>
    <m/>
    <m/>
    <s v="D     - Dare"/>
    <n v="1127.58"/>
    <n v="0"/>
    <n v="1652596"/>
    <s v="PRRGPP31L10E779L"/>
    <s v="PERRELLA GIUSEPPE"/>
    <s v="775 - Famiglie consumatrici di paesi non UE"/>
    <m/>
    <s v="011 - BRASILE"/>
    <m/>
    <m/>
    <m/>
    <m/>
    <m/>
    <m/>
    <m/>
    <m/>
    <n v="0"/>
    <n v="202505"/>
    <s v="ARCHIVIATA DA RPR"/>
    <x v="0"/>
    <n v="1"/>
    <m/>
    <m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3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69"/>
    <n v="1183306280094"/>
    <n v="20250509"/>
    <x v="0"/>
    <m/>
    <m/>
    <s v="D     - Dare"/>
    <n v="16523.3"/>
    <n v="0"/>
    <n v="114232"/>
    <s v="TCCMRA36H64A225C"/>
    <s v="TACCOGNA MARIA"/>
    <s v="600 - Famiglie consumatrici"/>
    <m/>
    <s v="086 - ITALIA"/>
    <n v="126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8030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3"/>
    <m/>
    <s v="086 - ITALIA"/>
    <s v="A     - Avere"/>
    <n v="1500000"/>
    <n v="0"/>
    <n v="422471"/>
    <s v="CNTTRS60S62A225F"/>
    <s v="CONTE TERESA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29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59"/>
    <n v="1025507000167"/>
    <n v="20250509"/>
    <x v="9"/>
    <m/>
    <m/>
    <s v="D     - Dare"/>
    <n v="245000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8028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1L"/>
    <n v="2613300001928"/>
    <n v="20250509"/>
    <x v="0"/>
    <m/>
    <m/>
    <s v="D     - Dare"/>
    <n v="1422.48"/>
    <n v="0"/>
    <n v="1636180"/>
    <s v="GNFFLC34C10C854B"/>
    <s v="GIANFAGNA FELICE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27"/>
    <s v="14"/>
    <s v="Operazione per conto di importo elevato per la causale ed il soggetto"/>
    <d v="2025-05-10T00:00:00"/>
    <n v="53850"/>
    <n v="282"/>
    <s v="053850_282"/>
    <s v="Discovery Day"/>
    <s v="Mai valutato"/>
    <m/>
    <s v="202505096850699L"/>
    <n v="2823300001866"/>
    <n v="20250509"/>
    <x v="0"/>
    <m/>
    <m/>
    <s v="D     - Dare"/>
    <n v="1363.68"/>
    <n v="0"/>
    <n v="1678272"/>
    <s v="NWTCRS54R18Z114I"/>
    <s v="NEWTON CHRISTOPHER CHARLES"/>
    <s v="600 - Famiglie consumatrici"/>
    <m/>
    <s v="086 - ITALIA"/>
    <n v="1796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25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3"/>
    <m/>
    <s v="086 - ITALIA"/>
    <s v="A     - Avere"/>
    <n v="1500000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24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3"/>
    <m/>
    <s v="086 - ITALIA"/>
    <s v="D     - Dare"/>
    <n v="2290722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22"/>
    <s v="14"/>
    <s v="Operazione per conto di importo elevato per la causale ed il soggetto"/>
    <d v="2025-05-10T00:00:00"/>
    <n v="53850"/>
    <n v="169"/>
    <s v="053850_169"/>
    <s v="Discovery Day"/>
    <s v="Mai valutato"/>
    <m/>
    <n v="202505097964733"/>
    <n v="1693302224711"/>
    <n v="20250509"/>
    <x v="0"/>
    <m/>
    <m/>
    <s v="D     - Dare"/>
    <n v="19862.79"/>
    <n v="0"/>
    <n v="553145"/>
    <s v="DLLNDR46L26A883Z"/>
    <s v="DELL'ORCO ANDRE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21"/>
    <s v="14"/>
    <s v="Operazione per conto di importo elevato per la causale ed il soggetto"/>
    <d v="2025-05-10T00:00:00"/>
    <n v="53850"/>
    <n v="103"/>
    <s v="053850_103"/>
    <s v="Discovery Day"/>
    <s v="Mai valutato"/>
    <m/>
    <n v="202505097962977"/>
    <n v="1033306976380"/>
    <n v="20250509"/>
    <x v="1"/>
    <m/>
    <s v="086 - ITALIA"/>
    <s v="A     - Avere"/>
    <n v="255000"/>
    <n v="0"/>
    <n v="471168"/>
    <s v="PDLBDT62C09Z112H"/>
    <s v="PADULA BENEDETT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20"/>
    <s v="14"/>
    <s v="Operazione per conto di importo elevato per la causale ed il soggetto"/>
    <d v="2025-05-10T00:00:00"/>
    <n v="53850"/>
    <n v="118"/>
    <s v="053850_118"/>
    <s v="Discovery Day"/>
    <s v="Mai valutato"/>
    <m/>
    <n v="202505097963445"/>
    <n v="1183306279348"/>
    <n v="20250509"/>
    <x v="13"/>
    <m/>
    <s v="086 - ITALIA"/>
    <s v="A     - Avere"/>
    <n v="2290722"/>
    <n v="0"/>
    <n v="4890853"/>
    <n v="8059850720"/>
    <s v="FRANCO FERRI SOCIETA' A RESPONSABILITA' LIMI"/>
    <s v="430 - Imprese produttive"/>
    <s v="310 - FABBRICAZIONE DI MOBILI"/>
    <s v="086 - ITALIA"/>
    <n v="12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18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58"/>
    <n v="1025507000167"/>
    <n v="20250509"/>
    <x v="18"/>
    <m/>
    <m/>
    <s v="D     - Dare"/>
    <n v="245000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1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3L"/>
    <n v="2613300003184"/>
    <n v="20250509"/>
    <x v="0"/>
    <m/>
    <m/>
    <s v="D     - Dare"/>
    <n v="3926.03"/>
    <n v="0"/>
    <n v="1653380"/>
    <s v="VRDNGL33T11B830S"/>
    <s v="VERDILE ANGELO"/>
    <s v="600 - Famiglie consumatrici"/>
    <m/>
    <s v="086 - ITALIA"/>
    <n v="175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8011"/>
    <s v="14"/>
    <s v="Operazione per conto di importo elevato per la causale ed il soggetto"/>
    <d v="2025-05-10T00:00:00"/>
    <n v="53850"/>
    <n v="102"/>
    <s v="053850_102"/>
    <s v="Discovery Day"/>
    <s v="Mai valutato"/>
    <m/>
    <n v="202505097962025"/>
    <n v="1503300003188"/>
    <n v="20250509"/>
    <x v="3"/>
    <m/>
    <s v="086 - ITALIA"/>
    <s v="D     - Dare"/>
    <n v="13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8010"/>
    <s v="14"/>
    <s v="Operazione per conto di importo elevato per la causale ed il soggetto"/>
    <d v="2025-05-10T00:00:00"/>
    <n v="53850"/>
    <n v="264"/>
    <s v="053850_264"/>
    <s v="Discovery Day"/>
    <s v="Mai valutato"/>
    <m/>
    <n v="202505097964868"/>
    <n v="2643300001636"/>
    <n v="20250509"/>
    <x v="0"/>
    <m/>
    <m/>
    <s v="D     - Dare"/>
    <n v="28420.45"/>
    <n v="0"/>
    <n v="1695450"/>
    <s v="LTRDNC71M56A225C"/>
    <s v="LATERZA DOMENICA"/>
    <s v="600 - Famiglie consumatrici"/>
    <m/>
    <s v="086 - ITALIA"/>
    <n v="1851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08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3"/>
    <m/>
    <s v="086 - ITALIA"/>
    <s v="D     - Dare"/>
    <n v="2290722"/>
    <n v="0"/>
    <n v="422471"/>
    <s v="CNTTRS60S62A225F"/>
    <s v="CONTE TERESA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03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5"/>
    <n v="1183306280513"/>
    <n v="20250509"/>
    <x v="13"/>
    <m/>
    <s v="086 - ITALIA"/>
    <s v="D     - Dare"/>
    <n v="763574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02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65"/>
    <n v="1023306272415"/>
    <n v="20250509"/>
    <x v="0"/>
    <m/>
    <m/>
    <s v="D     - Dare"/>
    <n v="34043.42"/>
    <n v="0"/>
    <n v="45192"/>
    <s v="PRZLNS44D29A225Z"/>
    <s v="PARZIALE ALFONSO"/>
    <s v="600 - Famiglie consumatrici"/>
    <m/>
    <s v="086 - ITALIA"/>
    <n v="160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0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3"/>
    <m/>
    <s v="086 - ITALIA"/>
    <s v="D     - Dare"/>
    <n v="2290722"/>
    <n v="0"/>
    <n v="496233"/>
    <s v="FRRFNC58D08A225C"/>
    <s v="FERRI FRANCESCO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96"/>
    <s v="14"/>
    <s v="Operazione per conto di importo elevato per la causale ed il soggetto"/>
    <d v="2025-05-10T00:00:00"/>
    <n v="53850"/>
    <n v="118"/>
    <s v="053850_118"/>
    <s v="Discovery Day"/>
    <s v="Mai valutato"/>
    <m/>
    <n v="202505097962566"/>
    <n v="1183306279348"/>
    <n v="20250509"/>
    <x v="3"/>
    <m/>
    <s v="086 - ITALIA"/>
    <s v="D     - Dare"/>
    <n v="3436083"/>
    <n v="0"/>
    <n v="4890853"/>
    <n v="8059850720"/>
    <s v="FRANCO FERRI SOCIETA' A RESPONSABILITA' LIMI"/>
    <s v="430 - Imprese produttive"/>
    <s v="310 - FABBRICAZIONE DI MOBILI"/>
    <s v="086 - ITALIA"/>
    <n v="12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995"/>
    <s v="14"/>
    <s v="Operazione per conto di importo elevato per la causale ed il soggetto"/>
    <d v="2025-05-10T00:00:00"/>
    <n v="53850"/>
    <n v="153"/>
    <s v="053850_153"/>
    <s v="Discovery Day"/>
    <s v="Mai valutato"/>
    <m/>
    <n v="202505097962361"/>
    <n v="1533300662905"/>
    <n v="20250509"/>
    <x v="3"/>
    <m/>
    <s v="086 - ITALIA"/>
    <s v="D     - Dare"/>
    <n v="952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5"/>
    <s v="ARCHIVIATA"/>
    <x v="0"/>
    <n v="1"/>
    <m/>
    <m/>
    <n v="0"/>
    <n v="236"/>
    <n v="430"/>
    <n v="430236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92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4"/>
    <n v="1183306280513"/>
    <n v="20250509"/>
    <x v="13"/>
    <m/>
    <s v="086 - ITALIA"/>
    <s v="D     - Dare"/>
    <n v="763574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90"/>
    <s v="14"/>
    <s v="Operazione per conto di importo elevato per la causale ed il soggetto"/>
    <d v="2025-05-10T00:00:00"/>
    <n v="53850"/>
    <n v="164"/>
    <s v="053850_164"/>
    <s v="Discovery Day"/>
    <s v="Mai valutato"/>
    <m/>
    <n v="202505097962765"/>
    <n v="1643300370785"/>
    <n v="20250509"/>
    <x v="1"/>
    <m/>
    <s v="086 - ITALIA"/>
    <s v="A     - Avere"/>
    <n v="1138425.55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989"/>
    <s v="14"/>
    <s v="Operazione per conto di importo elevato per la causale ed il soggetto"/>
    <d v="2025-05-10T00:00:00"/>
    <n v="53850"/>
    <n v="264"/>
    <s v="053850_264"/>
    <s v="Discovery Day"/>
    <s v="Mai valutato"/>
    <m/>
    <s v="202505096850922L"/>
    <n v="2643300001096"/>
    <n v="20250509"/>
    <x v="0"/>
    <m/>
    <m/>
    <s v="D     - Dare"/>
    <n v="1187.05"/>
    <n v="0"/>
    <n v="1647267"/>
    <s v="CLCFNC29L48A017E"/>
    <s v="COLUCCI FRANCESCA"/>
    <s v="600 - Famiglie consumatrici"/>
    <m/>
    <s v="086 - ITALIA"/>
    <n v="18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7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1L"/>
    <n v="2613300001928"/>
    <n v="20250509"/>
    <x v="0"/>
    <m/>
    <m/>
    <s v="D     - Dare"/>
    <n v="1422.48"/>
    <n v="0"/>
    <n v="1626895"/>
    <s v="GNFSVT55B04C854U"/>
    <s v="GIANFAGNA SALVATORE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5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65"/>
    <n v="1023306272415"/>
    <n v="20250509"/>
    <x v="0"/>
    <m/>
    <m/>
    <s v="D     - Dare"/>
    <n v="34043.42"/>
    <n v="0"/>
    <n v="4038101"/>
    <s v="MNNNTN48A63D305P"/>
    <s v="MINONNE ANTONIA"/>
    <s v="600 - Famiglie consumatrici"/>
    <m/>
    <s v="086 - ITALIA"/>
    <n v="157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8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2L"/>
    <n v="2613300002795"/>
    <n v="20250509"/>
    <x v="0"/>
    <m/>
    <m/>
    <s v="D     - Dare"/>
    <n v="1127.58"/>
    <n v="0"/>
    <n v="1652597"/>
    <s v="RCRGPP40E70E779N"/>
    <s v="ARCARO GIUSEPPA"/>
    <s v="775 - Famiglie consumatrici di paesi non UE"/>
    <m/>
    <s v="011 - BRASILE"/>
    <m/>
    <m/>
    <m/>
    <m/>
    <m/>
    <m/>
    <m/>
    <m/>
    <n v="0"/>
    <n v="202505"/>
    <s v="ARCHIVIATA DA RPR"/>
    <x v="0"/>
    <n v="1"/>
    <m/>
    <m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1"/>
    <s v="14"/>
    <s v="Operazione per conto di importo elevato per la causale ed il soggetto"/>
    <d v="2025-05-10T00:00:00"/>
    <n v="53850"/>
    <n v="264"/>
    <s v="053850_264"/>
    <s v="Discovery Day"/>
    <s v="Mai valutato"/>
    <m/>
    <n v="202505097964868"/>
    <n v="2643300001636"/>
    <n v="20250509"/>
    <x v="0"/>
    <m/>
    <m/>
    <s v="D     - Dare"/>
    <n v="28420.45"/>
    <n v="0"/>
    <n v="1697151"/>
    <s v="CZZLCN59B24A801E"/>
    <s v="CAZZATO LUCIAN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79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8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7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6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5L"/>
    <n v="2873300000387"/>
    <n v="20250508"/>
    <x v="0"/>
    <m/>
    <m/>
    <s v="D     - Dare"/>
    <n v="2569.71"/>
    <n v="0"/>
    <n v="1659547"/>
    <s v="SPDMRA45R59E594H"/>
    <s v="SPADARO MARI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75"/>
    <s v="14"/>
    <s v="Operazione per conto di importo elevato per la causale ed il soggetto"/>
    <d v="2025-05-09T00:00:00"/>
    <n v="53850"/>
    <n v="284"/>
    <s v="053850_284"/>
    <s v="Discovery Day"/>
    <s v="Mai valutato"/>
    <m/>
    <s v="202505086817598L"/>
    <n v="2843300001336"/>
    <n v="20250508"/>
    <x v="0"/>
    <m/>
    <m/>
    <s v="D     - Dare"/>
    <n v="2000.85"/>
    <n v="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974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6L"/>
    <n v="2873300000860"/>
    <n v="20250508"/>
    <x v="0"/>
    <m/>
    <m/>
    <s v="D     - Dare"/>
    <n v="3797.51"/>
    <n v="0"/>
    <n v="1678949"/>
    <s v="LCNNTN43M29Z326M"/>
    <s v="LUCIANI ANTONIO"/>
    <s v="600 - Famiglie consumatrici"/>
    <m/>
    <s v="086 - ITALIA"/>
    <n v="1804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71"/>
    <s v="14"/>
    <s v="Operazione per conto di importo elevato per la causale ed il soggetto"/>
    <d v="2025-05-09T00:00:00"/>
    <n v="53850"/>
    <n v="282"/>
    <s v="053850_282"/>
    <s v="Discovery Day"/>
    <s v="Mai valutato"/>
    <m/>
    <n v="202505087961431"/>
    <n v="2823300000688"/>
    <n v="20250508"/>
    <x v="6"/>
    <m/>
    <m/>
    <s v="D     - Dare"/>
    <n v="100000"/>
    <n v="0"/>
    <n v="1624874"/>
    <s v="PRRCLL53A11B985C"/>
    <s v="PORRECA CAMILLO"/>
    <s v="615 - Altre famiglie produttrici"/>
    <s v="477 - COMMERCIO AL DETTAGLIO DI ALTRI PRODOTTI IN ESERCIZI SPECIALIZZATI"/>
    <s v="086 - ITALIA"/>
    <n v="1829"/>
    <m/>
    <m/>
    <m/>
    <m/>
    <m/>
    <m/>
    <m/>
    <n v="0"/>
    <n v="202505"/>
    <s v="ARCHIVIATA DA RPR"/>
    <x v="0"/>
    <n v="1"/>
    <m/>
    <m/>
    <n v="0"/>
    <n v="477"/>
    <n v="615"/>
    <n v="615477"/>
    <s v="Classe di rischio 6"/>
    <m/>
    <x v="6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0"/>
    <s v="14"/>
    <s v="Operazione per conto di importo elevato per la causale ed il soggetto"/>
    <d v="2025-05-09T00:00:00"/>
    <n v="53850"/>
    <n v="181"/>
    <s v="053850_181"/>
    <s v="Discovery Day"/>
    <s v="Mai valutato"/>
    <m/>
    <s v="202505086818645L"/>
    <n v="1813301028722"/>
    <n v="20250508"/>
    <x v="0"/>
    <m/>
    <m/>
    <s v="D     - Dare"/>
    <n v="3844.78"/>
    <n v="0"/>
    <n v="4542975"/>
    <s v="NGRSRG52L31A893T"/>
    <s v="UNGARO SERGIO"/>
    <s v="600 - Famiglie consumatrici"/>
    <m/>
    <s v="086 - ITALIA"/>
    <n v="85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65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77"/>
    <n v="1023308719178"/>
    <n v="20250508"/>
    <x v="3"/>
    <m/>
    <s v="086 - ITALIA"/>
    <s v="D     - Dare"/>
    <n v="10000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64"/>
    <s v="14"/>
    <s v="Operazione per conto di importo elevato per la causale ed il soggetto"/>
    <d v="2025-05-09T00:00:00"/>
    <n v="53850"/>
    <n v="116"/>
    <s v="053850_116"/>
    <s v="Discovery Day"/>
    <s v="Mai valutato"/>
    <m/>
    <n v="202505087961576"/>
    <n v="1163304921400"/>
    <n v="20250508"/>
    <x v="0"/>
    <m/>
    <m/>
    <s v="D     - Dare"/>
    <n v="41708.03"/>
    <n v="0"/>
    <n v="492140"/>
    <s v="PRCNCL32E15A662I"/>
    <s v="PORCELLI NICOLA"/>
    <s v="600 - Famiglie consumatrici"/>
    <m/>
    <s v="086 - ITALIA"/>
    <n v="808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961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08"/>
    <n v="1503300003188"/>
    <n v="20250508"/>
    <x v="3"/>
    <m/>
    <s v="086 - ITALIA"/>
    <s v="D     - Dare"/>
    <n v="24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60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7L"/>
    <n v="1093306674566"/>
    <n v="20250508"/>
    <x v="0"/>
    <m/>
    <m/>
    <s v="D     - Dare"/>
    <n v="1517.41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5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882L"/>
    <n v="1093300221090"/>
    <n v="20250508"/>
    <x v="0"/>
    <m/>
    <m/>
    <s v="D     - Dare"/>
    <n v="1225.33"/>
    <n v="0"/>
    <n v="4861802"/>
    <n v="3811090723"/>
    <s v="SANTA MARIA S.R.L."/>
    <s v="430 - Imprese produttive"/>
    <s v="861 - SERVIZI OSPEDALIERI"/>
    <s v="086 - ITALIA"/>
    <n v="1919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55"/>
    <s v="14"/>
    <s v="Operazione per conto di importo elevato per la causale ed il soggetto"/>
    <d v="2025-05-09T00:00:00"/>
    <n v="53850"/>
    <n v="102"/>
    <s v="053850_102"/>
    <s v="Discovery Day"/>
    <s v="Mai valutato"/>
    <m/>
    <s v="202505086816291L"/>
    <n v="1023308722071"/>
    <n v="20250508"/>
    <x v="0"/>
    <m/>
    <m/>
    <s v="D     - Dare"/>
    <n v="1384.66"/>
    <n v="0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5"/>
    <s v="IN VALUTAZIONE RPR"/>
    <x v="1"/>
    <n v="1"/>
    <m/>
    <m/>
    <n v="1"/>
    <n v="477"/>
    <n v="430"/>
    <n v="430477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54"/>
    <s v="14"/>
    <s v="Operazione per conto di importo elevato per la causale ed il soggetto"/>
    <d v="2025-05-09T00:00:00"/>
    <n v="53850"/>
    <n v="196"/>
    <s v="053850_196"/>
    <s v="Discovery Day"/>
    <s v="Mai valutato"/>
    <m/>
    <s v="202505086817183L"/>
    <n v="1963302354339"/>
    <n v="20250508"/>
    <x v="0"/>
    <m/>
    <m/>
    <s v="D     - Dare"/>
    <n v="1112.33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5"/>
    <s v="IN VALUTAZIONE RPR"/>
    <x v="1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52"/>
    <s v="14"/>
    <s v="Operazione per conto di importo elevato per la causale ed il soggetto"/>
    <d v="2025-05-09T00:00:00"/>
    <n v="53850"/>
    <n v="181"/>
    <s v="053850_181"/>
    <s v="Discovery Day"/>
    <s v="Mai valutato"/>
    <m/>
    <s v="202505086818645L"/>
    <n v="1813301028722"/>
    <n v="20250508"/>
    <x v="0"/>
    <m/>
    <m/>
    <s v="D     - Dare"/>
    <n v="3844.78"/>
    <n v="0"/>
    <n v="4542977"/>
    <s v="BRLMLE58D65L109Q"/>
    <s v="BARILE EMILI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51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78"/>
    <n v="1023308719178"/>
    <n v="20250508"/>
    <x v="3"/>
    <m/>
    <s v="086 - ITALIA"/>
    <s v="D     - Dare"/>
    <n v="18876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48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6L"/>
    <n v="1093306674566"/>
    <n v="20250508"/>
    <x v="0"/>
    <m/>
    <m/>
    <s v="D     - Dare"/>
    <n v="1080.93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523L"/>
    <n v="1093306672791"/>
    <n v="20250508"/>
    <x v="0"/>
    <m/>
    <m/>
    <s v="D     - Dare"/>
    <n v="1042.1600000000001"/>
    <n v="0"/>
    <n v="4711527"/>
    <n v="6286800724"/>
    <s v="MERCANTILE SOCIETA' A RESPONSABILITA'LIMITAT"/>
    <s v="430 - Imprese produttive"/>
    <s v="561 - RISTORANTI E ATTIVITÀ DI RISTORAZIONE MOBILE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5"/>
    <s v="14"/>
    <s v="Operazione per conto di importo elevato per la causale ed il soggetto"/>
    <d v="2025-05-09T00:00:00"/>
    <n v="53850"/>
    <n v="261"/>
    <s v="053850_261"/>
    <s v="Discovery Day"/>
    <s v="Mai valutato"/>
    <m/>
    <n v="202505087961821"/>
    <n v="2613300000312"/>
    <n v="20250508"/>
    <x v="1"/>
    <m/>
    <s v="086 - ITALIA"/>
    <s v="A     - Avere"/>
    <n v="200900.69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3"/>
    <s v="14"/>
    <s v="Operazione per conto di importo elevato per la causale ed il soggetto"/>
    <d v="2025-05-09T00:00:00"/>
    <n v="53850"/>
    <n v="103"/>
    <s v="053850_103"/>
    <s v="Discovery Day"/>
    <s v="Mai valutato"/>
    <m/>
    <n v="202505087960462"/>
    <n v="1033306985959"/>
    <n v="20250508"/>
    <x v="1"/>
    <m/>
    <s v="086 - ITALIA"/>
    <s v="A     - Avere"/>
    <n v="245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38"/>
    <s v="14"/>
    <s v="Operazione per conto di importo elevato per la causale ed il soggetto"/>
    <d v="2025-05-09T00:00:00"/>
    <n v="53850"/>
    <n v="259"/>
    <s v="053850_259"/>
    <s v="Discovery Day"/>
    <s v="Mai valutato"/>
    <m/>
    <n v="202505087960713"/>
    <n v="2593300002769"/>
    <n v="20250508"/>
    <x v="13"/>
    <m/>
    <s v="086 - ITALIA"/>
    <s v="A     - Avere"/>
    <n v="550000"/>
    <n v="0"/>
    <n v="4731246"/>
    <s v="FDNFNC63H50F280T"/>
    <s v="FIDANZIO FRANCESCA"/>
    <s v="600 - Famiglie consumatrici"/>
    <m/>
    <s v="086 - ITALIA"/>
    <n v="1609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932"/>
    <s v="14"/>
    <s v="Operazione per conto di importo elevato per la causale ed il soggetto"/>
    <d v="2025-05-09T00:00:00"/>
    <n v="53850"/>
    <n v="171"/>
    <s v="053850_171"/>
    <s v="Discovery Day"/>
    <s v="Mai valutato"/>
    <m/>
    <s v="202505086817430L"/>
    <n v="1713302216097"/>
    <n v="20250508"/>
    <x v="0"/>
    <m/>
    <m/>
    <s v="D     - Dare"/>
    <n v="1087.93"/>
    <n v="0"/>
    <n v="4780929"/>
    <n v="7472640726"/>
    <s v="L'INCANTO S.R.L."/>
    <s v="430 - Imprese produttive"/>
    <s v="561 - RISTORANTI E ATTIVITÀ DI RISTORAZIONE MOBILE"/>
    <s v="086 - ITALIA"/>
    <n v="1118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30"/>
    <s v="14"/>
    <s v="Operazione per conto di importo elevato per la causale ed il soggetto"/>
    <d v="2025-05-09T00:00:00"/>
    <n v="53850"/>
    <n v="216"/>
    <s v="053850_216"/>
    <s v="Discovery Day"/>
    <s v="Mai valutato"/>
    <m/>
    <s v="202505086817045L"/>
    <n v="2163300012270"/>
    <n v="20250508"/>
    <x v="0"/>
    <m/>
    <m/>
    <s v="D     - Dare"/>
    <n v="2430.1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26"/>
    <s v="14"/>
    <s v="Operazione per conto di importo elevato per la causale ed il soggetto"/>
    <d v="2025-05-09T00:00:00"/>
    <n v="53850"/>
    <n v="114"/>
    <s v="053850_114"/>
    <s v="Discovery Day"/>
    <s v="Mai valutato"/>
    <m/>
    <s v="202505086812136L"/>
    <n v="1143306282464"/>
    <n v="20250508"/>
    <x v="0"/>
    <m/>
    <m/>
    <s v="D     - Dare"/>
    <n v="2094.9"/>
    <n v="0"/>
    <n v="516687"/>
    <s v="SGNNCL34H21A854A"/>
    <s v="SIGNORE NICOLA"/>
    <s v="600 - Famiglie consumatrici"/>
    <m/>
    <s v="086 - ITALIA"/>
    <n v="111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25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5L"/>
    <n v="2873300000387"/>
    <n v="20250508"/>
    <x v="0"/>
    <m/>
    <m/>
    <s v="D     - Dare"/>
    <n v="2569.71"/>
    <n v="0"/>
    <n v="1659546"/>
    <s v="FRRLRD20M14C114B"/>
    <s v="FERRANTE ALFREDO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24"/>
    <s v="14"/>
    <s v="Operazione per conto di importo elevato per la causale ed il soggetto"/>
    <d v="2025-05-09T00:00:00"/>
    <n v="53850"/>
    <n v="268"/>
    <s v="053850_268"/>
    <s v="Discovery Day"/>
    <s v="Mai valutato"/>
    <m/>
    <s v="202505086816892L"/>
    <n v="2683300003973"/>
    <n v="20250508"/>
    <x v="0"/>
    <m/>
    <m/>
    <s v="D     - Dare"/>
    <n v="4396.18"/>
    <n v="0"/>
    <n v="1645933"/>
    <s v="PRMVCN46H29F537O"/>
    <s v="PRIMAVERA VINCENZO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922"/>
    <s v="14"/>
    <s v="Operazione per conto di importo elevato per la causale ed il soggetto"/>
    <d v="2025-05-09T00:00:00"/>
    <n v="53850"/>
    <n v="125"/>
    <s v="053850_125"/>
    <s v="Discovery Day"/>
    <s v="Mai valutato"/>
    <m/>
    <s v="202505086819400L"/>
    <n v="1253300002492"/>
    <n v="20250508"/>
    <x v="0"/>
    <m/>
    <m/>
    <s v="D     - Dare"/>
    <n v="2145.0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921"/>
    <s v="14"/>
    <s v="Operazione per conto di importo elevato per la causale ed il soggetto"/>
    <d v="2025-05-09T00:00:00"/>
    <n v="53850"/>
    <n v="103"/>
    <s v="053850_103"/>
    <s v="Discovery Day"/>
    <s v="Mai valutato"/>
    <m/>
    <s v="202505086819189L"/>
    <n v="1033306979232"/>
    <n v="20250508"/>
    <x v="0"/>
    <m/>
    <m/>
    <s v="D     - Dare"/>
    <n v="1249.29"/>
    <n v="0"/>
    <n v="4947000"/>
    <n v="8226640723"/>
    <s v="OPPIP SOCIETA' A RESPONSABILITA' LIMITATA SE"/>
    <s v="430 - Imprese produttive"/>
    <s v="552 - ALLOGGI PER VACANZE E ALTRE STRUTTURE PER BREVI SOGGIORNI"/>
    <s v="086 - ITALIA"/>
    <n v="191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19"/>
    <s v="14"/>
    <s v="Operazione per conto di importo elevato per la causale ed il soggetto"/>
    <d v="2025-05-09T00:00:00"/>
    <n v="53850"/>
    <n v="137"/>
    <s v="053850_137"/>
    <s v="Discovery Day"/>
    <s v="Mai valutato"/>
    <m/>
    <n v="202505087961208"/>
    <n v="1373304102457"/>
    <n v="20250508"/>
    <x v="6"/>
    <m/>
    <m/>
    <s v="D     - Dare"/>
    <n v="400000"/>
    <n v="0"/>
    <n v="1003291"/>
    <s v="FRRGPP44R58L230X"/>
    <s v="FERRAZZANO GIUSEPPINA"/>
    <s v="600 - Famiglie consumatrici"/>
    <m/>
    <s v="086 - ITALIA"/>
    <n v="1867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1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28L"/>
    <n v="1093306677028"/>
    <n v="20250508"/>
    <x v="0"/>
    <m/>
    <m/>
    <s v="D     - Dare"/>
    <n v="2370.46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13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1L"/>
    <n v="1093306674452"/>
    <n v="20250508"/>
    <x v="0"/>
    <m/>
    <m/>
    <s v="D     - Dare"/>
    <n v="1860.59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907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798"/>
    <n v="1823300167781"/>
    <n v="20250507"/>
    <x v="0"/>
    <m/>
    <m/>
    <s v="D     - Dare"/>
    <n v="9856.8799999999992"/>
    <n v="0"/>
    <n v="3028782"/>
    <s v="DSNRNN56M63C514O"/>
    <s v="DESANTIS ROSAN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905"/>
    <s v="14"/>
    <s v="Operazione per conto di importo elevato per la causale ed il soggetto"/>
    <d v="2025-05-08T00:00:00"/>
    <n v="53850"/>
    <n v="185"/>
    <s v="053850_185"/>
    <s v="Discovery Day"/>
    <s v="Mai valutato"/>
    <m/>
    <n v="202505077957174"/>
    <n v="1853300028940"/>
    <n v="20250507"/>
    <x v="1"/>
    <m/>
    <s v="086 - ITALIA"/>
    <s v="A     - Avere"/>
    <n v="250362.33"/>
    <n v="0"/>
    <n v="3060168"/>
    <s v="FTACSR58P46L049O"/>
    <s v="FAITA CESIR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02"/>
    <s v="14"/>
    <s v="Operazione per conto di importo elevato per la causale ed il soggetto"/>
    <d v="2025-05-08T00:00:00"/>
    <n v="53850"/>
    <n v="131"/>
    <s v="053850_131"/>
    <s v="Discovery Day"/>
    <s v="Mai valutato"/>
    <m/>
    <n v="202505077958655"/>
    <n v="1313300003339"/>
    <n v="20250507"/>
    <x v="0"/>
    <m/>
    <m/>
    <s v="D     - Dare"/>
    <n v="16546.03"/>
    <n v="0"/>
    <n v="4053353"/>
    <s v="LCCSVN34R65H186Q"/>
    <s v="LICCIONE SAVINA"/>
    <s v="600 - Famiglie consumatrici"/>
    <m/>
    <s v="086 - ITALIA"/>
    <n v="13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98"/>
    <s v="14"/>
    <s v="Operazione per conto di importo elevato per la causale ed il soggetto"/>
    <d v="2025-05-08T00:00:00"/>
    <n v="53850"/>
    <n v="125"/>
    <s v="053850_125"/>
    <s v="Discovery Day"/>
    <s v="Mai valutato"/>
    <m/>
    <n v="202505077958640"/>
    <n v="1253300002202"/>
    <n v="20250507"/>
    <x v="0"/>
    <m/>
    <m/>
    <s v="D     - Dare"/>
    <n v="105733.24"/>
    <n v="0"/>
    <n v="4885518"/>
    <s v="MSTFLC42R17B354Q"/>
    <s v="MASTANTUONI FELICE"/>
    <s v="600 - Famiglie consumatrici"/>
    <m/>
    <s v="086 - ITALIA"/>
    <n v="1346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897"/>
    <s v="14"/>
    <s v="Operazione per conto di importo elevato per la causale ed il soggetto"/>
    <d v="2025-05-08T00:00:00"/>
    <n v="53850"/>
    <n v="267"/>
    <s v="053850_267"/>
    <s v="Discovery Day"/>
    <s v="Mai valutato"/>
    <m/>
    <n v="202505077958504"/>
    <n v="2673300001343"/>
    <n v="20250507"/>
    <x v="0"/>
    <m/>
    <m/>
    <s v="D     - Dare"/>
    <n v="11874.46"/>
    <n v="0"/>
    <n v="1643523"/>
    <s v="RRZDNC59A10A386Y"/>
    <s v="ARRUZZA DOMENICO"/>
    <s v="600 - Famiglie consumatrici"/>
    <m/>
    <s v="086 - ITALIA"/>
    <n v="183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94"/>
    <s v="14"/>
    <s v="Operazione per conto di importo elevato per la causale ed il soggetto"/>
    <d v="2025-05-08T00:00:00"/>
    <n v="53850"/>
    <n v="114"/>
    <s v="053850_114"/>
    <s v="Discovery Day"/>
    <s v="Mai valutato"/>
    <m/>
    <n v="202505077958605"/>
    <n v="1143306281918"/>
    <n v="20250507"/>
    <x v="0"/>
    <m/>
    <m/>
    <s v="D     - Dare"/>
    <n v="26635.58"/>
    <n v="0"/>
    <n v="554252"/>
    <s v="SNTNNT37B64D643T"/>
    <s v="SANTORO ANTONIETTA"/>
    <s v="600 - Famiglie consumatrici"/>
    <m/>
    <s v="086 - ITALIA"/>
    <n v="642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893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333"/>
    <n v="1823300072312"/>
    <n v="20250507"/>
    <x v="6"/>
    <m/>
    <m/>
    <s v="D     - Dare"/>
    <n v="990000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87"/>
    <s v="14"/>
    <s v="Operazione per conto di importo elevato per la causale ed il soggetto"/>
    <d v="2025-05-08T00:00:00"/>
    <n v="53850"/>
    <n v="187"/>
    <s v="053850_187"/>
    <s v="Discovery Day"/>
    <s v="Mai valutato"/>
    <m/>
    <s v="202505076754722L"/>
    <n v="1873300126632"/>
    <n v="20250507"/>
    <x v="0"/>
    <m/>
    <m/>
    <s v="D     - Dare"/>
    <n v="4618.8100000000004"/>
    <n v="0"/>
    <n v="4057538"/>
    <s v="DMRLRA24D44E036U"/>
    <s v="DI MIRA LAURA"/>
    <s v="600 - Famiglie consumatrici"/>
    <m/>
    <s v="086 - ITALIA"/>
    <n v="116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86"/>
    <s v="14"/>
    <s v="Operazione per conto di importo elevato per la causale ed il soggetto"/>
    <d v="2025-05-08T00:00:00"/>
    <n v="53850"/>
    <n v="129"/>
    <s v="053850_129"/>
    <s v="Discovery Day"/>
    <s v="Mai valutato"/>
    <m/>
    <n v="202505077958161"/>
    <n v="1293300002160"/>
    <n v="20250507"/>
    <x v="6"/>
    <m/>
    <m/>
    <s v="D     - Dare"/>
    <n v="720000"/>
    <n v="0"/>
    <n v="4162937"/>
    <n v="4879190728"/>
    <s v="DI PINTO &amp; DALESSANDRO S.P.A."/>
    <s v="430 - Imprese produttive"/>
    <s v="292 - FABBRICAZIONE DI CARROZZERIE PER AUTOVEICOLI, RIMORCHI E SEMIRIMORCHI"/>
    <s v="086 - ITALIA"/>
    <n v="1058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84"/>
    <s v="14"/>
    <s v="Operazione per conto di importo elevato per la causale ed il soggetto"/>
    <d v="2025-05-08T00:00:00"/>
    <n v="53850"/>
    <n v="102"/>
    <s v="053850_102"/>
    <s v="Discovery Day"/>
    <s v="Mai valutato"/>
    <m/>
    <n v="202505077957322"/>
    <n v="1023308726073"/>
    <n v="20250507"/>
    <x v="1"/>
    <m/>
    <s v="086 - ITALIA"/>
    <s v="A     - Avere"/>
    <n v="803359.5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83"/>
    <s v="14"/>
    <s v="Operazione per conto di importo elevato per la causale ed il soggetto"/>
    <d v="2025-05-08T00:00:00"/>
    <n v="53850"/>
    <n v="185"/>
    <s v="053850_185"/>
    <s v="Discovery Day"/>
    <s v="Mai valutato"/>
    <m/>
    <n v="202505077957174"/>
    <n v="1853300028940"/>
    <n v="20250507"/>
    <x v="1"/>
    <m/>
    <s v="086 - ITALIA"/>
    <s v="A     - Avere"/>
    <n v="250362.33"/>
    <n v="0"/>
    <n v="3060089"/>
    <s v="GLAMRA54T19G942G"/>
    <s v="GALA MARIO"/>
    <s v="600 - Famiglie consumatrici"/>
    <m/>
    <s v="086 - ITALIA"/>
    <n v="610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880"/>
    <s v="14"/>
    <s v="Operazione per conto di importo elevato per la causale ed il soggetto"/>
    <d v="2025-05-08T00:00:00"/>
    <n v="53850"/>
    <n v="169"/>
    <s v="053850_169"/>
    <s v="Discovery Day"/>
    <s v="Mai valutato"/>
    <m/>
    <n v="202505077958736"/>
    <n v="1693302223212"/>
    <n v="20250507"/>
    <x v="0"/>
    <m/>
    <m/>
    <s v="D     - Dare"/>
    <n v="15253.79"/>
    <n v="0"/>
    <n v="548505"/>
    <s v="DLLFNC50D13A883H"/>
    <s v="DELL'OLIO FRANCESCO"/>
    <s v="600 - Famiglie consumatrici"/>
    <m/>
    <s v="086 - ITALIA"/>
    <n v="90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79"/>
    <s v="14"/>
    <s v="Operazione per conto di importo elevato per la causale ed il soggetto"/>
    <d v="2025-05-08T00:00:00"/>
    <n v="53850"/>
    <n v="109"/>
    <s v="053850_109"/>
    <s v="Discovery Day"/>
    <s v="Mai valutato"/>
    <m/>
    <s v="202505076748586L"/>
    <n v="1093304818240"/>
    <n v="20250507"/>
    <x v="0"/>
    <m/>
    <m/>
    <s v="D     - Dare"/>
    <n v="1224.77"/>
    <n v="0"/>
    <n v="481824"/>
    <s v="GNCMTT58A05F284K"/>
    <s v="GIANCASPRO MATTEO"/>
    <s v="600 - Famiglie consumatrici"/>
    <m/>
    <s v="086 - ITALIA"/>
    <n v="507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76"/>
    <s v="14"/>
    <s v="Operazione per conto di importo elevato per la causale ed il soggetto"/>
    <d v="2025-05-08T00:00:00"/>
    <n v="53850"/>
    <n v="259"/>
    <s v="053850_259"/>
    <s v="Discovery Day"/>
    <s v="Mai valutato"/>
    <m/>
    <n v="202505077957549"/>
    <n v="2593300001020"/>
    <n v="20250507"/>
    <x v="1"/>
    <m/>
    <s v="086 - ITALIA"/>
    <s v="A     - Avere"/>
    <n v="7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5"/>
    <s v="IN CARICO AL GESTORE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74"/>
    <s v="14"/>
    <s v="Operazione per conto di importo elevato per la causale ed il soggetto"/>
    <d v="2025-05-08T00:00:00"/>
    <n v="53850"/>
    <n v="169"/>
    <s v="053850_169"/>
    <s v="Discovery Day"/>
    <s v="Mai valutato"/>
    <m/>
    <n v="202505077958736"/>
    <n v="1693302223212"/>
    <n v="20250507"/>
    <x v="0"/>
    <m/>
    <m/>
    <s v="D     - Dare"/>
    <n v="15253.79"/>
    <n v="0"/>
    <n v="548508"/>
    <s v="BMBMRA51H48A883Q"/>
    <s v="BOMBINI MARIA"/>
    <s v="600 - Famiglie consumatrici"/>
    <m/>
    <s v="086 - ITALIA"/>
    <n v="1261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72"/>
    <s v="14"/>
    <s v="Operazione per conto di importo elevato per la causale ed il soggetto"/>
    <d v="2025-05-08T00:00:00"/>
    <n v="53850"/>
    <n v="126"/>
    <s v="053850_126"/>
    <s v="Discovery Day"/>
    <s v="Mai valutato"/>
    <m/>
    <s v="202505076748209L"/>
    <n v="1263300003423"/>
    <n v="20250507"/>
    <x v="0"/>
    <m/>
    <m/>
    <s v="D     - Dare"/>
    <n v="3048.32"/>
    <n v="0"/>
    <n v="4670196"/>
    <s v="DNNMRS69A45B619C"/>
    <s v="DI NUNNO MARIA ROSARIA"/>
    <s v="600 - Famiglie consumatrici"/>
    <m/>
    <s v="086 - ITALIA"/>
    <n v="1423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871"/>
    <s v="14"/>
    <s v="Operazione per conto di importo elevato per la causale ed il soggetto"/>
    <d v="2025-05-08T00:00:00"/>
    <n v="53850"/>
    <n v="102"/>
    <s v="053850_102"/>
    <s v="Discovery Day"/>
    <s v="Mai valutato"/>
    <m/>
    <n v="202505077958520"/>
    <n v="1503300003188"/>
    <n v="20250507"/>
    <x v="13"/>
    <m/>
    <s v="086 - ITALIA"/>
    <s v="A     - Avere"/>
    <n v="2082871.68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863"/>
    <s v="14"/>
    <s v="Operazione per conto di importo elevato per la causale ed il soggetto"/>
    <d v="2025-05-08T00:00:00"/>
    <n v="53850"/>
    <n v="131"/>
    <s v="053850_131"/>
    <s v="Discovery Day"/>
    <s v="Mai valutato"/>
    <m/>
    <n v="202505077958655"/>
    <n v="1313300003339"/>
    <n v="20250507"/>
    <x v="0"/>
    <m/>
    <m/>
    <s v="D     - Dare"/>
    <n v="16546.03"/>
    <n v="0"/>
    <n v="4054276"/>
    <s v="TMSVCN34B05H831A"/>
    <s v="TOMASULO VINCENZO"/>
    <s v="600 - Famiglie consumatrici"/>
    <m/>
    <s v="086 - ITALIA"/>
    <n v="13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62"/>
    <s v="14"/>
    <s v="Operazione per conto di importo elevato per la causale ed il soggetto"/>
    <d v="2025-05-08T00:00:00"/>
    <n v="53850"/>
    <n v="174"/>
    <s v="053850_174"/>
    <s v="Discovery Day"/>
    <s v="Mai valutato"/>
    <m/>
    <s v="202505076754869L"/>
    <n v="1743302878738"/>
    <n v="20250507"/>
    <x v="0"/>
    <m/>
    <m/>
    <s v="D     - Dare"/>
    <n v="1548.53"/>
    <n v="0"/>
    <n v="4502107"/>
    <s v="MRSMRA70P48F376O"/>
    <s v="MARASCIULO MARIA"/>
    <s v="600 - Famiglie consumatrici"/>
    <m/>
    <s v="086 - ITALIA"/>
    <n v="110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61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798"/>
    <n v="1823300167781"/>
    <n v="20250507"/>
    <x v="0"/>
    <m/>
    <m/>
    <s v="D     - Dare"/>
    <n v="9856.8799999999992"/>
    <n v="0"/>
    <n v="3030646"/>
    <s v="CLLGNN53E18L049L"/>
    <s v="COLELLA GIOVANNI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60"/>
    <s v="14"/>
    <s v="Operazione per conto di importo elevato per la causale ed il soggetto"/>
    <d v="2025-05-08T00:00:00"/>
    <n v="53850"/>
    <n v="102"/>
    <s v="053850_102"/>
    <s v="Discovery Day"/>
    <s v="Mai valutato"/>
    <m/>
    <n v="202505077957172"/>
    <n v="1023308728148"/>
    <n v="20250507"/>
    <x v="1"/>
    <m/>
    <s v="086 - ITALIA"/>
    <s v="A     - Avere"/>
    <n v="333911.57"/>
    <n v="0"/>
    <n v="153952"/>
    <s v="CRLCLS38A01A225I"/>
    <s v="CARLUCCI CARLO SALVATORE"/>
    <s v="600 - Famiglie consumatrici"/>
    <m/>
    <s v="086 - ITALIA"/>
    <n v="1335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859"/>
    <s v="14"/>
    <s v="Operazione per conto di importo elevato per la causale ed il soggetto"/>
    <d v="2025-05-07T00:00:00"/>
    <n v="53850"/>
    <n v="268"/>
    <s v="053850_268"/>
    <s v="Discovery Day"/>
    <s v="Mai valutato"/>
    <m/>
    <n v="202505067953815"/>
    <n v="2683300005621"/>
    <n v="20250506"/>
    <x v="1"/>
    <m/>
    <s v="086 - ITALIA"/>
    <s v="A     - Avere"/>
    <n v="249820.54"/>
    <n v="0"/>
    <n v="1695313"/>
    <s v="SPNNTN56M24F207G"/>
    <s v="SPINA ANTONIO"/>
    <s v="600 - Famiglie consumatrici"/>
    <m/>
    <s v="086 - ITALIA"/>
    <n v="188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850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1"/>
    <n v="2713300002002"/>
    <n v="20250506"/>
    <x v="0"/>
    <m/>
    <m/>
    <s v="D     - Dare"/>
    <n v="5662.14"/>
    <n v="0"/>
    <n v="1630114"/>
    <s v="DPLMLC50M44I394R"/>
    <s v="DI PAOLO MARIA LUCIA"/>
    <s v="600 - Famiglie consumatrici"/>
    <m/>
    <s v="086 - ITALIA"/>
    <n v="179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849"/>
    <s v="14"/>
    <s v="Operazione per conto di importo elevato per la causale ed il soggetto"/>
    <d v="2025-05-07T00:00:00"/>
    <n v="53850"/>
    <n v="109"/>
    <s v="053850_109"/>
    <s v="Discovery Day"/>
    <s v="Mai valutato"/>
    <m/>
    <n v="202505067954693"/>
    <n v="1093306673999"/>
    <n v="20250506"/>
    <x v="11"/>
    <m/>
    <m/>
    <s v="D     - Dare"/>
    <n v="969486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848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1"/>
    <n v="2713300002002"/>
    <n v="20250506"/>
    <x v="0"/>
    <m/>
    <m/>
    <s v="D     - Dare"/>
    <n v="5662.14"/>
    <n v="0"/>
    <n v="1697336"/>
    <s v="SLVNNI46S16I394U"/>
    <s v="SILVERIO NINO"/>
    <s v="600 - Famiglie consumatrici"/>
    <m/>
    <s v="086 - ITALIA"/>
    <n v="1781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846"/>
    <s v="14"/>
    <s v="Operazione per conto di importo elevato per la causale ed il soggetto"/>
    <d v="2025-05-07T00:00:00"/>
    <n v="53850"/>
    <n v="102"/>
    <s v="053850_102"/>
    <s v="Discovery Day"/>
    <s v="Mai valutato"/>
    <m/>
    <n v="202505067955218"/>
    <n v="1023300113820"/>
    <n v="20250506"/>
    <x v="3"/>
    <m/>
    <s v="086 - ITALIA"/>
    <s v="D     - Dare"/>
    <n v="165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44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2"/>
    <n v="2713300003798"/>
    <n v="20250506"/>
    <x v="0"/>
    <m/>
    <m/>
    <s v="D     - Dare"/>
    <n v="13499.9"/>
    <n v="0"/>
    <n v="1695775"/>
    <s v="MLPGLL35P18F205H"/>
    <s v="MALAPELLE GUGLIELMO"/>
    <s v="600 - Famiglie consumatrici"/>
    <m/>
    <s v="086 - ITALIA"/>
    <n v="178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43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2"/>
    <n v="2713300003798"/>
    <n v="20250506"/>
    <x v="0"/>
    <m/>
    <m/>
    <s v="D     - Dare"/>
    <n v="13499.9"/>
    <n v="0"/>
    <n v="1705998"/>
    <s v="CRMGCR34T49G233J"/>
    <s v="CARMINATI GIAN CARLA ALESSANDRINA"/>
    <s v="600 - Famiglie consumatrici"/>
    <m/>
    <s v="086 - ITALIA"/>
    <n v="178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37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6L"/>
    <n v="2713300002801"/>
    <n v="20250506"/>
    <x v="0"/>
    <m/>
    <m/>
    <s v="D     - Dare"/>
    <n v="1070.5899999999999"/>
    <n v="0"/>
    <n v="1680953"/>
    <s v="RMGLSS23L22F196U"/>
    <s v="REMIGIO ULISSE"/>
    <s v="600 - Famiglie consumatrici"/>
    <m/>
    <s v="086 - ITALIA"/>
    <n v="1787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35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2L"/>
    <n v="2713300001484"/>
    <n v="20250506"/>
    <x v="0"/>
    <m/>
    <m/>
    <s v="D     - Dare"/>
    <n v="1209.73"/>
    <n v="0"/>
    <n v="1651006"/>
    <s v="PCCVSK76S42Z614R"/>
    <s v="PICCARI VALESKA"/>
    <s v="775 - Famiglie consumatrici di paesi non UE"/>
    <m/>
    <s v="081 - VENEZUELA"/>
    <n v="1787"/>
    <m/>
    <m/>
    <m/>
    <m/>
    <m/>
    <m/>
    <m/>
    <n v="0"/>
    <n v="202505"/>
    <s v="ARCHIVIATA"/>
    <x v="0"/>
    <n v="1"/>
    <m/>
    <m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34"/>
    <s v="14"/>
    <s v="Operazione per conto di importo elevato per la causale ed il soggetto"/>
    <d v="2025-05-07T00:00:00"/>
    <n v="53850"/>
    <n v="102"/>
    <s v="053850_102"/>
    <s v="Discovery Day"/>
    <s v="Mai valutato"/>
    <m/>
    <n v="202505067953521"/>
    <n v="1023308719178"/>
    <n v="20250506"/>
    <x v="1"/>
    <m/>
    <s v="086 - ITALIA"/>
    <s v="A     - Avere"/>
    <n v="4999692"/>
    <n v="0"/>
    <n v="474476"/>
    <n v="3470340724"/>
    <s v="CEREALSUD SOCIETA' A RESPONSABILITA' LIMITATA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827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5L"/>
    <n v="2713300001866"/>
    <n v="20250506"/>
    <x v="0"/>
    <m/>
    <m/>
    <s v="D     - Dare"/>
    <n v="4129.6000000000004"/>
    <n v="0"/>
    <n v="1665085"/>
    <s v="MMMNCL28M29H439P"/>
    <s v="MEMME NICOL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21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4L"/>
    <n v="2713300001848"/>
    <n v="20250506"/>
    <x v="0"/>
    <m/>
    <m/>
    <s v="D     - Dare"/>
    <n v="1828.42"/>
    <n v="0"/>
    <n v="1665043"/>
    <s v="DRNCRL31D15Z114Z"/>
    <s v="DEARING CHARLES DANIEL"/>
    <s v="600 - Famiglie consumatrici"/>
    <m/>
    <s v="086 - ITALIA"/>
    <n v="178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20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5L"/>
    <n v="2713300001866"/>
    <n v="20250506"/>
    <x v="0"/>
    <m/>
    <m/>
    <s v="D     - Dare"/>
    <n v="4129.6000000000004"/>
    <n v="0"/>
    <n v="1665086"/>
    <s v="FNTGTA25P52I394M"/>
    <s v="FANTINI AGAT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17"/>
    <s v="14"/>
    <s v="Operazione per conto di importo elevato per la causale ed il soggetto"/>
    <d v="2025-05-07T00:00:00"/>
    <n v="53850"/>
    <n v="105"/>
    <s v="053850_105"/>
    <s v="Discovery Day"/>
    <s v="Mai valutato"/>
    <m/>
    <n v="202505067955271"/>
    <n v="1053300336450"/>
    <n v="20250506"/>
    <x v="22"/>
    <m/>
    <m/>
    <s v="A     - Avere"/>
    <n v="200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12"/>
    <s v="14"/>
    <s v="Operazione per conto di importo elevato per la causale ed il soggetto"/>
    <d v="2025-05-07T00:00:00"/>
    <n v="53850"/>
    <n v="175"/>
    <s v="053850_175"/>
    <s v="Discovery Day"/>
    <s v="Mai valutato"/>
    <m/>
    <n v="202505057955582"/>
    <n v="1753302202252"/>
    <n v="20250505"/>
    <x v="3"/>
    <m/>
    <s v="086 - ITALIA"/>
    <s v="D     - Dare"/>
    <n v="1000000"/>
    <n v="0"/>
    <n v="611756"/>
    <s v="PTNRNT84E28H501P"/>
    <s v="POTENZA RENATO"/>
    <s v="615 - Altre famiglie produttrici"/>
    <s v="015 - COLTIVAZIONI AGRICOLE ASSOCIATE ALL'ALLEVAMENTO DI ANIMALI: ATTIVITÀ MISTA"/>
    <s v="086 - ITALIA"/>
    <n v="1110"/>
    <m/>
    <m/>
    <m/>
    <m/>
    <m/>
    <m/>
    <m/>
    <n v="0"/>
    <n v="202505"/>
    <s v="ARCHIVIATA"/>
    <x v="0"/>
    <n v="1"/>
    <m/>
    <m/>
    <n v="0"/>
    <n v="999"/>
    <n v="615"/>
    <n v="615999"/>
    <m/>
    <n v="1"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809"/>
    <s v="14"/>
    <s v="Operazione per conto di importo elevato per la causale ed il soggetto"/>
    <d v="2025-05-06T00:00:00"/>
    <n v="53850"/>
    <n v="161"/>
    <s v="053850_161"/>
    <s v="Discovery Day"/>
    <s v="Mai valutato"/>
    <m/>
    <s v="202505056639697L"/>
    <n v="1283300004011"/>
    <n v="20250505"/>
    <x v="0"/>
    <m/>
    <m/>
    <s v="D     - Dare"/>
    <n v="1006.5"/>
    <n v="0"/>
    <n v="4925367"/>
    <s v="GRGRST60R20A662R"/>
    <s v="GORGA ERNESTO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03"/>
    <s v="14"/>
    <s v="Operazione per conto di importo elevato per la causale ed il soggetto"/>
    <d v="2025-05-06T00:00:00"/>
    <n v="53850"/>
    <n v="109"/>
    <s v="053850_109"/>
    <s v="Discovery Day"/>
    <s v="Mai valutato"/>
    <m/>
    <n v="202505057950486"/>
    <n v="1093306673999"/>
    <n v="20250505"/>
    <x v="1"/>
    <m/>
    <s v="086 - ITALIA"/>
    <s v="A     - Avere"/>
    <n v="1182772.92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801"/>
    <s v="14"/>
    <s v="Operazione per conto di importo elevato per la causale ed il soggetto"/>
    <d v="2025-05-06T00:00:00"/>
    <n v="53850"/>
    <n v="110"/>
    <s v="053850_110"/>
    <s v="Discovery Day"/>
    <s v="Mai valutato"/>
    <m/>
    <n v="202505057951941"/>
    <n v="1103304311370"/>
    <n v="20250505"/>
    <x v="22"/>
    <m/>
    <m/>
    <s v="A     - Avere"/>
    <n v="168000"/>
    <n v="0"/>
    <n v="431136"/>
    <s v="RTGGPP45H24A669U"/>
    <s v="RUTIGLIANO GIUSEPPE"/>
    <s v="600 - Famiglie consumatrici"/>
    <m/>
    <s v="086 - ITALIA"/>
    <n v="45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96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8"/>
    <n v="1363300003325"/>
    <n v="20250505"/>
    <x v="16"/>
    <m/>
    <m/>
    <s v="D     - Dare"/>
    <n v="715933.74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94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7"/>
    <n v="1361147800126"/>
    <n v="20250505"/>
    <x v="17"/>
    <m/>
    <m/>
    <s v="A     - Avere"/>
    <n v="715933.74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88"/>
    <s v="14"/>
    <s v="Operazione per conto di importo elevato per la causale ed il soggetto"/>
    <d v="2025-05-06T00:00:00"/>
    <n v="53850"/>
    <n v="161"/>
    <s v="053850_161"/>
    <s v="Discovery Day"/>
    <s v="Mai valutato"/>
    <m/>
    <s v="202505056639697L"/>
    <n v="1283300004011"/>
    <n v="20250505"/>
    <x v="0"/>
    <m/>
    <m/>
    <s v="D     - Dare"/>
    <n v="1006.5"/>
    <n v="0"/>
    <n v="4925377"/>
    <s v="PSTCCT63A50Z401Q"/>
    <s v="PASTORE CONCETTA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81"/>
    <s v="14"/>
    <s v="Operazione per conto di importo elevato per la causale ed il soggetto"/>
    <d v="2025-05-06T00:00:00"/>
    <n v="53850"/>
    <n v="269"/>
    <s v="053850_269"/>
    <s v="Discovery Day"/>
    <s v="Mai valutato"/>
    <m/>
    <s v="202505056637364L"/>
    <n v="2693300000909"/>
    <n v="20250505"/>
    <x v="0"/>
    <m/>
    <m/>
    <s v="D     - Dare"/>
    <n v="1027.8"/>
    <n v="0"/>
    <n v="1662042"/>
    <s v="CCCDNC70L11D209K"/>
    <s v="CICCHINI DOMENICO"/>
    <s v="600 - Famiglie consumatrici"/>
    <m/>
    <s v="086 - ITALIA"/>
    <n v="1879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77"/>
    <s v="14"/>
    <s v="Operazione per conto di importo elevato per la causale ed il soggetto"/>
    <d v="2025-05-06T00:00:00"/>
    <n v="53850"/>
    <n v="110"/>
    <s v="053850_110"/>
    <s v="Discovery Day"/>
    <s v="Mai valutato"/>
    <m/>
    <n v="202505057951941"/>
    <n v="1103304311370"/>
    <n v="20250505"/>
    <x v="22"/>
    <m/>
    <m/>
    <s v="A     - Avere"/>
    <n v="168000"/>
    <n v="0"/>
    <n v="431134"/>
    <s v="DBNSLL51R56A669P"/>
    <s v="DIBENEDETTO STELLA"/>
    <s v="600 - Famiglie consumatrici"/>
    <m/>
    <s v="086 - ITALIA"/>
    <n v="45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75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9"/>
    <n v="1363300003325"/>
    <n v="20250505"/>
    <x v="24"/>
    <m/>
    <m/>
    <s v="A     - Avere"/>
    <n v="699996.13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699996.13"/>
    <n v="714996.13"/>
    <n v="729996.13"/>
    <n v="744996.13"/>
    <n v="759996.13"/>
    <n v="774996.13"/>
    <n v="789996.13"/>
    <n v="804996.13"/>
    <n v="819996.13"/>
    <n v="834996.13"/>
    <n v="849996.13"/>
    <n v="864996.13"/>
    <n v="879996.13"/>
    <n v="894996.13"/>
    <n v="909996.13"/>
    <n v="924996.13"/>
    <n v="939996.13"/>
    <n v="954996.13"/>
    <n v="969996.13"/>
    <n v="984996.13"/>
    <n v="999996.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68"/>
    <s v="14"/>
    <s v="Operazione per conto di importo elevato per la causale ed il soggetto"/>
    <d v="2025-05-06T00:00:00"/>
    <n v="53850"/>
    <n v="102"/>
    <s v="053850_102"/>
    <s v="Discovery Day"/>
    <s v="Mai valutato"/>
    <m/>
    <n v="202505057950258"/>
    <n v="1503300003188"/>
    <n v="20250505"/>
    <x v="1"/>
    <m/>
    <s v="086 - ITALIA"/>
    <s v="A     - Avere"/>
    <n v="143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62"/>
    <s v="14"/>
    <s v="Operazione per conto di importo elevato per la causale ed il soggetto"/>
    <d v="2025-05-03T00:00:00"/>
    <n v="53850"/>
    <n v="103"/>
    <s v="053850_103"/>
    <s v="Discovery Day"/>
    <s v="Mai valutato"/>
    <m/>
    <n v="202505057942705"/>
    <n v="1033306974105"/>
    <n v="20250505"/>
    <x v="31"/>
    <m/>
    <m/>
    <s v="A     - Avere"/>
    <n v="396362.6"/>
    <n v="0"/>
    <n v="158903"/>
    <s v="MRMGPP37T01E155X"/>
    <s v="MORAMARCO GIUSEPPE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61"/>
    <s v="14"/>
    <s v="Operazione per conto di importo elevato per la causale ed il soggetto"/>
    <d v="2025-05-03T00:00:00"/>
    <n v="53850"/>
    <n v="103"/>
    <s v="053850_103"/>
    <s v="Discovery Day"/>
    <s v="Mai valutato"/>
    <m/>
    <n v="202505057942705"/>
    <n v="1033306974105"/>
    <n v="20250505"/>
    <x v="31"/>
    <m/>
    <m/>
    <s v="A     - Avere"/>
    <n v="396362.6"/>
    <n v="0"/>
    <n v="461958"/>
    <s v="MRMFNC67T15E155W"/>
    <s v="MORAMARCO FRANCESCO"/>
    <s v="600 - Famiglie consumatrici"/>
    <m/>
    <s v="086 - ITALIA"/>
    <n v="191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60"/>
    <s v="14"/>
    <s v="Operazione per conto di importo elevato per la causale ed il soggetto"/>
    <d v="2025-05-03T00:00:00"/>
    <n v="53850"/>
    <n v="164"/>
    <s v="053850_164"/>
    <s v="Discovery Day"/>
    <s v="Mai valutato"/>
    <m/>
    <n v="202505027944626"/>
    <n v="1643300369759"/>
    <n v="20250502"/>
    <x v="0"/>
    <m/>
    <m/>
    <s v="D     - Dare"/>
    <n v="7955.45"/>
    <n v="0"/>
    <n v="4356533"/>
    <s v="CMPLRS54M56H480H"/>
    <s v="CAMPANOZZI LIBERA ASSUNTA"/>
    <s v="600 - Famiglie consumatrici"/>
    <m/>
    <s v="086 - ITALIA"/>
    <n v="787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757"/>
    <s v="14"/>
    <s v="Operazione per conto di importo elevato per la causale ed il soggetto"/>
    <d v="2025-05-03T00:00:00"/>
    <n v="53850"/>
    <n v="175"/>
    <s v="053850_175"/>
    <s v="Discovery Day"/>
    <s v="Mai valutato"/>
    <m/>
    <n v="202505027943813"/>
    <n v="1753305636160"/>
    <n v="20250502"/>
    <x v="28"/>
    <m/>
    <m/>
    <s v="A     - Avere"/>
    <n v="2696970.87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2696970.87"/>
    <n v="2708520.2429999998"/>
    <n v="2720069.6159999999"/>
    <n v="2731618.9890000001"/>
    <n v="2743168.3620000002"/>
    <n v="2754717.7349999999"/>
    <n v="2766267.108"/>
    <n v="2777816.4810000001"/>
    <n v="2789365.8539999998"/>
    <n v="2800915.227"/>
    <n v="2812464.6"/>
    <n v="2824013.9730000002"/>
    <n v="2835563.3459999999"/>
    <n v="2847112.719"/>
    <n v="2858662.0920000002"/>
    <n v="2870211.4649999999"/>
    <n v="2881760.838"/>
    <n v="2893310.2110000001"/>
    <n v="2904859.5839999998"/>
    <n v="2916408.9569999999"/>
    <n v="2927958.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55"/>
    <s v="14"/>
    <s v="Operazione per conto di importo elevato per la causale ed il soggetto"/>
    <d v="2025-05-03T00:00:00"/>
    <n v="53850"/>
    <n v="148"/>
    <s v="053850_148"/>
    <s v="Discovery Day"/>
    <s v="Mai valutato"/>
    <m/>
    <n v="202505027944592"/>
    <n v="1483300003460"/>
    <n v="20250502"/>
    <x v="9"/>
    <m/>
    <m/>
    <s v="D     - Dare"/>
    <n v="500000"/>
    <n v="0"/>
    <n v="4743708"/>
    <s v="FRRGNI91M19A783K"/>
    <s v="FERRARA IGINO"/>
    <s v="600 - Famiglie consumatrici"/>
    <m/>
    <s v="086 - ITALIA"/>
    <n v="163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54"/>
    <s v="14"/>
    <s v="Operazione per conto di importo elevato per la causale ed il soggetto"/>
    <d v="2025-05-03T00:00:00"/>
    <n v="53850"/>
    <n v="164"/>
    <s v="053850_164"/>
    <s v="Discovery Day"/>
    <s v="Mai valutato"/>
    <m/>
    <n v="202505027944626"/>
    <n v="1643300369759"/>
    <n v="20250502"/>
    <x v="0"/>
    <m/>
    <m/>
    <s v="D     - Dare"/>
    <n v="7955.45"/>
    <n v="0"/>
    <n v="4356531"/>
    <s v="MLIGPP46E01A339X"/>
    <s v="MILO GIUSEPPE"/>
    <s v="600 - Famiglie consumatrici"/>
    <m/>
    <s v="086 - ITALIA"/>
    <n v="787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752"/>
    <s v="14"/>
    <s v="Operazione per conto di importo elevato per la causale ed il soggetto"/>
    <d v="2025-05-03T00:00:00"/>
    <n v="53850"/>
    <n v="284"/>
    <s v="053850_284"/>
    <s v="Discovery Day"/>
    <s v="Mai valutato"/>
    <m/>
    <n v="202505027944882"/>
    <n v="2843300000478"/>
    <n v="20250502"/>
    <x v="0"/>
    <m/>
    <m/>
    <s v="D     - Dare"/>
    <n v="5641.99"/>
    <n v="0"/>
    <n v="1656709"/>
    <s v="DNTRTT52H55B238G"/>
    <s v="DONATUCCI ROSETTA MARIA"/>
    <s v="600 - Famiglie consumatrici"/>
    <m/>
    <s v="086 - ITALIA"/>
    <n v="186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751"/>
    <s v="14"/>
    <s v="Operazione per conto di importo elevato per la causale ed il soggetto"/>
    <d v="2025-05-03T00:00:00"/>
    <n v="53850"/>
    <n v="170"/>
    <s v="053850_170"/>
    <s v="Discovery Day"/>
    <s v="Mai valutato"/>
    <m/>
    <n v="202505027943714"/>
    <n v="1703306288195"/>
    <n v="20250502"/>
    <x v="28"/>
    <m/>
    <m/>
    <s v="A     - Avere"/>
    <n v="2554771.5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49"/>
    <s v="14"/>
    <s v="Operazione per conto di importo elevato per la causale ed il soggetto"/>
    <d v="2025-05-03T00:00:00"/>
    <n v="53850"/>
    <n v="171"/>
    <s v="053850_171"/>
    <s v="Discovery Day"/>
    <s v="Mai valutato"/>
    <m/>
    <n v="202505027943751"/>
    <n v="1713302213842"/>
    <n v="20250502"/>
    <x v="6"/>
    <m/>
    <m/>
    <s v="D     - Dare"/>
    <n v="1368468.75"/>
    <n v="0"/>
    <n v="4148505"/>
    <n v="5848860721"/>
    <s v="FORMAT DISTRIBUZIONE SOCIETA' A RESPONSABILITA' LIMITATA"/>
    <s v="430 - Imprese produttive"/>
    <s v="469 - COMMERCIO ALL'INGROSSO NON SPECIALIZZATO"/>
    <s v="086 - ITALIA"/>
    <n v="19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40"/>
    <s v="14"/>
    <s v="Operazione per conto di importo elevato per la causale ed il soggetto"/>
    <d v="2025-05-03T00:00:00"/>
    <n v="53850"/>
    <n v="181"/>
    <s v="053850_181"/>
    <s v="Discovery Day"/>
    <s v="Mai valutato"/>
    <m/>
    <n v="202505027944705"/>
    <n v="1813300010027"/>
    <n v="20250502"/>
    <x v="0"/>
    <m/>
    <m/>
    <s v="D     - Dare"/>
    <n v="41382.71"/>
    <n v="0"/>
    <n v="49014"/>
    <s v="DGIMHL51H05A662M"/>
    <s v="DI GIOIA MICHELE"/>
    <s v="600 - Famiglie consumatrici"/>
    <m/>
    <s v="086 - ITALIA"/>
    <n v="69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735"/>
    <s v="14"/>
    <s v="Operazione per conto di importo elevato per la causale ed il soggetto"/>
    <d v="2025-05-03T00:00:00"/>
    <n v="53850"/>
    <n v="284"/>
    <s v="053850_284"/>
    <s v="Discovery Day"/>
    <s v="Mai valutato"/>
    <m/>
    <n v="202505027944882"/>
    <n v="2843300000478"/>
    <n v="20250502"/>
    <x v="0"/>
    <m/>
    <m/>
    <s v="D     - Dare"/>
    <n v="5641.99"/>
    <n v="0"/>
    <n v="1656708"/>
    <s v="TTSNCL49T06B238T"/>
    <s v="TATASCIORE NICOLA"/>
    <s v="600 - Famiglie consumatrici"/>
    <m/>
    <s v="086 - ITALIA"/>
    <n v="186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731"/>
    <s v="14"/>
    <s v="Operazione per conto di importo elevato per la causale ed il soggetto"/>
    <d v="2025-05-03T00:00:00"/>
    <n v="53850"/>
    <n v="181"/>
    <s v="053850_181"/>
    <s v="Discovery Day"/>
    <s v="Mai valutato"/>
    <m/>
    <n v="202505027944705"/>
    <n v="1813300010027"/>
    <n v="20250502"/>
    <x v="0"/>
    <m/>
    <m/>
    <s v="D     - Dare"/>
    <n v="41382.71"/>
    <n v="0"/>
    <n v="53154"/>
    <s v="DGINTS54S59H645P"/>
    <s v="DI GIOIA ANASTASIA"/>
    <s v="600 - Famiglie consumatrici"/>
    <m/>
    <s v="086 - ITALIA"/>
    <n v="69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665"/>
    <s v="14"/>
    <s v="Operazione per conto di importo elevato per la causale ed il soggetto"/>
    <d v="2025-07-01T00:00:00"/>
    <n v="53850"/>
    <n v="102"/>
    <s v="053850_102"/>
    <s v="Discovery Day"/>
    <s v="Mai valutato"/>
    <m/>
    <n v="202506308141571"/>
    <n v="1023308722935"/>
    <n v="20250630"/>
    <x v="3"/>
    <m/>
    <s v="086 - ITALIA"/>
    <s v="D     - Dare"/>
    <n v="200050"/>
    <n v="0"/>
    <n v="512037"/>
    <s v="LGGNLN71C63A225H"/>
    <s v="LEGGIADRO ANGELA ANNUNZIAT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52"/>
    <s v="14"/>
    <s v="Operazione per conto di importo elevato per la causale ed il soggetto"/>
    <d v="2025-07-01T00:00:00"/>
    <n v="53850"/>
    <n v="188"/>
    <s v="053850_188"/>
    <s v="Discovery Day"/>
    <s v="Mai valutato"/>
    <m/>
    <n v="202506308137789"/>
    <n v="1883300059102"/>
    <n v="20250630"/>
    <x v="1"/>
    <m/>
    <s v="086 - ITALIA"/>
    <s v="A     - Avere"/>
    <n v="580000"/>
    <n v="0"/>
    <n v="3002279"/>
    <s v="DMILCU63H55L049I"/>
    <s v="DI MAIO LUCIA"/>
    <s v="600 - Famiglie consumatrici"/>
    <m/>
    <s v="086 - ITALIA"/>
    <n v="111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650"/>
    <s v="14"/>
    <s v="Operazione per conto di importo elevato per la causale ed il soggetto"/>
    <d v="2025-07-01T00:00:00"/>
    <n v="53850"/>
    <n v="120"/>
    <s v="053850_120"/>
    <s v="Discovery Day"/>
    <s v="Mai valutato"/>
    <m/>
    <n v="202506308136439"/>
    <n v="1203300002958"/>
    <n v="20250630"/>
    <x v="30"/>
    <m/>
    <s v="031 - REGNO UNITO"/>
    <s v="D     - Dare"/>
    <n v="1132211.78"/>
    <n v="0"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46"/>
    <s v="14"/>
    <s v="Operazione per conto di importo elevato per la causale ed il soggetto"/>
    <d v="2025-07-01T00:00:00"/>
    <n v="53850"/>
    <n v="273"/>
    <s v="053850_273"/>
    <s v="Discovery Day"/>
    <s v="Mai valutato"/>
    <m/>
    <n v="202506308141311"/>
    <n v="2733300000919"/>
    <n v="20250630"/>
    <x v="4"/>
    <m/>
    <m/>
    <s v="D     - Dare"/>
    <n v="300267.63"/>
    <n v="0"/>
    <n v="1625053"/>
    <n v="2427910696"/>
    <s v="MARINELLI UMBERTO SRL"/>
    <s v="430 - Imprese produttive"/>
    <s v="412 - COSTRUZIONE DI EDIFICI RESIDENZIALI E NON RESIDENZIALI"/>
    <s v="086 - ITALIA"/>
    <n v="1856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45"/>
    <s v="14"/>
    <s v="Operazione per conto di importo elevato per la causale ed il soggetto"/>
    <d v="2025-07-01T00:00:00"/>
    <n v="53850"/>
    <n v="148"/>
    <s v="053850_148"/>
    <s v="Discovery Day"/>
    <s v="Mai valutato"/>
    <m/>
    <n v="202506308141975"/>
    <n v="1483300003701"/>
    <n v="20250630"/>
    <x v="3"/>
    <m/>
    <s v="086 - ITALIA"/>
    <s v="D     - Dare"/>
    <n v="1000000"/>
    <n v="0"/>
    <n v="2001293"/>
    <s v="BBTSVT57P28D386J"/>
    <s v="ABBATIELLO SALVATORE"/>
    <s v="600 - Famiglie consumatrici"/>
    <m/>
    <s v="086 - ITALIA"/>
    <n v="163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44"/>
    <s v="14"/>
    <s v="Operazione per conto di importo elevato per la causale ed il soggetto"/>
    <d v="2025-07-01T00:00:00"/>
    <n v="53850"/>
    <n v="153"/>
    <s v="053850_153"/>
    <s v="Discovery Day"/>
    <s v="Mai valutato"/>
    <m/>
    <n v="202506308136210"/>
    <n v="1533300662905"/>
    <n v="20250630"/>
    <x v="3"/>
    <m/>
    <s v="086 - ITALIA"/>
    <s v="D     - Dare"/>
    <n v="1550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s v="ARCHIVIATA"/>
    <x v="0"/>
    <n v="1"/>
    <m/>
    <m/>
    <n v="0"/>
    <n v="236"/>
    <n v="430"/>
    <n v="430236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637"/>
    <s v="14"/>
    <s v="Operazione per conto di importo elevato per la causale ed il soggetto"/>
    <d v="2025-07-01T00:00:00"/>
    <n v="53850"/>
    <n v="161"/>
    <s v="053850_161"/>
    <s v="Discovery Day"/>
    <s v="Mai valutato"/>
    <m/>
    <n v="202506308140067"/>
    <n v="1613300032598"/>
    <n v="20250630"/>
    <x v="11"/>
    <m/>
    <m/>
    <s v="D     - Dare"/>
    <n v="527423.84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6"/>
    <s v="IN CARICO AL GESTORE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36"/>
    <s v="14"/>
    <s v="Operazione per conto di importo elevato per la causale ed il soggetto"/>
    <d v="2025-07-01T00:00:00"/>
    <n v="53850"/>
    <n v="141"/>
    <s v="053850_141"/>
    <s v="Discovery Day"/>
    <s v="Mai valutato"/>
    <m/>
    <n v="202506308135943"/>
    <n v="1413300003985"/>
    <n v="20250630"/>
    <x v="3"/>
    <m/>
    <s v="086 - ITALIA"/>
    <s v="D     - Dare"/>
    <n v="108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626"/>
    <s v="14"/>
    <s v="Operazione per conto di importo elevato per la causale ed il soggetto"/>
    <d v="2025-07-01T00:00:00"/>
    <n v="53850"/>
    <n v="99"/>
    <s v="053850_99"/>
    <s v="Discovery Day"/>
    <s v="Mai valutato"/>
    <m/>
    <n v="202506308138007"/>
    <n v="999361950301"/>
    <n v="20250630"/>
    <x v="1"/>
    <m/>
    <s v="086 - ITALIA"/>
    <s v="A     - Avere"/>
    <n v="4120000"/>
    <n v="0"/>
    <n v="3127396"/>
    <n v="80008870737"/>
    <s v="COMUNE DI PALAGIANO"/>
    <s v="173 - Amministrazioni comunali e unioni di comuni"/>
    <m/>
    <s v="086 - ITALIA"/>
    <n v="1627"/>
    <m/>
    <m/>
    <m/>
    <m/>
    <m/>
    <m/>
    <m/>
    <n v="0"/>
    <n v="202506"/>
    <s v="IN CARICO AL RESPONSABILE"/>
    <x v="1"/>
    <n v="1"/>
    <m/>
    <m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625"/>
    <s v="14"/>
    <s v="Operazione per conto di importo elevato per la causale ed il soggetto"/>
    <d v="2025-07-01T00:00:00"/>
    <n v="53850"/>
    <n v="188"/>
    <s v="053850_188"/>
    <s v="Discovery Day"/>
    <s v="Mai valutato"/>
    <m/>
    <n v="202506308137789"/>
    <n v="1883300059102"/>
    <n v="20250630"/>
    <x v="1"/>
    <m/>
    <s v="086 - ITALIA"/>
    <s v="A     - Avere"/>
    <n v="580000"/>
    <n v="0"/>
    <n v="3002280"/>
    <s v="RFFLGU51A01L049U"/>
    <s v="RUFFO LUIGI"/>
    <s v="600 - Famiglie consumatrici"/>
    <m/>
    <s v="086 - ITALIA"/>
    <n v="111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622"/>
    <s v="14"/>
    <s v="Operazione per conto di importo elevato per la causale ed il soggetto"/>
    <d v="2025-07-01T00:00:00"/>
    <n v="53850"/>
    <n v="286"/>
    <s v="053850_286"/>
    <s v="Discovery Day"/>
    <s v="Mai valutato"/>
    <m/>
    <n v="202506308141505"/>
    <n v="2863300003269"/>
    <n v="20250630"/>
    <x v="15"/>
    <m/>
    <m/>
    <s v="D     - Dare"/>
    <n v="625176.67000000004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09"/>
    <s v="14"/>
    <s v="Operazione per conto di importo elevato per la causale ed il soggetto"/>
    <d v="2025-07-01T00:00:00"/>
    <n v="53850"/>
    <n v="102"/>
    <s v="053850_102"/>
    <s v="Discovery Day"/>
    <s v="Mai valutato"/>
    <m/>
    <n v="202506308141571"/>
    <n v="1023308722935"/>
    <n v="20250630"/>
    <x v="3"/>
    <m/>
    <s v="086 - ITALIA"/>
    <s v="D     - Dare"/>
    <n v="200050"/>
    <n v="0"/>
    <n v="612137"/>
    <s v="LGGRMR61M57A225X"/>
    <s v="LEGGIADRO ROSA MARIA"/>
    <s v="600 - Famiglie consumatrici"/>
    <m/>
    <s v="086 - ITALIA"/>
    <n v="143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08"/>
    <s v="14"/>
    <s v="Operazione per conto di importo elevato per la causale ed il soggetto"/>
    <d v="2025-07-01T00:00:00"/>
    <n v="53850"/>
    <n v="122"/>
    <s v="053850_122"/>
    <s v="Discovery Day"/>
    <s v="Mai valutato"/>
    <m/>
    <n v="202506308138092"/>
    <n v="1223300001682"/>
    <n v="20250630"/>
    <x v="1"/>
    <m/>
    <s v="086 - ITALIA"/>
    <s v="A     - Avere"/>
    <n v="1223637.9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601"/>
    <s v="14"/>
    <s v="Operazione per conto di importo elevato per la causale ed il soggetto"/>
    <d v="2025-07-01T00:00:00"/>
    <n v="53850"/>
    <n v="121"/>
    <s v="053850_121"/>
    <s v="Discovery Day"/>
    <s v="Mai valutato"/>
    <m/>
    <n v="202506308137640"/>
    <n v="1213300002600"/>
    <n v="20250630"/>
    <x v="1"/>
    <m/>
    <s v="086 - ITALIA"/>
    <s v="A     - Avere"/>
    <n v="1250596.58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m/>
    <m/>
    <n v="0"/>
    <n v="463"/>
    <n v="430"/>
    <n v="43046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87"/>
    <s v="14"/>
    <s v="Operazione per conto di importo elevato per la causale ed il soggetto"/>
    <d v="2025-06-28T00:00:00"/>
    <n v="53850"/>
    <n v="286"/>
    <s v="053850_286"/>
    <s v="Discovery Day"/>
    <s v="Mai valutato"/>
    <m/>
    <n v="202506278131044"/>
    <n v="2863300010173"/>
    <n v="20250627"/>
    <x v="15"/>
    <m/>
    <m/>
    <s v="D     - Dare"/>
    <n v="200000"/>
    <n v="0"/>
    <n v="4991167"/>
    <s v="GVNGNN38H63C632J"/>
    <s v="GIOVINE GIOVANNA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86"/>
    <s v="14"/>
    <s v="Operazione per conto di importo elevato per la causale ed il soggetto"/>
    <d v="2025-06-28T00:00:00"/>
    <n v="53850"/>
    <n v="273"/>
    <s v="053850_273"/>
    <s v="Discovery Day"/>
    <s v="Mai valutato"/>
    <m/>
    <n v="202506278131102"/>
    <n v="2733300002304"/>
    <n v="20250627"/>
    <x v="0"/>
    <m/>
    <m/>
    <s v="D     - Dare"/>
    <n v="12891.47"/>
    <n v="0"/>
    <n v="1673037"/>
    <s v="SCRGPP65R16C298V"/>
    <s v="SCIARTILLI GIUSEPPE"/>
    <s v="600 - Famiglie consumatrici"/>
    <m/>
    <s v="086 - ITALIA"/>
    <n v="129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84"/>
    <s v="14"/>
    <s v="Operazione per conto di importo elevato per la causale ed il soggetto"/>
    <d v="2025-06-28T00:00:00"/>
    <n v="53850"/>
    <n v="284"/>
    <s v="053850_284"/>
    <s v="Discovery Day"/>
    <s v="Mai valutato"/>
    <m/>
    <s v="202506278779818L"/>
    <n v="2843300010620"/>
    <n v="20250627"/>
    <x v="0"/>
    <m/>
    <m/>
    <s v="D     - Dare"/>
    <n v="1078.5"/>
    <n v="0"/>
    <n v="3741186"/>
    <s v="DLNPLA71C58C632Z"/>
    <s v="DE LEONARDIS DI RUSCIO PAOL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83"/>
    <s v="14"/>
    <s v="Operazione per conto di importo elevato per la causale ed il soggetto"/>
    <d v="2025-06-28T00:00:00"/>
    <n v="53850"/>
    <n v="109"/>
    <s v="053850_109"/>
    <s v="Discovery Day"/>
    <s v="Mai valutato"/>
    <m/>
    <n v="202506278129390"/>
    <n v="1093306674001"/>
    <n v="20250627"/>
    <x v="1"/>
    <m/>
    <s v="086 - ITALIA"/>
    <s v="A     - Avere"/>
    <n v="70675.75"/>
    <n v="0"/>
    <n v="4125303"/>
    <s v="RCCNLN60L16A662C"/>
    <s v="RUCCIA NICOLA ANTONIO"/>
    <s v="615 - Altre famiglie produttrici"/>
    <s v="477 - COMMERCIO AL DETTAGLIO DI ALTRI PRODOTTI IN ESERCIZI SPECIALIZZATI"/>
    <s v="086 - ITALIA"/>
    <n v="783"/>
    <m/>
    <m/>
    <m/>
    <m/>
    <m/>
    <m/>
    <m/>
    <n v="0"/>
    <n v="202506"/>
    <s v="ARCHIVIATA"/>
    <x v="0"/>
    <n v="1"/>
    <m/>
    <m/>
    <n v="0"/>
    <n v="477"/>
    <n v="615"/>
    <n v="615477"/>
    <s v="Classe di rischio 6"/>
    <m/>
    <x v="6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82"/>
    <s v="14"/>
    <s v="Operazione per conto di importo elevato per la causale ed il soggetto"/>
    <d v="2025-06-28T00:00:00"/>
    <n v="53850"/>
    <n v="136"/>
    <s v="053850_136"/>
    <s v="Discovery Day"/>
    <s v="Mai valutato"/>
    <m/>
    <n v="202506278130294"/>
    <n v="1363300003325"/>
    <n v="20250627"/>
    <x v="12"/>
    <m/>
    <m/>
    <s v="D     - Dare"/>
    <n v="10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581"/>
    <s v="14"/>
    <s v="Operazione per conto di importo elevato per la causale ed il soggetto"/>
    <d v="2025-06-28T00:00:00"/>
    <n v="53850"/>
    <n v="103"/>
    <s v="053850_103"/>
    <s v="Discovery Day"/>
    <s v="Mai valutato"/>
    <m/>
    <n v="202506278131141"/>
    <n v="1035500406320"/>
    <n v="20250627"/>
    <x v="18"/>
    <m/>
    <m/>
    <s v="D     - Dare"/>
    <n v="190550"/>
    <n v="0"/>
    <n v="50918"/>
    <s v="LCRDNC40A63E155G"/>
    <s v="LUCARELLI DOMENIC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576"/>
    <s v="14"/>
    <s v="Operazione per conto di importo elevato per la causale ed il soggetto"/>
    <d v="2025-06-28T00:00:00"/>
    <n v="53850"/>
    <n v="102"/>
    <s v="053850_102"/>
    <s v="Discovery Day"/>
    <s v="Mai valutato"/>
    <m/>
    <n v="202506278128202"/>
    <n v="1023308719178"/>
    <n v="20250627"/>
    <x v="3"/>
    <m/>
    <s v="086 - ITALIA"/>
    <s v="D     - Dare"/>
    <n v="7000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6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75"/>
    <s v="14"/>
    <s v="Operazione per conto di importo elevato per la causale ed il soggetto"/>
    <d v="2025-06-28T00:00:00"/>
    <n v="53850"/>
    <n v="102"/>
    <s v="053850_102"/>
    <s v="Discovery Day"/>
    <s v="Mai valutato"/>
    <m/>
    <n v="202506278128139"/>
    <n v="1023308727124"/>
    <n v="20250627"/>
    <x v="3"/>
    <m/>
    <s v="086 - ITALIA"/>
    <s v="D     - Dare"/>
    <n v="1000000"/>
    <n v="0"/>
    <n v="4988668"/>
    <n v="8329460722"/>
    <s v="PARCO DEI MILLE SOCIETA' A RESPONSABILITA' L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74"/>
    <s v="14"/>
    <s v="Operazione per conto di importo elevato per la causale ed il soggetto"/>
    <d v="2025-06-28T00:00:00"/>
    <n v="53850"/>
    <n v="111"/>
    <s v="053850_111"/>
    <s v="Discovery Day"/>
    <s v="Mai valutato"/>
    <m/>
    <n v="202506278129866"/>
    <n v="1113304365120"/>
    <n v="20250627"/>
    <x v="10"/>
    <m/>
    <m/>
    <s v="A     - Avere"/>
    <n v="156622.06"/>
    <n v="0"/>
    <n v="436512"/>
    <s v="PRTFNC62L23E326P"/>
    <s v="PARATO FRANCESCO"/>
    <s v="600 - Famiglie consumatrici"/>
    <m/>
    <s v="086 - ITALIA"/>
    <n v="5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72"/>
    <s v="14"/>
    <s v="Operazione per conto di importo elevato per la causale ed il soggetto"/>
    <d v="2025-06-28T00:00:00"/>
    <n v="53850"/>
    <n v="286"/>
    <s v="053850_286"/>
    <s v="Discovery Day"/>
    <s v="Mai valutato"/>
    <m/>
    <n v="202506278131044"/>
    <n v="2863300010173"/>
    <n v="20250627"/>
    <x v="15"/>
    <m/>
    <m/>
    <s v="D     - Dare"/>
    <n v="200000"/>
    <n v="0"/>
    <n v="4991163"/>
    <s v="DCCVCN32D23M022U"/>
    <s v="DI CICCO VINCENZO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70"/>
    <s v="14"/>
    <s v="Operazione per conto di importo elevato per la causale ed il soggetto"/>
    <d v="2025-06-28T00:00:00"/>
    <n v="53850"/>
    <n v="114"/>
    <s v="053850_114"/>
    <s v="Discovery Day"/>
    <s v="Mai valutato"/>
    <m/>
    <n v="202506278130020"/>
    <n v="1143306282323"/>
    <n v="20250627"/>
    <x v="1"/>
    <m/>
    <s v="086 - ITALIA"/>
    <s v="A     - Avere"/>
    <n v="240203.57"/>
    <n v="0"/>
    <n v="4932408"/>
    <s v="RBRMPN81E68D643Y"/>
    <s v="ROBERTO MARIAPINA"/>
    <s v="600 - Famiglie consumatrici"/>
    <m/>
    <s v="086 - ITALIA"/>
    <n v="80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66"/>
    <s v="14"/>
    <s v="Operazione per conto di importo elevato per la causale ed il soggetto"/>
    <d v="2025-06-28T00:00:00"/>
    <n v="53850"/>
    <n v="273"/>
    <s v="053850_273"/>
    <s v="Discovery Day"/>
    <s v="Mai valutato"/>
    <m/>
    <n v="202506278128860"/>
    <n v="2733300004156"/>
    <n v="20250627"/>
    <x v="1"/>
    <m/>
    <s v="086 - ITALIA"/>
    <s v="A     - Avere"/>
    <n v="17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65"/>
    <s v="14"/>
    <s v="Operazione per conto di importo elevato per la causale ed il soggetto"/>
    <d v="2025-06-28T00:00:00"/>
    <n v="53850"/>
    <n v="99"/>
    <s v="053850_99"/>
    <s v="Discovery Day"/>
    <s v="Mai valutato"/>
    <m/>
    <n v="202506278131098"/>
    <n v="999361870311"/>
    <n v="20250627"/>
    <x v="1"/>
    <m/>
    <s v="086 - ITALIA"/>
    <s v="A     - Avere"/>
    <n v="3341017.6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63"/>
    <s v="14"/>
    <s v="Operazione per conto di importo elevato per la causale ed il soggetto"/>
    <d v="2025-06-28T00:00:00"/>
    <n v="53850"/>
    <n v="273"/>
    <s v="053850_273"/>
    <s v="Discovery Day"/>
    <s v="Mai valutato"/>
    <m/>
    <n v="202506278131102"/>
    <n v="2733300002304"/>
    <n v="20250627"/>
    <x v="0"/>
    <m/>
    <m/>
    <s v="D     - Dare"/>
    <n v="12891.47"/>
    <n v="0"/>
    <n v="1673038"/>
    <s v="VRGNNA68R48C298I"/>
    <s v="VIRGILIO ANNA"/>
    <s v="600 - Famiglie consumatrici"/>
    <m/>
    <s v="086 - ITALIA"/>
    <n v="129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57"/>
    <s v="14"/>
    <s v="Operazione per conto di importo elevato per la causale ed il soggetto"/>
    <d v="2025-06-28T00:00:00"/>
    <n v="53850"/>
    <n v="103"/>
    <s v="053850_103"/>
    <s v="Discovery Day"/>
    <s v="Mai valutato"/>
    <m/>
    <n v="202506278131141"/>
    <n v="1035500406320"/>
    <n v="20250627"/>
    <x v="18"/>
    <m/>
    <m/>
    <s v="D     - Dare"/>
    <n v="190550"/>
    <n v="0"/>
    <n v="446772"/>
    <s v="CSSGNN75C14A225B"/>
    <s v="CASSANO GIOVANNI"/>
    <s v="600 - Famiglie consumatrici"/>
    <m/>
    <s v="086 - ITALIA"/>
    <n v="165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556"/>
    <s v="14"/>
    <s v="Operazione per conto di importo elevato per la causale ed il soggetto"/>
    <d v="2025-06-28T00:00:00"/>
    <n v="53850"/>
    <n v="284"/>
    <s v="053850_284"/>
    <s v="Discovery Day"/>
    <s v="Mai valutato"/>
    <m/>
    <s v="202506278779818L"/>
    <n v="2843300010620"/>
    <n v="20250627"/>
    <x v="0"/>
    <m/>
    <m/>
    <s v="D     - Dare"/>
    <n v="1078.5"/>
    <n v="0"/>
    <n v="3720346"/>
    <s v="DLNNCC65C30B238L"/>
    <s v="DE LEONARDIS DI RUSCIO ENRICO CAMILLO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54"/>
    <s v="14"/>
    <s v="Operazione per conto di importo elevato per la causale ed il soggetto"/>
    <d v="2025-06-28T00:00:00"/>
    <n v="53850"/>
    <n v="273"/>
    <s v="053850_273"/>
    <s v="Discovery Day"/>
    <s v="Mai valutato"/>
    <m/>
    <n v="202506278128249"/>
    <n v="2733300004156"/>
    <n v="20250627"/>
    <x v="8"/>
    <m/>
    <m/>
    <s v="D     - Dare"/>
    <n v="1310102.8999999999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161775"/>
    <n v="1165920.4065"/>
    <n v="1170065.8130000001"/>
    <n v="1174211.2194999999"/>
    <n v="1178356.6259999999"/>
    <n v="1182502.0325"/>
    <n v="1186647.439"/>
    <n v="1190792.8455000001"/>
    <n v="1194938.2520000001"/>
    <n v="1199083.6584999999"/>
    <n v="1203229.0649999999"/>
    <n v="1207374.4715"/>
    <n v="1211519.878"/>
    <n v="1215665.2845000001"/>
    <n v="1219810.6910000001"/>
    <n v="1223956.0974999999"/>
    <n v="1228101.504"/>
    <n v="1232246.9105"/>
    <n v="1236392.317"/>
    <n v="1240537.7235000001"/>
    <n v="1244683.12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53"/>
    <s v="14"/>
    <s v="Operazione per conto di importo elevato per la causale ed il soggetto"/>
    <d v="2025-06-28T00:00:00"/>
    <n v="53850"/>
    <n v="226"/>
    <s v="053850_226"/>
    <s v="Discovery Day"/>
    <s v="Mai valutato"/>
    <m/>
    <n v="202506278127950"/>
    <n v="2263300011983"/>
    <n v="20250627"/>
    <x v="3"/>
    <m/>
    <s v="086 - ITALIA"/>
    <s v="D     - Dare"/>
    <n v="1785173.33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49"/>
    <s v="14"/>
    <s v="Operazione per conto di importo elevato per la causale ed il soggetto"/>
    <d v="2025-06-28T00:00:00"/>
    <n v="53850"/>
    <n v="187"/>
    <s v="053850_187"/>
    <s v="Discovery Day"/>
    <s v="Mai valutato"/>
    <m/>
    <n v="202506278128732"/>
    <n v="999361870311"/>
    <n v="20250627"/>
    <x v="3"/>
    <m/>
    <s v="086 - ITALIA"/>
    <s v="D     - Dare"/>
    <n v="1140733.72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8"/>
    <s v="14"/>
    <s v="Operazione per conto di importo elevato per la causale ed il soggetto"/>
    <d v="2025-06-28T00:00:00"/>
    <n v="53850"/>
    <n v="187"/>
    <s v="053850_187"/>
    <s v="Discovery Day"/>
    <s v="Mai valutato"/>
    <m/>
    <n v="202506268131070"/>
    <n v="999361870311"/>
    <n v="20250626"/>
    <x v="15"/>
    <m/>
    <m/>
    <s v="D     - Dare"/>
    <n v="1313815.3700000001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44"/>
    <s v="14"/>
    <s v="Operazione per conto di importo elevato per la causale ed il soggetto"/>
    <d v="2025-06-27T00:00:00"/>
    <n v="53850"/>
    <n v="192"/>
    <s v="053850_192"/>
    <s v="Discovery Day"/>
    <s v="Mai valutato"/>
    <m/>
    <n v="202506268125218"/>
    <n v="1923300182666"/>
    <n v="20250626"/>
    <x v="3"/>
    <m/>
    <s v="086 - ITALIA"/>
    <s v="D     - Dare"/>
    <n v="643365.12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2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518"/>
    <n v="999361870311"/>
    <n v="20250626"/>
    <x v="3"/>
    <m/>
    <s v="086 - ITALIA"/>
    <s v="D     - Dare"/>
    <n v="1501364.8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541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523"/>
    <n v="999361870311"/>
    <n v="20250626"/>
    <x v="3"/>
    <m/>
    <s v="086 - ITALIA"/>
    <s v="D     - Dare"/>
    <n v="1025096.37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0"/>
    <s v="14"/>
    <s v="Operazione per conto di importo elevato per la causale ed il soggetto"/>
    <d v="2025-06-27T00:00:00"/>
    <n v="53850"/>
    <n v="102"/>
    <s v="053850_102"/>
    <s v="Discovery Day"/>
    <s v="Mai valutato"/>
    <m/>
    <n v="202506268127412"/>
    <n v="1503300003329"/>
    <n v="20250626"/>
    <x v="3"/>
    <m/>
    <s v="086 - ITALIA"/>
    <s v="D     - Dare"/>
    <n v="670460.84"/>
    <n v="0"/>
    <n v="4981011"/>
    <n v="9320630966"/>
    <s v="OPEN FIBER S.P.A."/>
    <s v="430 - Imprese produttive"/>
    <s v="611 - TELECOMUNICAZIONI FISSE"/>
    <s v="086 - ITALIA"/>
    <n v="1203"/>
    <m/>
    <m/>
    <m/>
    <m/>
    <m/>
    <m/>
    <m/>
    <n v="0"/>
    <n v="202506"/>
    <s v="IN VALUTAZIONE RPR"/>
    <x v="1"/>
    <n v="1"/>
    <m/>
    <m/>
    <n v="0"/>
    <n v="611"/>
    <n v="430"/>
    <n v="43061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34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068"/>
    <n v="999361870311"/>
    <n v="20250626"/>
    <x v="8"/>
    <m/>
    <m/>
    <s v="D     - Dare"/>
    <n v="1274537.48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529"/>
    <s v="14"/>
    <s v="Operazione per conto di importo elevato per la causale ed il soggetto"/>
    <d v="2025-06-27T00:00:00"/>
    <n v="53850"/>
    <n v="271"/>
    <s v="053850_271"/>
    <s v="Discovery Day"/>
    <s v="Mai valutato"/>
    <m/>
    <s v="202506268706297L"/>
    <n v="2713300010109"/>
    <n v="20250626"/>
    <x v="0"/>
    <m/>
    <m/>
    <s v="D     - Dare"/>
    <n v="2371.4499999999998"/>
    <n v="0"/>
    <n v="1628583"/>
    <s v="NGLVTR47R29G141J"/>
    <s v="ANGELOZZI VITTORIO"/>
    <s v="600 - Famiglie consumatrici"/>
    <m/>
    <s v="086 - ITALIA"/>
    <n v="1850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28"/>
    <s v="14"/>
    <s v="Operazione per conto di importo elevato per la causale ed il soggetto"/>
    <d v="2025-06-27T00:00:00"/>
    <n v="53850"/>
    <n v="102"/>
    <s v="053850_102"/>
    <s v="Discovery Day"/>
    <s v="Mai valutato"/>
    <m/>
    <n v="202506268126658"/>
    <n v="1023308725044"/>
    <n v="20250626"/>
    <x v="1"/>
    <m/>
    <s v="086 - ITALIA"/>
    <s v="A     - Avere"/>
    <n v="283590.28000000003"/>
    <n v="0"/>
    <n v="4921"/>
    <s v="LRSMGR65H44A662X"/>
    <s v="LORUSSO MARIA GRAZI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523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5"/>
    <n v="1823300058518"/>
    <n v="20250626"/>
    <x v="3"/>
    <m/>
    <s v="086 - ITALIA"/>
    <s v="D     - Dare"/>
    <n v="1106190.6499999999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21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2"/>
    <n v="1823300058518"/>
    <n v="20250626"/>
    <x v="3"/>
    <m/>
    <s v="086 - ITALIA"/>
    <s v="D     - Dare"/>
    <n v="1110644.2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20"/>
    <s v="14"/>
    <s v="Operazione per conto di importo elevato per la causale ed il soggetto"/>
    <d v="2025-06-27T00:00:00"/>
    <n v="53850"/>
    <n v="271"/>
    <s v="053850_271"/>
    <s v="Discovery Day"/>
    <s v="Mai valutato"/>
    <m/>
    <s v="202506268706297L"/>
    <n v="2713300010109"/>
    <n v="20250626"/>
    <x v="0"/>
    <m/>
    <m/>
    <s v="D     - Dare"/>
    <n v="2371.4499999999998"/>
    <n v="0"/>
    <n v="1667399"/>
    <s v="DGVMHL54D64G141I"/>
    <s v="DI GIOVANNI MICHELI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19"/>
    <s v="14"/>
    <s v="Operazione per conto di importo elevato per la causale ed il soggetto"/>
    <d v="2025-06-27T00:00:00"/>
    <n v="53850"/>
    <n v="125"/>
    <s v="053850_125"/>
    <s v="Discovery Day"/>
    <s v="Mai valutato"/>
    <m/>
    <n v="202506268125272"/>
    <n v="1253300010268"/>
    <n v="20250626"/>
    <x v="3"/>
    <m/>
    <s v="086 - ITALIA"/>
    <s v="D     - Dare"/>
    <n v="900000"/>
    <n v="0"/>
    <n v="4568007"/>
    <n v="6398720968"/>
    <s v="UFM - UNIONE FARMACEUTICA MITO S.R.L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17"/>
    <s v="14"/>
    <s v="Operazione per conto di importo elevato per la causale ed il soggetto"/>
    <d v="2025-06-27T00:00:00"/>
    <n v="53850"/>
    <n v="106"/>
    <s v="053850_106"/>
    <s v="Discovery Day"/>
    <s v="Mai valutato"/>
    <m/>
    <n v="202506268125030"/>
    <n v="1063304957810"/>
    <n v="20250626"/>
    <x v="3"/>
    <m/>
    <s v="086 - ITALIA"/>
    <s v="D     - Dare"/>
    <n v="300000"/>
    <n v="0"/>
    <n v="495781"/>
    <s v="SLRFNC64L20F220T"/>
    <s v="SALERNO FRANCESCO"/>
    <s v="600 - Famiglie consumatrici"/>
    <m/>
    <s v="086 - ITALIA"/>
    <n v="1464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515"/>
    <s v="14"/>
    <s v="Operazione per conto di importo elevato per la causale ed il soggetto"/>
    <d v="2025-06-27T00:00:00"/>
    <n v="53850"/>
    <n v="141"/>
    <s v="053850_141"/>
    <s v="Discovery Day"/>
    <s v="Mai valutato"/>
    <m/>
    <n v="202506268126999"/>
    <n v="1413300003985"/>
    <n v="20250626"/>
    <x v="15"/>
    <m/>
    <m/>
    <s v="D     - Dare"/>
    <n v="3075625.82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513"/>
    <s v="14"/>
    <s v="Operazione per conto di importo elevato per la causale ed il soggetto"/>
    <d v="2025-06-27T00:00:00"/>
    <n v="53850"/>
    <n v="105"/>
    <s v="053850_105"/>
    <s v="Discovery Day"/>
    <s v="Mai valutato"/>
    <m/>
    <s v="202506268702896L"/>
    <n v="1053306291443"/>
    <n v="20250626"/>
    <x v="0"/>
    <m/>
    <m/>
    <s v="D     - Dare"/>
    <n v="1890.42"/>
    <n v="0"/>
    <n v="473244"/>
    <s v="CSTMRA40D66E038R"/>
    <s v="CASTELLANETA MARI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11"/>
    <s v="14"/>
    <s v="Operazione per conto di importo elevato per la causale ed il soggetto"/>
    <d v="2025-06-27T00:00:00"/>
    <n v="53850"/>
    <n v="102"/>
    <s v="053850_102"/>
    <s v="Discovery Day"/>
    <s v="Mai valutato"/>
    <m/>
    <n v="202506268127426"/>
    <n v="1023306275300"/>
    <n v="20250626"/>
    <x v="0"/>
    <m/>
    <m/>
    <s v="D     - Dare"/>
    <n v="6580.25"/>
    <n v="0"/>
    <n v="564336"/>
    <s v="SQCNLN32A11A225Q"/>
    <s v="SQUICCIARINI ANGELANTONIO"/>
    <s v="600 - Famiglie consumatrici"/>
    <m/>
    <s v="086 - ITALIA"/>
    <n v="63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509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3"/>
    <n v="1823300058518"/>
    <n v="20250626"/>
    <x v="3"/>
    <m/>
    <s v="086 - ITALIA"/>
    <s v="D     - Dare"/>
    <n v="1053360.8400000001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507"/>
    <s v="14"/>
    <s v="Operazione per conto di importo elevato per la causale ed il soggetto"/>
    <d v="2025-06-27T00:00:00"/>
    <n v="53850"/>
    <n v="286"/>
    <s v="053850_286"/>
    <s v="Discovery Day"/>
    <s v="Mai valutato"/>
    <m/>
    <n v="202506268125791"/>
    <n v="2863300003269"/>
    <n v="20250626"/>
    <x v="1"/>
    <m/>
    <s v="086 - ITALIA"/>
    <s v="A     - Avere"/>
    <n v="116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05"/>
    <s v="14"/>
    <s v="Operazione per conto di importo elevato per la causale ed il soggetto"/>
    <d v="2025-06-27T00:00:00"/>
    <n v="53850"/>
    <n v="103"/>
    <s v="053850_103"/>
    <s v="Discovery Day"/>
    <s v="Mai valutato"/>
    <m/>
    <n v="202506268127438"/>
    <n v="1033306986134"/>
    <n v="20250626"/>
    <x v="3"/>
    <m/>
    <s v="086 - ITALIA"/>
    <s v="D     - Dare"/>
    <n v="100000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6"/>
    <s v="IN CARICO AL GESTORE"/>
    <x v="1"/>
    <n v="1"/>
    <m/>
    <m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03"/>
    <s v="14"/>
    <s v="Operazione per conto di importo elevato per la causale ed il soggetto"/>
    <d v="2025-06-26T00:00:00"/>
    <n v="53850"/>
    <n v="108"/>
    <s v="053850_108"/>
    <s v="Discovery Day"/>
    <s v="Mai valutato"/>
    <m/>
    <n v="202506268124008"/>
    <n v="1085500039514"/>
    <n v="20250626"/>
    <x v="18"/>
    <m/>
    <m/>
    <s v="D     - Dare"/>
    <n v="198093.34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502"/>
    <s v="14"/>
    <s v="Operazione per conto di importo elevato per la causale ed il soggetto"/>
    <d v="2025-06-26T00:00:00"/>
    <n v="53850"/>
    <n v="108"/>
    <s v="053850_108"/>
    <s v="Discovery Day"/>
    <s v="Mai valutato"/>
    <m/>
    <n v="202506268124008"/>
    <n v="1085500039514"/>
    <n v="20250626"/>
    <x v="18"/>
    <m/>
    <m/>
    <s v="D     - Dare"/>
    <n v="198093.34"/>
    <n v="0"/>
    <n v="426147"/>
    <s v="MNSPDN34T55F915F"/>
    <s v="MANSUETO PRUDENZI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501"/>
    <s v="14"/>
    <s v="Operazione per conto di importo elevato per la causale ed il soggetto"/>
    <d v="2025-06-26T00:00:00"/>
    <n v="53850"/>
    <n v="188"/>
    <s v="053850_188"/>
    <s v="Discovery Day"/>
    <s v="Mai valutato"/>
    <m/>
    <s v="202506258689953L"/>
    <n v="1883300141277"/>
    <n v="20250625"/>
    <x v="0"/>
    <m/>
    <m/>
    <s v="D     - Dare"/>
    <n v="1078.94"/>
    <n v="1078.94"/>
    <n v="3185802"/>
    <s v="SPCDNL74P02E205N"/>
    <s v="SPECCHIA DANIELE"/>
    <s v="600 - Famiglie consumatrici"/>
    <m/>
    <s v="086 - ITALIA"/>
    <n v="424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00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6"/>
    <s v="ZNNRTI58P45E372D"/>
    <s v="ZINNI RIT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95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7"/>
    <s v="ZNNGPP53C59E372U"/>
    <s v="ZINNI GIUSEPPI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92"/>
    <s v="14"/>
    <s v="Operazione per conto di importo elevato per la causale ed il soggetto"/>
    <d v="2025-06-26T00:00:00"/>
    <n v="53850"/>
    <n v="148"/>
    <s v="053850_148"/>
    <s v="Discovery Day"/>
    <s v="Mai valutato"/>
    <m/>
    <n v="202506258123636"/>
    <n v="1483300003701"/>
    <n v="20250625"/>
    <x v="1"/>
    <m/>
    <s v="086 - ITALIA"/>
    <s v="A     - Avere"/>
    <n v="1000000"/>
    <n v="0"/>
    <n v="2001293"/>
    <s v="BBTSVT57P28D386J"/>
    <s v="ABBATIELLO SALVATORE"/>
    <s v="600 - Famiglie consumatrici"/>
    <m/>
    <s v="086 - ITALIA"/>
    <n v="163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91"/>
    <s v="14"/>
    <s v="Operazione per conto di importo elevato per la causale ed il soggetto"/>
    <d v="2025-06-26T00:00:00"/>
    <n v="53850"/>
    <n v="286"/>
    <s v="053850_286"/>
    <s v="Discovery Day"/>
    <s v="Mai valutato"/>
    <m/>
    <n v="202506258124486"/>
    <n v="2863300003269"/>
    <n v="20250625"/>
    <x v="6"/>
    <m/>
    <m/>
    <s v="D     - Dare"/>
    <n v="310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490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71175"/>
    <s v="TTVLTN40C41L459P"/>
    <s v="OTTAVIANO ELENTI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9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9"/>
    <s v="ZNNMGR49R59E372T"/>
    <s v="ZINNI MARIA GRAZI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88"/>
    <s v="14"/>
    <s v="Operazione per conto di importo elevato per la causale ed il soggetto"/>
    <d v="2025-06-26T00:00:00"/>
    <n v="53850"/>
    <n v="261"/>
    <s v="053850_261"/>
    <s v="Discovery Day"/>
    <s v="Mai valutato"/>
    <m/>
    <s v="202506258689728L"/>
    <n v="2613300000293"/>
    <n v="20250625"/>
    <x v="0"/>
    <m/>
    <m/>
    <s v="A     - Avere"/>
    <n v="2315.1999999999998"/>
    <n v="0"/>
    <n v="1604757"/>
    <n v="81180945"/>
    <s v="DI IORIO SOCIETA' PER AZIONI"/>
    <s v="430 - Imprese produttive"/>
    <s v="110 - INDUSTRIA DELLE BEVANDE"/>
    <s v="086 - ITALIA"/>
    <n v="1856"/>
    <m/>
    <m/>
    <m/>
    <m/>
    <m/>
    <m/>
    <m/>
    <n v="0"/>
    <n v="202506"/>
    <s v="IN CARICO AL GESTORE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86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25597"/>
    <s v="GSPLNZ71H19E372Q"/>
    <s v="GASPARI LORENZO"/>
    <s v="600 - Famiglie consumatrici"/>
    <m/>
    <s v="086 - ITALIA"/>
    <n v="1838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5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74203"/>
    <s v="GSPNRT66M48E372F"/>
    <s v="GASPARI ANNA RIT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2"/>
    <s v="14"/>
    <s v="Operazione per conto di importo elevato per la causale ed il soggetto"/>
    <d v="2025-06-26T00:00:00"/>
    <n v="53850"/>
    <n v="261"/>
    <s v="053850_261"/>
    <s v="Discovery Day"/>
    <s v="Mai valutato"/>
    <m/>
    <s v="202506258689729L"/>
    <n v="2613300000293"/>
    <n v="20250625"/>
    <x v="0"/>
    <m/>
    <m/>
    <s v="A     - Avere"/>
    <n v="2938.17"/>
    <n v="0"/>
    <n v="1604757"/>
    <n v="81180945"/>
    <s v="DI IORIO SOCIETA' PER AZIONI"/>
    <s v="430 - Imprese produttive"/>
    <s v="110 - INDUSTRIA DELLE BEVANDE"/>
    <s v="086 - ITALIA"/>
    <n v="1856"/>
    <m/>
    <m/>
    <m/>
    <m/>
    <m/>
    <m/>
    <m/>
    <n v="0"/>
    <n v="202506"/>
    <s v="IN CARICO AL GESTORE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81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5"/>
    <s v="ZNNLNE47L49E372D"/>
    <s v="ZINNI ELE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79"/>
    <s v="14"/>
    <s v="Operazione per conto di importo elevato per la causale ed il soggetto"/>
    <d v="2025-06-26T00:00:00"/>
    <n v="53850"/>
    <n v="286"/>
    <s v="053850_286"/>
    <s v="Discovery Day"/>
    <s v="Mai valutato"/>
    <m/>
    <n v="202506258123522"/>
    <n v="2863300010173"/>
    <n v="20250625"/>
    <x v="1"/>
    <m/>
    <s v="086 - ITALIA"/>
    <s v="A     - Avere"/>
    <n v="406362.91"/>
    <n v="0"/>
    <n v="4991163"/>
    <s v="DCCVCN32D23M022U"/>
    <s v="DI CICCO VINCENZO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76"/>
    <s v="14"/>
    <s v="Operazione per conto di importo elevato per la causale ed il soggetto"/>
    <d v="2025-06-26T00:00:00"/>
    <n v="53850"/>
    <n v="148"/>
    <s v="053850_148"/>
    <s v="Discovery Day"/>
    <s v="Mai valutato"/>
    <m/>
    <n v="202506258123250"/>
    <n v="1483300006143"/>
    <n v="20250625"/>
    <x v="10"/>
    <m/>
    <m/>
    <s v="A     - Avere"/>
    <n v="245703.4"/>
    <n v="0"/>
    <n v="3744528"/>
    <s v="CRFMRA69S59I233K"/>
    <s v="CARFORA MARIA"/>
    <s v="600 - Famiglie consumatrici"/>
    <m/>
    <s v="086 - ITALIA"/>
    <n v="1064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5"/>
    <s v="14"/>
    <s v="Operazione per conto di importo elevato per la causale ed il soggetto"/>
    <d v="2025-06-26T00:00:00"/>
    <n v="53850"/>
    <n v="182"/>
    <s v="053850_182"/>
    <s v="Discovery Day"/>
    <s v="Mai valutato"/>
    <m/>
    <n v="202506258123565"/>
    <n v="1823300072312"/>
    <n v="20250625"/>
    <x v="1"/>
    <m/>
    <s v="086 - ITALIA"/>
    <s v="A     - Avere"/>
    <n v="1121842.5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2"/>
    <s v="14"/>
    <s v="Operazione per conto di importo elevato per la causale ed il soggetto"/>
    <d v="2025-06-26T00:00:00"/>
    <n v="53850"/>
    <n v="274"/>
    <s v="053850_274"/>
    <s v="Discovery Day"/>
    <s v="Mai valutato"/>
    <m/>
    <n v="202506258124976"/>
    <n v="2743300001958"/>
    <n v="20250625"/>
    <x v="9"/>
    <m/>
    <m/>
    <s v="D     - Dare"/>
    <n v="233000"/>
    <n v="0"/>
    <n v="1624261"/>
    <s v="PTTNDR89S12C632O"/>
    <s v="PIATTELLI ANDREA"/>
    <s v="600 - Famiglie consumatrici"/>
    <m/>
    <s v="086 - ITALIA"/>
    <n v="1859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1"/>
    <s v="14"/>
    <s v="Operazione per conto di importo elevato per la causale ed il soggetto"/>
    <d v="2025-06-26T00:00:00"/>
    <n v="53850"/>
    <n v="103"/>
    <s v="053850_103"/>
    <s v="Discovery Day"/>
    <s v="Mai valutato"/>
    <m/>
    <s v="202506258683964L"/>
    <n v="1033306978965"/>
    <n v="20250625"/>
    <x v="0"/>
    <m/>
    <m/>
    <s v="D     - Dare"/>
    <n v="4500.3599999999997"/>
    <n v="0"/>
    <n v="4938377"/>
    <s v="LDDGNZ01M23A225K"/>
    <s v="LADDAGA IGNAZIO"/>
    <s v="600 - Famiglie consumatrici"/>
    <m/>
    <s v="086 - ITALIA"/>
    <n v="109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70"/>
    <s v="14"/>
    <s v="Operazione per conto di importo elevato per la causale ed il soggetto"/>
    <d v="2025-06-26T00:00:00"/>
    <n v="53850"/>
    <n v="286"/>
    <s v="053850_286"/>
    <s v="Discovery Day"/>
    <s v="Mai valutato"/>
    <m/>
    <n v="202506258123522"/>
    <n v="2863300010173"/>
    <n v="20250625"/>
    <x v="1"/>
    <m/>
    <s v="086 - ITALIA"/>
    <s v="A     - Avere"/>
    <n v="406362.91"/>
    <n v="0"/>
    <n v="4991167"/>
    <s v="GVNGNN38H63C632J"/>
    <s v="GIOVINE GIOVANNA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63"/>
    <s v="14"/>
    <s v="Operazione per conto di importo elevato per la causale ed il soggetto"/>
    <d v="2025-06-25T00:00:00"/>
    <n v="53850"/>
    <n v="149"/>
    <s v="053850_149"/>
    <s v="Discovery Day"/>
    <s v="Mai valutato"/>
    <m/>
    <n v="202506258121147"/>
    <n v="1490050026458"/>
    <n v="20250625"/>
    <x v="26"/>
    <m/>
    <m/>
    <s v="D     - Da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61"/>
    <s v="14"/>
    <s v="Operazione per conto di importo elevato per la causale ed il soggetto"/>
    <d v="2025-06-25T00:00:00"/>
    <n v="53850"/>
    <n v="109"/>
    <s v="053850_109"/>
    <s v="Discovery Day"/>
    <s v="Mai valutato"/>
    <m/>
    <s v="202506248613458L"/>
    <n v="1093306671600"/>
    <n v="20250624"/>
    <x v="0"/>
    <m/>
    <m/>
    <s v="D     - Dare"/>
    <n v="4104.33"/>
    <n v="0"/>
    <n v="4234577"/>
    <s v="MNTMSM63H23A662V"/>
    <s v="MONTAGNA MASSIMO"/>
    <s v="600 - Famiglie consumatrici"/>
    <m/>
    <s v="086 - ITALIA"/>
    <n v="92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58"/>
    <s v="14"/>
    <s v="Operazione per conto di importo elevato per la causale ed il soggetto"/>
    <d v="2025-06-25T00:00:00"/>
    <n v="53850"/>
    <n v="110"/>
    <s v="053850_110"/>
    <s v="Discovery Day"/>
    <s v="Mai valutato"/>
    <m/>
    <n v="202506248120533"/>
    <n v="1103306283873"/>
    <n v="20250624"/>
    <x v="1"/>
    <m/>
    <s v="086 - ITALIA"/>
    <s v="A     - Avere"/>
    <n v="251954.41"/>
    <n v="0"/>
    <n v="593634"/>
    <s v="PLLFNC61R19A669D"/>
    <s v="PALLADINO FRANCESCO"/>
    <s v="600 - Famiglie consumatrici"/>
    <m/>
    <s v="086 - ITALIA"/>
    <n v="190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455"/>
    <s v="14"/>
    <s v="Operazione per conto di importo elevato per la causale ed il soggetto"/>
    <d v="2025-06-25T00:00:00"/>
    <n v="53850"/>
    <n v="282"/>
    <s v="053850_282"/>
    <s v="Discovery Day"/>
    <s v="Mai valutato"/>
    <m/>
    <n v="202506248122205"/>
    <n v="2823300001940"/>
    <n v="20250624"/>
    <x v="9"/>
    <m/>
    <m/>
    <s v="D     - Dare"/>
    <n v="375000"/>
    <n v="0"/>
    <n v="1678407"/>
    <s v="SPNPPS69H21C632V"/>
    <s v="SPINELLI PAOLO PASQUALE ANGELO"/>
    <s v="600 - Famiglie consumatrici"/>
    <m/>
    <s v="086 - ITALIA"/>
    <n v="175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47"/>
    <s v="14"/>
    <s v="Operazione per conto di importo elevato per la causale ed il soggetto"/>
    <d v="2025-06-25T00:00:00"/>
    <n v="53850"/>
    <n v="114"/>
    <s v="053850_114"/>
    <s v="Discovery Day"/>
    <s v="Mai valutato"/>
    <m/>
    <s v="202506248613374L"/>
    <n v="1143306285236"/>
    <n v="20250624"/>
    <x v="0"/>
    <m/>
    <m/>
    <s v="D     - Dare"/>
    <n v="2061.9499999999998"/>
    <n v="0"/>
    <n v="3742678"/>
    <n v="3261830719"/>
    <s v="FALLIMENTO M.G.BRACCIA DI BRACCIA RAFFAELLA"/>
    <s v="501 - Istituzioni ed enti con finalita' di assistenza, beneficenza, istruzione, culturali, sindacali, politiche, sportive, ricreative e simili"/>
    <s v="473 - COMMERCIO AL DETTAGLIO DI CARBURANTE PER AUTOTRAZIONE IN ESERCIZI SPECIALIZZATI"/>
    <s v="086 - ITALIA"/>
    <m/>
    <m/>
    <m/>
    <m/>
    <m/>
    <m/>
    <m/>
    <m/>
    <n v="0"/>
    <n v="202506"/>
    <s v="ARCHIVIATA DA RPR"/>
    <x v="0"/>
    <n v="1"/>
    <m/>
    <m/>
    <n v="1"/>
    <n v="999"/>
    <n v="501"/>
    <n v="501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42"/>
    <s v="14"/>
    <s v="Operazione per conto di importo elevato per la causale ed il soggetto"/>
    <d v="2025-06-25T00:00:00"/>
    <n v="53850"/>
    <n v="102"/>
    <s v="053850_102"/>
    <s v="Discovery Day"/>
    <s v="Mai valutato"/>
    <m/>
    <n v="202506248120407"/>
    <n v="1023308719030"/>
    <n v="20250624"/>
    <x v="1"/>
    <m/>
    <s v="086 - ITALIA"/>
    <s v="A     - Avere"/>
    <n v="3752113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441"/>
    <s v="14"/>
    <s v="Operazione per conto di importo elevato per la causale ed il soggetto"/>
    <d v="2025-06-25T00:00:00"/>
    <n v="53850"/>
    <n v="147"/>
    <s v="053850_147"/>
    <s v="Discovery Day"/>
    <s v="Mai valutato"/>
    <m/>
    <n v="202506248121918"/>
    <n v="1473300000701"/>
    <n v="20250624"/>
    <x v="3"/>
    <m/>
    <s v="086 - ITALIA"/>
    <s v="D     - Dare"/>
    <n v="500000"/>
    <n v="0"/>
    <n v="4329128"/>
    <s v="SNTMNN64E54B963F"/>
    <s v="SANTORO MARIA ANNA"/>
    <s v="600 - Famiglie consumatrici"/>
    <m/>
    <s v="086 - ITALIA"/>
    <n v="142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40"/>
    <s v="14"/>
    <s v="Operazione per conto di importo elevato per la causale ed il soggetto"/>
    <d v="2025-06-25T00:00:00"/>
    <n v="53850"/>
    <n v="109"/>
    <s v="053850_109"/>
    <s v="Discovery Day"/>
    <s v="Mai valutato"/>
    <m/>
    <s v="202506248613458L"/>
    <n v="1093306671600"/>
    <n v="20250624"/>
    <x v="0"/>
    <m/>
    <m/>
    <s v="D     - Dare"/>
    <n v="4104.33"/>
    <n v="0"/>
    <n v="4482499"/>
    <s v="DDNLBA26M54E815R"/>
    <s v="DE DONNO ALBA"/>
    <s v="600 - Famiglie consumatrici"/>
    <m/>
    <s v="086 - ITALIA"/>
    <n v="143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39"/>
    <s v="14"/>
    <s v="Operazione per conto di importo elevato per la causale ed il soggetto"/>
    <d v="2025-06-25T00:00:00"/>
    <n v="53850"/>
    <n v="147"/>
    <s v="053850_147"/>
    <s v="Discovery Day"/>
    <s v="Mai valutato"/>
    <m/>
    <n v="202506248121918"/>
    <n v="1473300000701"/>
    <n v="20250624"/>
    <x v="3"/>
    <m/>
    <s v="086 - ITALIA"/>
    <s v="D     - Dare"/>
    <n v="500000"/>
    <n v="0"/>
    <n v="4329168"/>
    <s v="MRTFNC66H27B963M"/>
    <s v="MARTUCCI FRANCESCO"/>
    <s v="600 - Famiglie consumatrici"/>
    <m/>
    <s v="086 - ITALIA"/>
    <n v="142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38"/>
    <s v="14"/>
    <s v="Operazione per conto di importo elevato per la causale ed il soggetto"/>
    <d v="2025-06-25T00:00:00"/>
    <n v="53850"/>
    <n v="286"/>
    <s v="053850_286"/>
    <s v="Discovery Day"/>
    <s v="Mai valutato"/>
    <m/>
    <n v="202506248120648"/>
    <n v="2863300013709"/>
    <n v="20250624"/>
    <x v="1"/>
    <m/>
    <s v="086 - ITALIA"/>
    <s v="A     - Avere"/>
    <n v="1664495.23"/>
    <n v="0"/>
    <n v="3740066"/>
    <n v="2140150687"/>
    <s v="ESA SERVICE 24H SRL"/>
    <s v="430 - Imprese produttive"/>
    <s v="432 - INSTALLAZIONE DI IMPIANTI ELETTRICI, IDRAULICI ED ALTRI LAVORI DI COSTRUZIONE E INSTALLAZIONE"/>
    <s v="086 - ITALIA"/>
    <n v="1877"/>
    <m/>
    <m/>
    <m/>
    <m/>
    <m/>
    <m/>
    <m/>
    <n v="0"/>
    <n v="202506"/>
    <s v="IN CARICO AL GESTORE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37"/>
    <s v="14"/>
    <s v="Operazione per conto di importo elevato per la causale ed il soggetto"/>
    <d v="2025-06-25T00:00:00"/>
    <n v="53850"/>
    <n v="105"/>
    <s v="053850_105"/>
    <s v="Discovery Day"/>
    <s v="Mai valutato"/>
    <m/>
    <n v="202506248119433"/>
    <n v="1053306287103"/>
    <n v="20250624"/>
    <x v="3"/>
    <m/>
    <s v="086 - ITALIA"/>
    <s v="D     - Dare"/>
    <n v="1700000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36"/>
    <s v="14"/>
    <s v="Operazione per conto di importo elevato per la causale ed il soggetto"/>
    <d v="2025-06-25T00:00:00"/>
    <n v="53850"/>
    <n v="286"/>
    <s v="053850_286"/>
    <s v="Discovery Day"/>
    <s v="Mai valutato"/>
    <m/>
    <n v="202506248119903"/>
    <n v="2863300013638"/>
    <n v="20250624"/>
    <x v="3"/>
    <m/>
    <s v="086 - ITALIA"/>
    <s v="D     - Dare"/>
    <n v="6460000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6"/>
    <s v="IN CARICO AL GESTORE"/>
    <x v="1"/>
    <n v="1"/>
    <m/>
    <m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32"/>
    <s v="14"/>
    <s v="Operazione per conto di importo elevato per la causale ed il soggetto"/>
    <d v="2025-06-25T00:00:00"/>
    <n v="53850"/>
    <n v="116"/>
    <s v="053850_116"/>
    <s v="Discovery Day"/>
    <s v="Mai valutato"/>
    <m/>
    <s v="202506248613384L"/>
    <n v="1163300004979"/>
    <n v="20250624"/>
    <x v="0"/>
    <m/>
    <m/>
    <s v="D     - Dare"/>
    <n v="3558.69"/>
    <n v="0"/>
    <n v="4464119"/>
    <s v="CPRLCU41B68A662V"/>
    <s v="CAPRIATI LUCIA"/>
    <s v="600 - Famiglie consumatrici"/>
    <m/>
    <s v="086 - ITALIA"/>
    <n v="80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430"/>
    <s v="14"/>
    <s v="Operazione per conto di importo elevato per la causale ed il soggetto"/>
    <d v="2025-06-25T00:00:00"/>
    <n v="53850"/>
    <n v="271"/>
    <s v="053850_271"/>
    <s v="Discovery Day"/>
    <s v="Mai valutato"/>
    <m/>
    <n v="202506248122178"/>
    <n v="2713300000594"/>
    <n v="20250624"/>
    <x v="3"/>
    <m/>
    <s v="086 - ITALIA"/>
    <s v="D     - Dare"/>
    <n v="247500"/>
    <n v="0"/>
    <n v="1614121"/>
    <s v="DZITRP65D29G141X"/>
    <s v="DI ZIO ETTORE PAOLO"/>
    <s v="600 - Famiglie consumatrici"/>
    <m/>
    <s v="086 - ITALIA"/>
    <n v="1800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28"/>
    <s v="14"/>
    <s v="Operazione per conto di importo elevato per la causale ed il soggetto"/>
    <d v="2025-06-25T00:00:00"/>
    <n v="53850"/>
    <n v="198"/>
    <s v="053850_198"/>
    <s v="Discovery Day"/>
    <s v="Mai valutato"/>
    <m/>
    <n v="202506248122105"/>
    <n v="1983300003447"/>
    <n v="20250624"/>
    <x v="0"/>
    <m/>
    <m/>
    <s v="D     - Dare"/>
    <n v="10636.81"/>
    <n v="0"/>
    <n v="4988718"/>
    <s v="SIUDNC31S01I158J"/>
    <s v="IUSO DOMENICO"/>
    <s v="600 - Famiglie consumatrici"/>
    <m/>
    <s v="086 - ITALIA"/>
    <n v="171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27"/>
    <s v="14"/>
    <s v="Operazione per conto di importo elevato per la causale ed il soggetto"/>
    <d v="2025-06-25T00:00:00"/>
    <n v="53850"/>
    <n v="116"/>
    <s v="053850_116"/>
    <s v="Discovery Day"/>
    <s v="Mai valutato"/>
    <m/>
    <s v="202506248613384L"/>
    <n v="1163300004979"/>
    <n v="20250624"/>
    <x v="0"/>
    <m/>
    <m/>
    <s v="D     - Dare"/>
    <n v="3558.69"/>
    <n v="0"/>
    <n v="4221113"/>
    <s v="RBNVLR76L46E882X"/>
    <s v="URBANO VALERIA"/>
    <s v="600 - Famiglie consumatrici"/>
    <m/>
    <s v="086 - ITALIA"/>
    <n v="90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424"/>
    <s v="14"/>
    <s v="Operazione per conto di importo elevato per la causale ed il soggetto"/>
    <d v="2025-06-24T00:00:00"/>
    <n v="53850"/>
    <n v="268"/>
    <s v="053850_268"/>
    <s v="Discovery Day"/>
    <s v="Mai valutato"/>
    <m/>
    <n v="202506238119181"/>
    <n v="2683300002901"/>
    <n v="20250623"/>
    <x v="22"/>
    <m/>
    <m/>
    <s v="A     - Avere"/>
    <n v="180000"/>
    <n v="0"/>
    <n v="1639443"/>
    <s v="STNLBT35A71I350S"/>
    <s v="STINA' ELISABETTA"/>
    <s v="600 - Famiglie consumatrici"/>
    <m/>
    <s v="086 - ITALIA"/>
    <n v="175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23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3"/>
    <m/>
    <s v="086 - ITALIA"/>
    <s v="D     - Dare"/>
    <n v="202500"/>
    <n v="0"/>
    <n v="3742155"/>
    <s v="RVTCLD02H49G141D"/>
    <s v="ROVITO FORQUET FAMIGLIETTI CLAUDI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16"/>
    <s v="14"/>
    <s v="Operazione per conto di importo elevato per la causale ed il soggetto"/>
    <d v="2025-06-24T00:00:00"/>
    <n v="53850"/>
    <n v="102"/>
    <s v="053850_102"/>
    <s v="Discovery Day"/>
    <s v="Mai valutato"/>
    <m/>
    <n v="202506238116309"/>
    <n v="1023304132020"/>
    <n v="20250623"/>
    <x v="3"/>
    <m/>
    <s v="086 - ITALIA"/>
    <s v="D     - Dare"/>
    <n v="603405.71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6"/>
    <s v="IN CARICO AL GESTORE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15"/>
    <s v="14"/>
    <s v="Operazione per conto di importo elevato per la causale ed il soggetto"/>
    <d v="2025-06-24T00:00:00"/>
    <n v="53850"/>
    <n v="141"/>
    <s v="053850_141"/>
    <s v="Discovery Day"/>
    <s v="Mai valutato"/>
    <m/>
    <n v="202506238117465"/>
    <n v="1413300003985"/>
    <n v="20250623"/>
    <x v="1"/>
    <m/>
    <s v="086 - ITALIA"/>
    <s v="A     - Avere"/>
    <n v="2756426.06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14"/>
    <s v="14"/>
    <s v="Operazione per conto di importo elevato per la causale ed il soggetto"/>
    <d v="2025-06-24T00:00:00"/>
    <n v="53850"/>
    <n v="181"/>
    <s v="053850_181"/>
    <s v="Discovery Day"/>
    <s v="Mai valutato"/>
    <m/>
    <s v="202506238556055L"/>
    <n v="1813301029046"/>
    <n v="20250623"/>
    <x v="0"/>
    <m/>
    <m/>
    <s v="D     - Dare"/>
    <n v="1647.47"/>
    <n v="0"/>
    <n v="4057879"/>
    <s v="DLSNGL68R54D643N"/>
    <s v="D'ALESSANDRO ANGELA"/>
    <s v="600 - Famiglie consumatrici"/>
    <m/>
    <s v="086 - ITALIA"/>
    <n v="1624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12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555076"/>
    <s v="ZCCCMD49D15B619A"/>
    <s v="ZACCARO COSIMO DAMIANO"/>
    <s v="600 - Famiglie consumatrici"/>
    <m/>
    <s v="086 - ITALIA"/>
    <n v="142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11"/>
    <s v="14"/>
    <s v="Operazione per conto di importo elevato per la causale ed il soggetto"/>
    <d v="2025-06-24T00:00:00"/>
    <n v="53850"/>
    <n v="168"/>
    <s v="053850_168"/>
    <s v="Discovery Day"/>
    <s v="Mai valutato"/>
    <m/>
    <n v="202506238119002"/>
    <n v="1683306276854"/>
    <n v="20250623"/>
    <x v="0"/>
    <m/>
    <m/>
    <s v="D     - Dare"/>
    <n v="21701.17"/>
    <n v="0"/>
    <n v="589733"/>
    <s v="CLMVMR63B53Z133Z"/>
    <s v="COLAMONACO VITA MARIA"/>
    <s v="600 - Famiglie consumatrici"/>
    <m/>
    <s v="086 - ITALIA"/>
    <n v="131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410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3"/>
    <m/>
    <s v="086 - ITALIA"/>
    <s v="D     - Dare"/>
    <n v="202500"/>
    <n v="0"/>
    <n v="1611691"/>
    <s v="FRQLCU62P45F839B"/>
    <s v="FORQUET FAMIGLIETTI LUCIA"/>
    <s v="600 - Famiglie consumatrici"/>
    <m/>
    <s v="086 - ITALIA"/>
    <n v="1803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08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3"/>
    <m/>
    <s v="086 - ITALIA"/>
    <s v="D     - Dare"/>
    <n v="202500"/>
    <n v="0"/>
    <n v="3742155"/>
    <s v="RVTCLD02H49G141D"/>
    <s v="ROVITO FORQUET FAMIGLIETTI CLAUDI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04"/>
    <s v="14"/>
    <s v="Operazione per conto di importo elevato per la causale ed il soggetto"/>
    <d v="2025-06-24T00:00:00"/>
    <n v="53850"/>
    <n v="132"/>
    <s v="053850_132"/>
    <s v="Discovery Day"/>
    <s v="Mai valutato"/>
    <m/>
    <n v="202506238118206"/>
    <n v="1323300001591"/>
    <n v="20250623"/>
    <x v="15"/>
    <m/>
    <m/>
    <s v="D     - Dare"/>
    <n v="160000"/>
    <n v="0"/>
    <n v="4325549"/>
    <s v="TFRFMN75H52A942M"/>
    <s v="TUFARO FILOMENA"/>
    <s v="600 - Famiglie consumatrici"/>
    <m/>
    <s v="086 - ITALIA"/>
    <n v="195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03"/>
    <s v="14"/>
    <s v="Operazione per conto di importo elevato per la causale ed il soggetto"/>
    <d v="2025-06-24T00:00:00"/>
    <n v="53850"/>
    <n v="266"/>
    <s v="053850_266"/>
    <s v="Discovery Day"/>
    <s v="Mai valutato"/>
    <m/>
    <n v="202506238118644"/>
    <n v="2663300000906"/>
    <n v="20250623"/>
    <x v="0"/>
    <m/>
    <m/>
    <s v="D     - Dare"/>
    <n v="9464.8799999999992"/>
    <n v="0"/>
    <n v="1704324"/>
    <s v="BRBGTN40P28B169H"/>
    <s v="BARBIERI GAETANO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01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3"/>
    <m/>
    <s v="086 - ITALIA"/>
    <s v="D     - Dare"/>
    <n v="202500"/>
    <n v="0"/>
    <n v="3742655"/>
    <s v="RVTLSN89D57G141Q"/>
    <s v="ROVITO ALESSANDR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96"/>
    <s v="14"/>
    <s v="Operazione per conto di importo elevato per la causale ed il soggetto"/>
    <d v="2025-06-24T00:00:00"/>
    <n v="53850"/>
    <n v="114"/>
    <s v="053850_114"/>
    <s v="Discovery Day"/>
    <s v="Mai valutato"/>
    <m/>
    <n v="202506238118650"/>
    <n v="1143306282060"/>
    <n v="20250623"/>
    <x v="0"/>
    <m/>
    <m/>
    <s v="D     - Dare"/>
    <n v="7531.77"/>
    <n v="0"/>
    <n v="4917552"/>
    <s v="GHZMRA75C64D643G"/>
    <s v="GHEZZA MARA"/>
    <s v="615 - Altre famiglie produttrici"/>
    <s v="691 - ATTIVITÀ DEGLI STUDI LEGALI"/>
    <s v="086 - ITALIA"/>
    <n v="869"/>
    <m/>
    <m/>
    <m/>
    <m/>
    <m/>
    <m/>
    <m/>
    <n v="0"/>
    <n v="202506"/>
    <s v="ARCHIVIATA DA RPR"/>
    <x v="0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91"/>
    <s v="14"/>
    <s v="Operazione per conto di importo elevato per la causale ed il soggetto"/>
    <d v="2025-06-24T00:00:00"/>
    <n v="53850"/>
    <n v="141"/>
    <s v="053850_141"/>
    <s v="Discovery Day"/>
    <s v="Mai valutato"/>
    <m/>
    <n v="202506238117466"/>
    <n v="1413300003985"/>
    <n v="20250623"/>
    <x v="1"/>
    <m/>
    <s v="086 - ITALIA"/>
    <s v="A     - Avere"/>
    <n v="855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388"/>
    <s v="14"/>
    <s v="Operazione per conto di importo elevato per la causale ed il soggetto"/>
    <d v="2025-06-24T00:00:00"/>
    <n v="53850"/>
    <n v="141"/>
    <s v="053850_141"/>
    <s v="Discovery Day"/>
    <s v="Mai valutato"/>
    <m/>
    <n v="202506238116593"/>
    <n v="1413300003985"/>
    <n v="20250623"/>
    <x v="3"/>
    <m/>
    <s v="086 - ITALIA"/>
    <s v="D     - Dare"/>
    <n v="1395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385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555074"/>
    <s v="ZCCNZM82H70B619G"/>
    <s v="ZACCARO NUNZIA MICHELA"/>
    <s v="600 - Famiglie consumatrici"/>
    <m/>
    <s v="086 - ITALIA"/>
    <n v="142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83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15885"/>
    <s v="TRRMRS54E69B619M"/>
    <s v="TERRIBILE MARIA ROSARIA"/>
    <s v="600 - Famiglie consumatrici"/>
    <m/>
    <s v="086 - ITALIA"/>
    <n v="142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80"/>
    <s v="14"/>
    <s v="Operazione per conto di importo elevato per la causale ed il soggetto"/>
    <d v="2025-06-24T00:00:00"/>
    <n v="53850"/>
    <n v="266"/>
    <s v="053850_266"/>
    <s v="Discovery Day"/>
    <s v="Mai valutato"/>
    <m/>
    <n v="202506238118644"/>
    <n v="2663300000906"/>
    <n v="20250623"/>
    <x v="0"/>
    <m/>
    <m/>
    <s v="D     - Dare"/>
    <n v="9464.8799999999992"/>
    <n v="0"/>
    <n v="1640587"/>
    <s v="VNTTRS52L43B169K"/>
    <s v="VENTRICE TERESA"/>
    <s v="600 - Famiglie consumatrici"/>
    <m/>
    <s v="086 - ITALIA"/>
    <n v="181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78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3"/>
    <m/>
    <s v="086 - ITALIA"/>
    <s v="D     - Dare"/>
    <n v="202500"/>
    <n v="0"/>
    <n v="1611691"/>
    <s v="FRQLCU62P45F839B"/>
    <s v="FORQUET FAMIGLIETTI LUCIA"/>
    <s v="600 - Famiglie consumatrici"/>
    <m/>
    <s v="086 - ITALIA"/>
    <n v="1803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75"/>
    <s v="14"/>
    <s v="Operazione per conto di importo elevato per la causale ed il soggetto"/>
    <d v="2025-06-24T00:00:00"/>
    <n v="53850"/>
    <n v="102"/>
    <s v="053850_102"/>
    <s v="Discovery Day"/>
    <s v="Mai valutato"/>
    <m/>
    <n v="202506238117549"/>
    <n v="1023308726073"/>
    <n v="20250623"/>
    <x v="1"/>
    <m/>
    <s v="086 - ITALIA"/>
    <s v="A     - Avere"/>
    <n v="1322385.95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374"/>
    <s v="14"/>
    <s v="Operazione per conto di importo elevato per la causale ed il soggetto"/>
    <d v="2025-06-24T00:00:00"/>
    <n v="53850"/>
    <n v="168"/>
    <s v="053850_168"/>
    <s v="Discovery Day"/>
    <s v="Mai valutato"/>
    <m/>
    <n v="202506238119002"/>
    <n v="1683306276854"/>
    <n v="20250623"/>
    <x v="0"/>
    <m/>
    <m/>
    <s v="D     - Dare"/>
    <n v="21701.17"/>
    <n v="0"/>
    <n v="597962"/>
    <s v="FRRGTN39L46I330Z"/>
    <s v="FERORELLI GIUSTINA"/>
    <s v="600 - Famiglie consumatrici"/>
    <m/>
    <s v="086 - ITALIA"/>
    <n v="131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71"/>
    <s v="14"/>
    <s v="Operazione per conto di importo elevato per la causale ed il soggetto"/>
    <d v="2025-06-24T00:00:00"/>
    <n v="53850"/>
    <n v="271"/>
    <s v="053850_271"/>
    <s v="Discovery Day"/>
    <s v="Mai valutato"/>
    <m/>
    <n v="202506238119217"/>
    <n v="2713300002679"/>
    <n v="20250623"/>
    <x v="0"/>
    <m/>
    <m/>
    <s v="D     - Dare"/>
    <n v="16652.68"/>
    <n v="0"/>
    <n v="1680750"/>
    <s v="CSTNLN34H62G141M"/>
    <s v="COSTANZO ANGIOLINA"/>
    <s v="600 - Famiglie consumatrici"/>
    <m/>
    <s v="086 - ITALIA"/>
    <n v="1800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66"/>
    <s v="14"/>
    <s v="Operazione per conto di importo elevato per la causale ed il soggetto"/>
    <d v="2025-06-24T00:00:00"/>
    <n v="53850"/>
    <n v="109"/>
    <s v="053850_109"/>
    <s v="Discovery Day"/>
    <s v="Mai valutato"/>
    <m/>
    <s v="202506238544743L"/>
    <n v="1093306673858"/>
    <n v="20250623"/>
    <x v="0"/>
    <m/>
    <m/>
    <s v="D     - Dare"/>
    <n v="3725.74"/>
    <n v="0"/>
    <n v="470718"/>
    <s v="MNTNTN37C70A669Y"/>
    <s v="MONTENEGRO ANTONIA"/>
    <s v="600 - Famiglie consumatrici"/>
    <m/>
    <s v="086 - ITALIA"/>
    <n v="92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65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3"/>
    <m/>
    <s v="086 - ITALIA"/>
    <s v="D     - Dare"/>
    <n v="202500"/>
    <n v="0"/>
    <n v="3742655"/>
    <s v="RVTLSN89D57G141Q"/>
    <s v="ROVITO ALESSANDR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63"/>
    <s v="14"/>
    <s v="Operazione per conto di importo elevato per la causale ed il soggetto"/>
    <d v="2025-06-24T00:00:00"/>
    <n v="53850"/>
    <n v="109"/>
    <s v="053850_109"/>
    <s v="Discovery Day"/>
    <s v="Mai valutato"/>
    <m/>
    <s v="202506238544743L"/>
    <n v="1093306673858"/>
    <n v="20250623"/>
    <x v="0"/>
    <m/>
    <m/>
    <s v="D     - Dare"/>
    <n v="3725.74"/>
    <n v="0"/>
    <n v="4848147"/>
    <s v="LGLPRZ64H42A662D"/>
    <s v="LAGALANTE PATRIZIA"/>
    <s v="600 - Famiglie consumatrici"/>
    <m/>
    <s v="086 - ITALIA"/>
    <n v="92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50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143"/>
    <n v="1023308723775"/>
    <n v="20250620"/>
    <x v="33"/>
    <m/>
    <m/>
    <s v="A     - Avere"/>
    <n v="60562"/>
    <n v="0"/>
    <n v="200822"/>
    <s v="CRSMRA54P59A225Q"/>
    <s v="CRISTALLO MARIA"/>
    <s v="600 - Famiglie consumatrici"/>
    <m/>
    <s v="086 - ITALIA"/>
    <n v="51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49"/>
    <s v="14"/>
    <s v="Operazione per conto di importo elevato per la causale ed il soggetto"/>
    <d v="2025-06-21T00:00:00"/>
    <n v="53850"/>
    <n v="170"/>
    <s v="053850_170"/>
    <s v="Discovery Day"/>
    <s v="Mai valutato"/>
    <m/>
    <s v="202506208496514L"/>
    <n v="1703306290293"/>
    <n v="20250620"/>
    <x v="0"/>
    <m/>
    <m/>
    <s v="D     - Dare"/>
    <n v="2709.98"/>
    <n v="0"/>
    <n v="4101931"/>
    <s v="PCCMRN79L16A285L"/>
    <s v="PICCININNO MARINO"/>
    <s v="600 - Famiglie consumatrici"/>
    <m/>
    <s v="086 - ITALIA"/>
    <n v="1667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46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143"/>
    <n v="1023308723775"/>
    <n v="20250620"/>
    <x v="33"/>
    <m/>
    <m/>
    <s v="A     - Avere"/>
    <n v="60562"/>
    <n v="0"/>
    <n v="139602"/>
    <s v="LZZRCC52E11A225R"/>
    <s v="LOIZZO ROCCO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45"/>
    <s v="14"/>
    <s v="Operazione per conto di importo elevato per la causale ed il soggetto"/>
    <d v="2025-06-21T00:00:00"/>
    <n v="53850"/>
    <n v="226"/>
    <s v="053850_226"/>
    <s v="Discovery Day"/>
    <s v="Mai valutato"/>
    <m/>
    <n v="202506208087357"/>
    <n v="2263300011983"/>
    <n v="20250620"/>
    <x v="1"/>
    <m/>
    <s v="086 - ITALIA"/>
    <s v="A     - Avere"/>
    <n v="10000000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39"/>
    <s v="14"/>
    <s v="Operazione per conto di importo elevato per la causale ed il soggetto"/>
    <d v="2025-06-21T00:00:00"/>
    <n v="53850"/>
    <n v="274"/>
    <s v="053850_274"/>
    <s v="Discovery Day"/>
    <s v="Mai valutato"/>
    <m/>
    <n v="202506208089085"/>
    <n v="2743300000482"/>
    <n v="20250620"/>
    <x v="0"/>
    <m/>
    <m/>
    <s v="D     - Dare"/>
    <n v="49856.69"/>
    <n v="0"/>
    <n v="1631226"/>
    <s v="VRNMRA38E52G141H"/>
    <s v="VERNA MARIA"/>
    <s v="600 - Famiglie consumatrici"/>
    <m/>
    <s v="086 - ITALIA"/>
    <n v="182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38"/>
    <s v="14"/>
    <s v="Operazione per conto di importo elevato per la causale ed il soggetto"/>
    <d v="2025-06-21T00:00:00"/>
    <n v="53850"/>
    <n v="182"/>
    <s v="053850_182"/>
    <s v="Discovery Day"/>
    <s v="Mai valutato"/>
    <m/>
    <s v="202506208502195L"/>
    <n v="1823300180217"/>
    <n v="20250620"/>
    <x v="0"/>
    <m/>
    <m/>
    <s v="D     - Dare"/>
    <n v="3844.51"/>
    <n v="0"/>
    <n v="3183061"/>
    <s v="GLLCSR75D28L049S"/>
    <s v="GALLITELLI CESARE"/>
    <s v="600 - Famiglie consumatrici"/>
    <m/>
    <s v="086 - ITALIA"/>
    <n v="61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35"/>
    <s v="14"/>
    <s v="Operazione per conto di importo elevato per la causale ed il soggetto"/>
    <d v="2025-06-21T00:00:00"/>
    <n v="53850"/>
    <n v="102"/>
    <s v="053850_102"/>
    <s v="Discovery Day"/>
    <s v="Mai valutato"/>
    <m/>
    <n v="202506208087628"/>
    <n v="1023308726073"/>
    <n v="20250620"/>
    <x v="1"/>
    <m/>
    <s v="086 - ITALIA"/>
    <s v="A     - Avere"/>
    <n v="1071607.46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34"/>
    <s v="14"/>
    <s v="Operazione per conto di importo elevato per la causale ed il soggetto"/>
    <d v="2025-06-21T00:00:00"/>
    <n v="53850"/>
    <n v="181"/>
    <s v="053850_181"/>
    <s v="Discovery Day"/>
    <s v="Mai valutato"/>
    <m/>
    <s v="202506208502229L"/>
    <n v="1813301030242"/>
    <n v="20250620"/>
    <x v="0"/>
    <m/>
    <m/>
    <s v="D     - Dare"/>
    <n v="1072.3"/>
    <n v="0"/>
    <n v="4984948"/>
    <s v="TMPRNN89A50L109Q"/>
    <s v="TEMPESTA ROSANNA"/>
    <s v="600 - Famiglie consumatrici"/>
    <m/>
    <s v="086 - ITALIA"/>
    <n v="85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25"/>
    <s v="14"/>
    <s v="Operazione per conto di importo elevato per la causale ed il soggetto"/>
    <d v="2025-06-21T00:00:00"/>
    <n v="53850"/>
    <n v="120"/>
    <s v="053850_120"/>
    <s v="Discovery Day"/>
    <s v="Mai valutato"/>
    <m/>
    <n v="202506208088733"/>
    <n v="1203300001673"/>
    <n v="20250620"/>
    <x v="0"/>
    <m/>
    <m/>
    <s v="D     - Dare"/>
    <n v="21884.77"/>
    <n v="0"/>
    <n v="83568"/>
    <s v="LZZLCU40C41A048A"/>
    <s v="LIUZZI LUCIA"/>
    <s v="600 - Famiglie consumatrici"/>
    <m/>
    <s v="086 - ITALIA"/>
    <n v="164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23"/>
    <s v="14"/>
    <s v="Operazione per conto di importo elevato per la causale ed il soggetto"/>
    <d v="2025-06-21T00:00:00"/>
    <n v="53850"/>
    <n v="114"/>
    <s v="053850_114"/>
    <s v="Discovery Day"/>
    <s v="Mai valutato"/>
    <m/>
    <n v="202506208088701"/>
    <n v="1143306282252"/>
    <n v="20250620"/>
    <x v="0"/>
    <m/>
    <m/>
    <s v="D     - Dare"/>
    <n v="57963.27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6"/>
    <s v="IN CARICO AL GESTORE"/>
    <x v="1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321"/>
    <s v="14"/>
    <s v="Operazione per conto di importo elevato per la causale ed il soggetto"/>
    <d v="2025-06-21T00:00:00"/>
    <n v="53850"/>
    <n v="116"/>
    <s v="053850_116"/>
    <s v="Discovery Day"/>
    <s v="Mai valutato"/>
    <m/>
    <n v="202506208088711"/>
    <n v="1163307623083"/>
    <n v="20250620"/>
    <x v="0"/>
    <m/>
    <m/>
    <s v="D     - Dare"/>
    <n v="115315.71"/>
    <n v="0"/>
    <n v="466492"/>
    <s v="CZZNGL46S57A662L"/>
    <s v="COZZOLI POLI ANGELA"/>
    <s v="600 - Famiglie consumatrici"/>
    <m/>
    <s v="086 - ITALIA"/>
    <n v="73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316"/>
    <s v="14"/>
    <s v="Operazione per conto di importo elevato per la causale ed il soggetto"/>
    <d v="2025-06-21T00:00:00"/>
    <n v="53850"/>
    <n v="274"/>
    <s v="053850_274"/>
    <s v="Discovery Day"/>
    <s v="Mai valutato"/>
    <m/>
    <n v="202506208089085"/>
    <n v="2743300000482"/>
    <n v="20250620"/>
    <x v="0"/>
    <m/>
    <m/>
    <s v="D     - Dare"/>
    <n v="49856.69"/>
    <n v="0"/>
    <n v="1631225"/>
    <s v="PRRGNN37A04F196Q"/>
    <s v="PERRUCCI GIOVANNI"/>
    <s v="600 - Famiglie consumatrici"/>
    <m/>
    <s v="086 - ITALIA"/>
    <n v="182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15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079"/>
    <n v="1023308725549"/>
    <n v="20250620"/>
    <x v="15"/>
    <m/>
    <m/>
    <s v="D     - Dare"/>
    <n v="528303.46"/>
    <n v="0"/>
    <n v="89612"/>
    <s v="VLPDNT55M17A225K"/>
    <s v="VULPIO DONATO"/>
    <s v="615 - Altre famiglie produttrici"/>
    <s v="711 - ATTIVITÀ DEGLI STUDI DI ARCHITETTURA, INGEGNERIA ED ALTRI STUDI TECNICI"/>
    <s v="086 - ITALIA"/>
    <n v="1306"/>
    <m/>
    <m/>
    <m/>
    <m/>
    <m/>
    <m/>
    <m/>
    <n v="0"/>
    <n v="202506"/>
    <s v="ARCHIVIATA"/>
    <x v="0"/>
    <n v="1"/>
    <m/>
    <m/>
    <n v="0"/>
    <n v="999"/>
    <n v="615"/>
    <n v="615999"/>
    <m/>
    <n v="1"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14"/>
    <s v="14"/>
    <s v="Operazione per conto di importo elevato per la causale ed il soggetto"/>
    <d v="2025-06-21T00:00:00"/>
    <n v="53850"/>
    <n v="170"/>
    <s v="053850_170"/>
    <s v="Discovery Day"/>
    <s v="Mai valutato"/>
    <m/>
    <s v="202506208496514L"/>
    <n v="1703306290293"/>
    <n v="20250620"/>
    <x v="0"/>
    <m/>
    <m/>
    <s v="D     - Dare"/>
    <n v="2709.98"/>
    <n v="0"/>
    <n v="4406751"/>
    <s v="SGRRCR83A68A662J"/>
    <s v="SGARRA RICCARDA DANIELA"/>
    <s v="600 - Famiglie consumatrici"/>
    <m/>
    <s v="086 - ITALIA"/>
    <n v="1667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07"/>
    <s v="14"/>
    <s v="Operazione per conto di importo elevato per la causale ed il soggetto"/>
    <d v="2025-06-20T00:00:00"/>
    <n v="53850"/>
    <n v="102"/>
    <s v="053850_102"/>
    <s v="Discovery Day"/>
    <s v="Mai valutato"/>
    <m/>
    <n v="202506208085363"/>
    <n v="1025507000167"/>
    <n v="20250620"/>
    <x v="19"/>
    <m/>
    <m/>
    <s v="A     - Avere"/>
    <n v="300431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306"/>
    <s v="14"/>
    <s v="Operazione per conto di importo elevato per la causale ed il soggetto"/>
    <d v="2025-06-20T00:00:00"/>
    <n v="53850"/>
    <n v="102"/>
    <s v="053850_102"/>
    <s v="Discovery Day"/>
    <s v="Mai valutato"/>
    <m/>
    <n v="202506208085364"/>
    <n v="1025507000167"/>
    <n v="20250620"/>
    <x v="31"/>
    <m/>
    <m/>
    <s v="A     - Avere"/>
    <n v="300431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303"/>
    <s v="14"/>
    <s v="Operazione per conto di importo elevato per la causale ed il soggetto"/>
    <d v="2025-06-20T00:00:00"/>
    <n v="53850"/>
    <n v="145"/>
    <s v="053850_145"/>
    <s v="Discovery Day"/>
    <s v="Mai valutato"/>
    <m/>
    <s v="202506198457437L"/>
    <n v="1453300001145"/>
    <n v="20250619"/>
    <x v="0"/>
    <m/>
    <m/>
    <s v="D     - Dare"/>
    <n v="3864.15"/>
    <n v="0"/>
    <n v="4019"/>
    <s v="DNGSLV38M62F839O"/>
    <s v="D'ANGELO SILVIA"/>
    <s v="600 - Famiglie consumatrici"/>
    <m/>
    <s v="086 - ITALIA"/>
    <n v="122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96"/>
    <s v="14"/>
    <s v="Operazione per conto di importo elevato per la causale ed il soggetto"/>
    <d v="2025-06-20T00:00:00"/>
    <n v="53850"/>
    <n v="145"/>
    <s v="053850_145"/>
    <s v="Discovery Day"/>
    <s v="Mai valutato"/>
    <m/>
    <s v="202506198457437L"/>
    <n v="1453300001145"/>
    <n v="20250619"/>
    <x v="0"/>
    <m/>
    <m/>
    <s v="D     - Dare"/>
    <n v="3864.15"/>
    <n v="0"/>
    <n v="5170"/>
    <s v="MRCFNC36L11F839D"/>
    <s v="MERCADANTE FRANCESCO"/>
    <s v="600 - Famiglie consumatrici"/>
    <m/>
    <s v="086 - ITALIA"/>
    <n v="122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95"/>
    <s v="14"/>
    <s v="Operazione per conto di importo elevato per la causale ed il soggetto"/>
    <d v="2025-06-20T00:00:00"/>
    <n v="53850"/>
    <n v="121"/>
    <s v="053850_121"/>
    <s v="Discovery Day"/>
    <s v="Mai valutato"/>
    <m/>
    <n v="202506198084101"/>
    <n v="1213300002600"/>
    <n v="20250619"/>
    <x v="3"/>
    <m/>
    <s v="086 - ITALIA"/>
    <s v="D     - Dare"/>
    <n v="1069910.22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292"/>
    <s v="14"/>
    <s v="Operazione per conto di importo elevato per la causale ed il soggetto"/>
    <d v="2025-06-20T00:00:00"/>
    <n v="53850"/>
    <n v="282"/>
    <s v="053850_282"/>
    <s v="Discovery Day"/>
    <s v="Mai valutato"/>
    <m/>
    <n v="202506198085851"/>
    <n v="2823300002468"/>
    <n v="20250619"/>
    <x v="0"/>
    <m/>
    <m/>
    <s v="D     - Dare"/>
    <n v="30423.34"/>
    <n v="0"/>
    <n v="1627137"/>
    <s v="CVLKTA84D50E435P"/>
    <s v="CAVALIERE KATIA"/>
    <s v="600 - Famiglie consumatrici"/>
    <m/>
    <s v="086 - ITALIA"/>
    <n v="1802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286"/>
    <s v="14"/>
    <s v="Operazione per conto di importo elevato per la causale ed il soggetto"/>
    <d v="2025-06-20T00:00:00"/>
    <n v="53850"/>
    <n v="122"/>
    <s v="053850_122"/>
    <s v="Discovery Day"/>
    <s v="Mai valutato"/>
    <m/>
    <n v="202506198084762"/>
    <n v="1223300001682"/>
    <n v="20250619"/>
    <x v="1"/>
    <m/>
    <s v="086 - ITALIA"/>
    <s v="A     - Avere"/>
    <n v="888195.8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81"/>
    <s v="14"/>
    <s v="Operazione per conto di importo elevato per la causale ed il soggetto"/>
    <d v="2025-06-20T00:00:00"/>
    <n v="53850"/>
    <n v="187"/>
    <s v="053850_187"/>
    <s v="Discovery Day"/>
    <s v="Mai valutato"/>
    <m/>
    <n v="202506198084382"/>
    <n v="1873300106975"/>
    <n v="20250619"/>
    <x v="1"/>
    <m/>
    <s v="086 - ITALIA"/>
    <s v="A     - Avere"/>
    <n v="220000"/>
    <n v="0"/>
    <n v="4487788"/>
    <s v="CTTNDR88H03D643Z"/>
    <s v="CUTTANO ANDREA"/>
    <s v="600 - Famiglie consumatrici"/>
    <m/>
    <s v="086 - ITALIA"/>
    <n v="116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277"/>
    <s v="14"/>
    <s v="Operazione per conto di importo elevato per la causale ed il soggetto"/>
    <d v="2025-06-20T00:00:00"/>
    <n v="53850"/>
    <n v="282"/>
    <s v="053850_282"/>
    <s v="Discovery Day"/>
    <s v="Mai valutato"/>
    <m/>
    <n v="202506198085851"/>
    <n v="2823300002468"/>
    <n v="20250619"/>
    <x v="0"/>
    <m/>
    <m/>
    <s v="D     - Dare"/>
    <n v="30423.34"/>
    <n v="0"/>
    <n v="1681594"/>
    <s v="DLRPQL74T13A485B"/>
    <s v="DI LORETO PASQUALE"/>
    <s v="600 - Famiglie consumatrici"/>
    <m/>
    <s v="086 - ITALIA"/>
    <n v="1802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276"/>
    <s v="14"/>
    <s v="Operazione per conto di importo elevato per la causale ed il soggetto"/>
    <d v="2025-06-20T00:00:00"/>
    <n v="53850"/>
    <n v="174"/>
    <s v="053850_174"/>
    <s v="Discovery Day"/>
    <s v="Mai valutato"/>
    <m/>
    <n v="202506198086111"/>
    <n v="1743302881057"/>
    <n v="20250619"/>
    <x v="0"/>
    <m/>
    <m/>
    <s v="D     - Dare"/>
    <n v="13074.56"/>
    <n v="0"/>
    <n v="610011"/>
    <s v="CMPRNZ67L07F376D"/>
    <s v="CAMPANELLI ORONZO"/>
    <s v="615 - Altre famiglie produttrici"/>
    <s v="477 - COMMERCIO AL DETTAGLIO DI ALTRI PRODOTTI IN ESERCIZI SPECIALIZZATI"/>
    <s v="086 - ITALIA"/>
    <n v="720"/>
    <m/>
    <m/>
    <m/>
    <m/>
    <m/>
    <m/>
    <m/>
    <n v="0"/>
    <n v="202506"/>
    <s v="IN VALUTAZIONE RPR"/>
    <x v="1"/>
    <n v="1"/>
    <m/>
    <m/>
    <n v="1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73"/>
    <s v="14"/>
    <s v="Operazione per conto di importo elevato per la causale ed il soggetto"/>
    <d v="2025-06-20T00:00:00"/>
    <n v="53850"/>
    <n v="102"/>
    <s v="053850_102"/>
    <s v="Discovery Day"/>
    <s v="Mai valutato"/>
    <m/>
    <n v="202506198085865"/>
    <n v="1023308724399"/>
    <n v="20250619"/>
    <x v="22"/>
    <m/>
    <m/>
    <s v="A     - Avere"/>
    <n v="200000"/>
    <n v="0"/>
    <n v="116692"/>
    <s v="GDUSVR49L03A225Y"/>
    <s v="GUIDA SAVERIO"/>
    <s v="600 - Famiglie consumatrici"/>
    <m/>
    <s v="086 - ITALIA"/>
    <n v="1335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271"/>
    <s v="14"/>
    <s v="Operazione per conto di importo elevato per la causale ed il soggetto"/>
    <d v="2025-06-19T00:00:00"/>
    <n v="53850"/>
    <n v="120"/>
    <s v="053850_120"/>
    <s v="Discovery Day"/>
    <s v="Mai valutato"/>
    <m/>
    <n v="202506188082748"/>
    <n v="1203300002958"/>
    <n v="20250618"/>
    <x v="15"/>
    <m/>
    <m/>
    <s v="D     - Dare"/>
    <n v="789550.6"/>
    <n v="0"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65"/>
    <s v="14"/>
    <s v="Operazione per conto di importo elevato per la causale ed il soggetto"/>
    <d v="2025-06-19T00:00:00"/>
    <n v="53850"/>
    <n v="153"/>
    <s v="053850_153"/>
    <s v="Discovery Day"/>
    <s v="Mai valutato"/>
    <m/>
    <n v="202506188081647"/>
    <n v="1533300663155"/>
    <n v="20250618"/>
    <x v="1"/>
    <m/>
    <s v="086 - ITALIA"/>
    <s v="A     - Avere"/>
    <n v="655478.15"/>
    <n v="0"/>
    <n v="4847459"/>
    <n v="12699191008"/>
    <s v="PE. FIN S.P.A."/>
    <s v="430 - Imprese produttive"/>
    <s v="412 - COSTRUZIONE DI EDIFICI RESIDENZIALI E NON RESIDENZIALI"/>
    <s v="086 - ITALIA"/>
    <n v="1256"/>
    <m/>
    <m/>
    <m/>
    <m/>
    <m/>
    <m/>
    <m/>
    <n v="0"/>
    <n v="202506"/>
    <s v="IN CARICO AL GESTORE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62"/>
    <s v="14"/>
    <s v="Operazione per conto di importo elevato per la causale ed il soggetto"/>
    <d v="2025-06-19T00:00:00"/>
    <n v="53850"/>
    <n v="120"/>
    <s v="053850_120"/>
    <s v="Discovery Day"/>
    <s v="Mai valutato"/>
    <m/>
    <n v="202506188082674"/>
    <n v="1203300004162"/>
    <n v="20250618"/>
    <x v="15"/>
    <m/>
    <m/>
    <s v="D     - Dare"/>
    <n v="828630.56"/>
    <n v="0"/>
    <n v="3740500"/>
    <n v="337000947"/>
    <s v="E.T.A. SPA"/>
    <s v="430 - Imprese produttive"/>
    <s v="244 - PRODUZIONE DI METALLI DI BASE PREZIOSI E ALTRI METALLI NON FERROSI, TRATTAMENTO DEI COMBUSTIBILI NUCLEAR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61"/>
    <s v="14"/>
    <s v="Operazione per conto di importo elevato per la causale ed il soggetto"/>
    <d v="2025-06-19T00:00:00"/>
    <n v="53850"/>
    <n v="109"/>
    <s v="053850_109"/>
    <s v="Discovery Day"/>
    <s v="Mai valutato"/>
    <m/>
    <n v="202506188083380"/>
    <n v="1093304728910"/>
    <n v="20250618"/>
    <x v="9"/>
    <m/>
    <m/>
    <s v="D     - Dare"/>
    <n v="258000"/>
    <n v="0"/>
    <n v="472891"/>
    <s v="LRCGCH48P15A662A"/>
    <s v="LARICCHIUTA GIOACCHINO"/>
    <s v="600 - Famiglie consumatrici"/>
    <m/>
    <s v="086 - ITALIA"/>
    <n v="77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255"/>
    <s v="14"/>
    <s v="Operazione per conto di importo elevato per la causale ed il soggetto"/>
    <d v="2025-06-19T00:00:00"/>
    <n v="53850"/>
    <n v="109"/>
    <s v="053850_109"/>
    <s v="Discovery Day"/>
    <s v="Mai valutato"/>
    <m/>
    <n v="202506188083383"/>
    <n v="1093306673740"/>
    <n v="20250618"/>
    <x v="11"/>
    <m/>
    <m/>
    <s v="D     - Dare"/>
    <n v="806087.88"/>
    <n v="0"/>
    <n v="4536482"/>
    <n v="268480720"/>
    <s v="RENAUTO SOCIETA' PER AZIONI"/>
    <s v="430 - Imprese produttive"/>
    <s v="451 - COMMERCIO DI AUTOVEICOLI"/>
    <s v="086 - ITALIA"/>
    <n v="1919"/>
    <m/>
    <m/>
    <m/>
    <m/>
    <m/>
    <m/>
    <m/>
    <n v="0"/>
    <n v="202506"/>
    <s v="IN VALUTAZIONE RPR"/>
    <x v="1"/>
    <n v="1"/>
    <m/>
    <m/>
    <n v="0"/>
    <n v="451"/>
    <n v="430"/>
    <n v="430451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52"/>
    <s v="14"/>
    <s v="Operazione per conto di importo elevato per la causale ed il soggetto"/>
    <d v="2025-06-19T00:00:00"/>
    <n v="53850"/>
    <n v="161"/>
    <s v="053850_161"/>
    <s v="Discovery Day"/>
    <s v="Mai valutato"/>
    <m/>
    <n v="202506188083491"/>
    <n v="1613300029995"/>
    <n v="20250618"/>
    <x v="0"/>
    <m/>
    <m/>
    <s v="D     - Dare"/>
    <n v="69564.13"/>
    <n v="0"/>
    <n v="513170"/>
    <s v="MRCDNT45M54A225S"/>
    <s v="MERCADANTE DONATA"/>
    <s v="600 - Famiglie consumatrici"/>
    <m/>
    <s v="086 - ITALIA"/>
    <n v="8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49"/>
    <s v="14"/>
    <s v="Operazione per conto di importo elevato per la causale ed il soggetto"/>
    <d v="2025-06-19T00:00:00"/>
    <n v="53850"/>
    <n v="161"/>
    <s v="053850_161"/>
    <s v="Discovery Day"/>
    <s v="Mai valutato"/>
    <m/>
    <n v="202506188083491"/>
    <n v="1613300029995"/>
    <n v="20250618"/>
    <x v="0"/>
    <m/>
    <m/>
    <s v="D     - Dare"/>
    <n v="69564.13"/>
    <n v="0"/>
    <n v="4131274"/>
    <s v="RMNFNC44H30H096D"/>
    <s v="ROMANO FRANCESCO"/>
    <s v="600 - Famiglie consumatrici"/>
    <m/>
    <s v="086 - ITALIA"/>
    <n v="8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38"/>
    <s v="14"/>
    <s v="Operazione per conto di importo elevato per la causale ed il soggetto"/>
    <d v="2025-06-18T00:00:00"/>
    <n v="53850"/>
    <n v="153"/>
    <s v="053850_153"/>
    <s v="Discovery Day"/>
    <s v="Mai valutato"/>
    <m/>
    <s v="202506178352100L"/>
    <n v="1533300661079"/>
    <n v="20250617"/>
    <x v="0"/>
    <m/>
    <m/>
    <s v="D     - Dare"/>
    <n v="3578.04"/>
    <n v="0"/>
    <n v="2012658"/>
    <s v="LMNNNA36C43F506B"/>
    <s v="LIMONE ANNA"/>
    <s v="600 - Famiglie consumatrici"/>
    <m/>
    <s v="086 - ITALIA"/>
    <n v="105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226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1655834"/>
    <s v="FDRLNI36L56H501Q"/>
    <s v="FEDERICI LINA"/>
    <s v="600 - Famiglie consumatrici"/>
    <m/>
    <s v="086 - ITALIA"/>
    <n v="1837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17"/>
    <s v="14"/>
    <s v="Operazione per conto di importo elevato per la causale ed il soggetto"/>
    <d v="2025-06-18T00:00:00"/>
    <n v="53850"/>
    <n v="182"/>
    <s v="053850_182"/>
    <s v="Discovery Day"/>
    <s v="Mai valutato"/>
    <m/>
    <n v="202506178078572"/>
    <n v="1823300058518"/>
    <n v="20250617"/>
    <x v="1"/>
    <m/>
    <s v="086 - ITALIA"/>
    <s v="A     - Avere"/>
    <n v="4000000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11"/>
    <s v="14"/>
    <s v="Operazione per conto di importo elevato per la causale ed il soggetto"/>
    <d v="2025-06-18T00:00:00"/>
    <n v="53850"/>
    <n v="145"/>
    <s v="053850_145"/>
    <s v="Discovery Day"/>
    <s v="Mai valutato"/>
    <m/>
    <n v="202506178080127"/>
    <n v="1453300003728"/>
    <n v="20250617"/>
    <x v="0"/>
    <m/>
    <m/>
    <s v="D     - Dare"/>
    <n v="67272.490000000005"/>
    <n v="0"/>
    <n v="4019"/>
    <s v="DNGSLV38M62F839O"/>
    <s v="D'ANGELO SILVIA"/>
    <s v="600 - Famiglie consumatrici"/>
    <m/>
    <s v="086 - ITALIA"/>
    <n v="122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10"/>
    <s v="14"/>
    <s v="Operazione per conto di importo elevato per la causale ed il soggetto"/>
    <d v="2025-06-18T00:00:00"/>
    <n v="53850"/>
    <n v="105"/>
    <s v="053850_105"/>
    <s v="Discovery Day"/>
    <s v="Mai valutato"/>
    <m/>
    <n v="202506178078195"/>
    <n v="1053306287103"/>
    <n v="20250617"/>
    <x v="1"/>
    <m/>
    <s v="086 - ITALIA"/>
    <s v="A     - Avere"/>
    <n v="2704796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07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4995327"/>
    <s v="BDNSDR62P03C632N"/>
    <s v="BIDINELLI SANDRO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05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1688503"/>
    <s v="BDNRRT60B08C632W"/>
    <s v="BIDINELLI ROBERTO"/>
    <s v="600 - Famiglie consumatrici"/>
    <m/>
    <s v="086 - ITALIA"/>
    <n v="1798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03"/>
    <s v="14"/>
    <s v="Operazione per conto di importo elevato per la causale ed il soggetto"/>
    <d v="2025-06-18T00:00:00"/>
    <n v="53850"/>
    <n v="273"/>
    <s v="053850_273"/>
    <s v="Discovery Day"/>
    <s v="Mai valutato"/>
    <m/>
    <n v="202506178079863"/>
    <n v="2733300000026"/>
    <n v="20250617"/>
    <x v="6"/>
    <m/>
    <m/>
    <s v="D     - Dare"/>
    <n v="334000"/>
    <n v="0"/>
    <n v="1601535"/>
    <s v="TRVGNN30R22I936T"/>
    <s v="TRIVERI GIOVANNI"/>
    <s v="600 - Famiglie consumatrici"/>
    <m/>
    <s v="086 - ITALIA"/>
    <n v="129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194"/>
    <s v="14"/>
    <s v="Operazione per conto di importo elevato per la causale ed il soggetto"/>
    <d v="2025-06-18T00:00:00"/>
    <n v="53850"/>
    <n v="102"/>
    <s v="053850_102"/>
    <s v="Discovery Day"/>
    <s v="Mai valutato"/>
    <m/>
    <n v="202506168075337"/>
    <n v="1023300113820"/>
    <n v="20250616"/>
    <x v="11"/>
    <m/>
    <m/>
    <s v="D     - Dare"/>
    <n v="1173658.6100000001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191"/>
    <s v="14"/>
    <s v="Operazione per conto di importo elevato per la causale ed il soggetto"/>
    <d v="2025-06-18T00:00:00"/>
    <n v="53850"/>
    <n v="102"/>
    <s v="053850_102"/>
    <s v="Discovery Day"/>
    <s v="Mai valutato"/>
    <m/>
    <n v="202506168073579"/>
    <n v="1023308726073"/>
    <n v="20250616"/>
    <x v="1"/>
    <m/>
    <s v="086 - ITALIA"/>
    <s v="A     - Avere"/>
    <n v="1055576.55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189"/>
    <s v="14"/>
    <s v="Operazione per conto di importo elevato per la causale ed il soggetto"/>
    <d v="2025-06-18T00:00:00"/>
    <n v="53850"/>
    <n v="192"/>
    <s v="053850_192"/>
    <s v="Discovery Day"/>
    <s v="Mai valutato"/>
    <m/>
    <n v="202506168076721"/>
    <n v="1923300180425"/>
    <n v="20250616"/>
    <x v="0"/>
    <m/>
    <m/>
    <s v="D     - Dare"/>
    <n v="43636.14"/>
    <n v="0"/>
    <n v="4374507"/>
    <s v="LNVMHL32E24E986O"/>
    <s v="LANEVE MICHELE"/>
    <s v="615 - Altre famiglie produttrici"/>
    <s v="329 - INDUSTRIE MANIFATTURIERE NCA"/>
    <s v="086 - ITALIA"/>
    <n v="1907"/>
    <m/>
    <m/>
    <m/>
    <m/>
    <m/>
    <m/>
    <m/>
    <n v="0"/>
    <n v="202506"/>
    <s v="IN CARICO AL GESTORE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179"/>
    <s v="14"/>
    <s v="Operazione per conto di importo elevato per la causale ed il soggetto"/>
    <d v="2025-06-18T00:00:00"/>
    <n v="53850"/>
    <n v="182"/>
    <s v="053850_182"/>
    <s v="Discovery Day"/>
    <s v="Mai valutato"/>
    <m/>
    <n v="202506168076694"/>
    <n v="1823300174068"/>
    <n v="20250616"/>
    <x v="22"/>
    <m/>
    <m/>
    <s v="A     - Avere"/>
    <n v="180000"/>
    <n v="0"/>
    <n v="4957173"/>
    <s v="NTTFBA68S11L049B"/>
    <s v="NITTI FABIO"/>
    <s v="773 - Famiglie consumatrici dei paesi UE membri dell'area dell'euro"/>
    <m/>
    <s v="094 - GERMANIA"/>
    <n v="616"/>
    <m/>
    <m/>
    <m/>
    <m/>
    <m/>
    <m/>
    <m/>
    <n v="0"/>
    <n v="202506"/>
    <s v="IN VALUTAZIONE RPR"/>
    <x v="1"/>
    <n v="1"/>
    <m/>
    <m/>
    <n v="0"/>
    <n v="999"/>
    <n v="773"/>
    <n v="773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76"/>
    <s v="14"/>
    <s v="Operazione per conto di importo elevato per la causale ed il soggetto"/>
    <d v="2025-06-18T00:00:00"/>
    <n v="53850"/>
    <n v="192"/>
    <s v="053850_192"/>
    <s v="Discovery Day"/>
    <s v="Mai valutato"/>
    <m/>
    <n v="202506168076721"/>
    <n v="1923300180425"/>
    <n v="20250616"/>
    <x v="0"/>
    <m/>
    <m/>
    <s v="D     - Dare"/>
    <n v="43636.14"/>
    <n v="0"/>
    <n v="4374509"/>
    <s v="MSTNTN45C62E986M"/>
    <s v="MASTROVITO ANTONIA"/>
    <s v="600 - Famiglie consumatrici"/>
    <m/>
    <s v="086 - ITALIA"/>
    <n v="3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175"/>
    <s v="14"/>
    <s v="Operazione per conto di importo elevato per la causale ed il soggetto"/>
    <d v="2025-06-18T00:00:00"/>
    <n v="53850"/>
    <n v="120"/>
    <s v="053850_120"/>
    <s v="Discovery Day"/>
    <s v="Mai valutato"/>
    <m/>
    <n v="202506168074882"/>
    <n v="1203300002852"/>
    <n v="20250616"/>
    <x v="15"/>
    <m/>
    <m/>
    <s v="D     - Dare"/>
    <n v="748118.96"/>
    <n v="0"/>
    <n v="4078085"/>
    <n v="4806600724"/>
    <s v="MV LINE S.P.A."/>
    <s v="430 - Imprese produttive"/>
    <s v="259 - FABBRICAZIONE DI ALTRI PRODOTTI IN METALLO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171"/>
    <s v="14"/>
    <s v="Operazione per conto di importo elevato per la causale ed il soggetto"/>
    <d v="2025-06-18T00:00:00"/>
    <n v="53850"/>
    <n v="170"/>
    <s v="053850_170"/>
    <s v="Discovery Day"/>
    <s v="Mai valutato"/>
    <m/>
    <n v="202506168072803"/>
    <n v="1703306290830"/>
    <n v="20250616"/>
    <x v="8"/>
    <m/>
    <m/>
    <s v="D     - Dare"/>
    <n v="778325.33"/>
    <n v="0"/>
    <n v="4934769"/>
    <n v="2791590728"/>
    <s v="LA PULITA &amp; SERVICE S.C.R.L. COOPERATIVA DI"/>
    <s v="430 - Imprese produttive"/>
    <s v="812 - ATTIVITÀ DI PULIZIA E DISINFESTAZIONE"/>
    <s v="086 - ITALIA"/>
    <n v="1919"/>
    <m/>
    <m/>
    <m/>
    <m/>
    <m/>
    <m/>
    <m/>
    <n v="0"/>
    <n v="202506"/>
    <s v="IN VALUTAZIONE RPR"/>
    <x v="1"/>
    <n v="1"/>
    <m/>
    <m/>
    <n v="0"/>
    <n v="812"/>
    <n v="430"/>
    <n v="4308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70"/>
    <s v="14"/>
    <s v="Operazione per conto di importo elevato per la causale ed il soggetto"/>
    <d v="2025-06-18T00:00:00"/>
    <n v="53850"/>
    <n v="102"/>
    <s v="053850_102"/>
    <s v="Discovery Day"/>
    <s v="Mai valutato"/>
    <m/>
    <n v="202506168073611"/>
    <n v="1023308719190"/>
    <n v="20250616"/>
    <x v="1"/>
    <m/>
    <s v="086 - ITALIA"/>
    <s v="A     - Avere"/>
    <n v="1601412.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6"/>
    <s v="IN VALUTAZIONE RPR"/>
    <x v="1"/>
    <n v="1"/>
    <m/>
    <m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167"/>
    <s v="14"/>
    <s v="Operazione per conto di importo elevato per la causale ed il soggetto"/>
    <d v="2025-06-18T00:00:00"/>
    <n v="53850"/>
    <n v="141"/>
    <s v="053850_141"/>
    <s v="Discovery Day"/>
    <s v="Mai valutato"/>
    <m/>
    <n v="202506168075148"/>
    <n v="1413300003749"/>
    <n v="20250616"/>
    <x v="15"/>
    <m/>
    <m/>
    <s v="D     - Dare"/>
    <n v="862601.61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6"/>
    <s v="ARCHIVIATA"/>
    <x v="0"/>
    <n v="1"/>
    <m/>
    <m/>
    <n v="0"/>
    <n v="620"/>
    <n v="430"/>
    <n v="430620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165"/>
    <s v="14"/>
    <s v="Operazione per conto di importo elevato per la causale ed il soggetto"/>
    <d v="2025-06-18T00:00:00"/>
    <n v="53850"/>
    <n v="273"/>
    <s v="053850_273"/>
    <s v="Discovery Day"/>
    <s v="Mai valutato"/>
    <m/>
    <n v="202506168075284"/>
    <n v="2733300010399"/>
    <n v="20250616"/>
    <x v="15"/>
    <m/>
    <m/>
    <s v="D     - Dare"/>
    <n v="703898.06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6"/>
    <s v="ARCHIVIATA DA RPR"/>
    <x v="0"/>
    <n v="1"/>
    <m/>
    <m/>
    <n v="0"/>
    <n v="412"/>
    <n v="430"/>
    <n v="430412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162"/>
    <s v="14"/>
    <s v="Operazione per conto di importo elevato per la causale ed il soggetto"/>
    <d v="2025-06-18T00:00:00"/>
    <n v="53850"/>
    <n v="182"/>
    <s v="053850_182"/>
    <s v="Discovery Day"/>
    <s v="Mai valutato"/>
    <m/>
    <n v="202506168073882"/>
    <n v="1823300072312"/>
    <n v="20250616"/>
    <x v="1"/>
    <m/>
    <s v="086 - ITALIA"/>
    <s v="A     - Avere"/>
    <n v="1326792.8700000001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155"/>
    <s v="14"/>
    <s v="Operazione per conto di importo elevato per la causale ed il soggetto"/>
    <d v="2025-06-18T00:00:00"/>
    <n v="53850"/>
    <n v="102"/>
    <s v="053850_102"/>
    <s v="Discovery Day"/>
    <s v="Mai valutato"/>
    <m/>
    <n v="202506168075393"/>
    <n v="1023308719190"/>
    <n v="20250616"/>
    <x v="15"/>
    <m/>
    <m/>
    <s v="D     - Dare"/>
    <n v="1639507.11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6"/>
    <s v="IN VALUTAZIONE RPR"/>
    <x v="1"/>
    <n v="1"/>
    <m/>
    <m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982"/>
    <s v="14"/>
    <s v="Operazione per conto di importo elevato per la causale ed il soggetto"/>
    <d v="2025-06-14T00:00:00"/>
    <n v="53850"/>
    <n v="109"/>
    <s v="053850_109"/>
    <s v="Discovery Day"/>
    <s v="Mai valutato"/>
    <m/>
    <n v="202506138067916"/>
    <n v="1093306673740"/>
    <n v="20250613"/>
    <x v="11"/>
    <m/>
    <m/>
    <s v="D     - Dare"/>
    <n v="342784.79"/>
    <n v="0"/>
    <n v="4536482"/>
    <n v="268480720"/>
    <s v="RENAUTO SOCIETA' PER AZIONI"/>
    <s v="430 - Imprese produttive"/>
    <s v="451 - COMMERCIO DI AUTOVEICOLI"/>
    <s v="086 - ITALIA"/>
    <n v="1919"/>
    <m/>
    <m/>
    <m/>
    <m/>
    <m/>
    <m/>
    <m/>
    <n v="0"/>
    <n v="202506"/>
    <s v="IN VALUTAZIONE RPR"/>
    <x v="1"/>
    <n v="1"/>
    <m/>
    <m/>
    <n v="0"/>
    <n v="451"/>
    <n v="430"/>
    <n v="430451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81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809"/>
    <n v="1023308725616"/>
    <n v="20250613"/>
    <x v="0"/>
    <m/>
    <m/>
    <s v="D     - Dare"/>
    <n v="77170.3"/>
    <n v="0"/>
    <n v="72722"/>
    <s v="CLMRSO39A68A225J"/>
    <s v="CALEMMA ROS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977"/>
    <s v="14"/>
    <s v="Operazione per conto di importo elevato per la causale ed il soggetto"/>
    <d v="2025-06-14T00:00:00"/>
    <n v="53850"/>
    <n v="149"/>
    <s v="053850_149"/>
    <s v="Discovery Day"/>
    <s v="Mai valutato"/>
    <m/>
    <n v="202506138066117"/>
    <n v="1493300665012"/>
    <n v="20250613"/>
    <x v="1"/>
    <m/>
    <s v="086 - ITALIA"/>
    <s v="A     - Avere"/>
    <n v="1186083.8799999999"/>
    <n v="0"/>
    <n v="3711346"/>
    <n v="9125231218"/>
    <s v="MOLISSO S.R.L."/>
    <s v="430 - Imprese produttive"/>
    <s v="494 - TRASPORTO DI MERCI SU STRADA E SERVIZI DI TRASLOCO"/>
    <s v="086 - ITALIA"/>
    <n v="1910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76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807"/>
    <n v="1023308723080"/>
    <n v="20250613"/>
    <x v="0"/>
    <m/>
    <m/>
    <s v="D     - Dare"/>
    <n v="7502.77"/>
    <n v="0"/>
    <n v="4856954"/>
    <s v="PCRMNL92L71A225G"/>
    <s v="PICERNO MANUELA"/>
    <s v="600 - Famiglie consumatrici"/>
    <m/>
    <s v="086 - ITALIA"/>
    <n v="63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975"/>
    <s v="14"/>
    <s v="Operazione per conto di importo elevato per la causale ed il soggetto"/>
    <d v="2025-06-14T00:00:00"/>
    <n v="53850"/>
    <n v="102"/>
    <s v="053850_102"/>
    <s v="Discovery Day"/>
    <s v="Mai valutato"/>
    <m/>
    <n v="202506138066969"/>
    <n v="1023308719287"/>
    <n v="20250613"/>
    <x v="1"/>
    <m/>
    <s v="086 - ITALIA"/>
    <s v="A     - Avere"/>
    <n v="1000000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6"/>
    <s v="IN VALUTAZIONE RPR"/>
    <x v="1"/>
    <n v="1"/>
    <m/>
    <m/>
    <n v="0"/>
    <n v="462"/>
    <n v="430"/>
    <n v="43046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71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362"/>
    <n v="1023300722320"/>
    <n v="20250613"/>
    <x v="6"/>
    <m/>
    <m/>
    <s v="D     - Dare"/>
    <n v="220000"/>
    <n v="0"/>
    <n v="72232"/>
    <s v="TRCMRA43M58A225A"/>
    <s v="TRICARICO MARI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66"/>
    <s v="14"/>
    <s v="Operazione per conto di importo elevato per la causale ed il soggetto"/>
    <d v="2025-06-14T00:00:00"/>
    <n v="53850"/>
    <n v="170"/>
    <s v="053850_170"/>
    <s v="Discovery Day"/>
    <s v="Mai valutato"/>
    <m/>
    <n v="202506138067021"/>
    <n v="1703306289070"/>
    <n v="20250613"/>
    <x v="1"/>
    <m/>
    <s v="086 - ITALIA"/>
    <s v="A     - Avere"/>
    <n v="246593.07"/>
    <n v="0"/>
    <n v="4423910"/>
    <s v="FGLRCR69H28A285U"/>
    <s v="FIGLIOLIA RICCARDO"/>
    <s v="600 - Famiglie consumatrici"/>
    <m/>
    <s v="086 - ITALIA"/>
    <n v="1476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964"/>
    <s v="14"/>
    <s v="Operazione per conto di importo elevato per la causale ed il soggetto"/>
    <d v="2025-06-14T00:00:00"/>
    <n v="53850"/>
    <n v="141"/>
    <s v="053850_141"/>
    <s v="Discovery Day"/>
    <s v="Mai valutato"/>
    <m/>
    <n v="202506138065787"/>
    <n v="1413300003855"/>
    <n v="20250613"/>
    <x v="3"/>
    <m/>
    <s v="086 - ITALIA"/>
    <s v="D     - Dare"/>
    <n v="1500000"/>
    <n v="0"/>
    <n v="4968719"/>
    <n v="5154150758"/>
    <s v="DFX S.R.L."/>
    <s v="430 - Imprese produttive"/>
    <s v="244 - PRODUZIONE DI METALLI DI BASE PREZIOSI E ALTRI METALLI NON FERROSI, TRATTAMENTO DEI COMBUSTIBILI NUCLEARI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60"/>
    <s v="14"/>
    <s v="Operazione per conto di importo elevato per la causale ed il soggetto"/>
    <d v="2025-06-14T00:00:00"/>
    <n v="53850"/>
    <n v="273"/>
    <s v="053850_273"/>
    <s v="Discovery Day"/>
    <s v="Mai valutato"/>
    <m/>
    <n v="202506138068322"/>
    <n v="2733300002819"/>
    <n v="20250613"/>
    <x v="0"/>
    <m/>
    <m/>
    <s v="D     - Dare"/>
    <n v="11675.26"/>
    <n v="0"/>
    <n v="1681969"/>
    <s v="BZZRMR44C53F839W"/>
    <s v="BOZZELLI ROSAMARIA"/>
    <s v="600 - Famiglie consumatrici"/>
    <m/>
    <s v="086 - ITALIA"/>
    <n v="1752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53"/>
    <s v="14"/>
    <s v="Operazione per conto di importo elevato per la causale ed il soggetto"/>
    <d v="2025-06-14T00:00:00"/>
    <n v="53850"/>
    <n v="170"/>
    <s v="053850_170"/>
    <s v="Discovery Day"/>
    <s v="Mai valutato"/>
    <m/>
    <n v="202506138066990"/>
    <n v="1703306289070"/>
    <n v="20250613"/>
    <x v="1"/>
    <m/>
    <s v="086 - ITALIA"/>
    <s v="A     - Avere"/>
    <n v="246375.52"/>
    <n v="0"/>
    <n v="4423910"/>
    <s v="FGLRCR69H28A285U"/>
    <s v="FIGLIOLIA RICCARDO"/>
    <s v="600 - Famiglie consumatrici"/>
    <m/>
    <s v="086 - ITALIA"/>
    <n v="1476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950"/>
    <s v="14"/>
    <s v="Operazione per conto di importo elevato per la causale ed il soggetto"/>
    <d v="2025-06-13T00:00:00"/>
    <n v="53850"/>
    <n v="175"/>
    <s v="053850_175"/>
    <s v="Discovery Day"/>
    <s v="Mai valutato"/>
    <m/>
    <n v="202506128065123"/>
    <n v="1753302205244"/>
    <n v="20250612"/>
    <x v="15"/>
    <m/>
    <m/>
    <s v="D     - Dare"/>
    <n v="165984.04"/>
    <n v="0"/>
    <n v="4284103"/>
    <s v="CSNRNI78C71F052L"/>
    <s v="COSENTINO IRENE"/>
    <s v="600 - Famiglie consumatrici"/>
    <m/>
    <s v="086 - ITALIA"/>
    <n v="10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46"/>
    <s v="14"/>
    <s v="Operazione per conto di importo elevato per la causale ed il soggetto"/>
    <d v="2025-06-13T00:00:00"/>
    <n v="53850"/>
    <n v="125"/>
    <s v="053850_125"/>
    <s v="Discovery Day"/>
    <s v="Mai valutato"/>
    <m/>
    <n v="202506128062688"/>
    <n v="1253300010173"/>
    <n v="20250612"/>
    <x v="3"/>
    <m/>
    <s v="086 - ITALIA"/>
    <s v="D     - Dare"/>
    <n v="820180.79"/>
    <n v="0"/>
    <n v="4209453"/>
    <n v="448310615"/>
    <s v="SO.FARMA.MORRA S.P.A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41"/>
    <s v="14"/>
    <s v="Operazione per conto di importo elevato per la causale ed il soggetto"/>
    <d v="2025-06-13T00:00:00"/>
    <n v="53850"/>
    <n v="226"/>
    <s v="053850_226"/>
    <s v="Discovery Day"/>
    <s v="Mai valutato"/>
    <m/>
    <n v="202506128062973"/>
    <n v="2263300011983"/>
    <n v="20250612"/>
    <x v="1"/>
    <m/>
    <s v="086 - ITALIA"/>
    <s v="A     - Avere"/>
    <n v="14500000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38"/>
    <s v="14"/>
    <s v="Operazione per conto di importo elevato per la causale ed il soggetto"/>
    <d v="2025-06-13T00:00:00"/>
    <n v="53850"/>
    <n v="226"/>
    <s v="053850_226"/>
    <s v="Discovery Day"/>
    <s v="Mai valutato"/>
    <m/>
    <n v="202506128062193"/>
    <n v="2263300011983"/>
    <n v="20250612"/>
    <x v="3"/>
    <m/>
    <s v="086 - ITALIA"/>
    <s v="D     - Dare"/>
    <n v="2111394.35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937"/>
    <s v="14"/>
    <s v="Operazione per conto di importo elevato per la causale ed il soggetto"/>
    <d v="2025-06-13T00:00:00"/>
    <n v="53850"/>
    <n v="125"/>
    <s v="053850_125"/>
    <s v="Discovery Day"/>
    <s v="Mai valutato"/>
    <m/>
    <n v="202506128062689"/>
    <n v="1253300010173"/>
    <n v="20250612"/>
    <x v="3"/>
    <m/>
    <s v="086 - ITALIA"/>
    <s v="D     - Dare"/>
    <n v="541148.47"/>
    <n v="0"/>
    <n v="4209453"/>
    <n v="448310615"/>
    <s v="SO.FARMA.MORRA S.P.A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30"/>
    <s v="14"/>
    <s v="Operazione per conto di importo elevato per la causale ed il soggetto"/>
    <d v="2025-06-13T00:00:00"/>
    <n v="53850"/>
    <n v="121"/>
    <s v="053850_121"/>
    <s v="Discovery Day"/>
    <s v="Mai valutato"/>
    <m/>
    <n v="202506128063030"/>
    <n v="1213300003612"/>
    <n v="20250612"/>
    <x v="1"/>
    <m/>
    <s v="086 - ITALIA"/>
    <s v="A     - Avere"/>
    <n v="115366.42"/>
    <n v="0"/>
    <n v="3745029"/>
    <s v="CRSCML62C41F839J"/>
    <s v="CRISCUOLO CARMELA"/>
    <s v="615 - Altre famiglie produttrici"/>
    <s v="477 - COMMERCIO AL DETTAGLIO DI ALTRI PRODOTTI IN ESERCIZI SPECIALIZZATI"/>
    <s v="086 - ITALIA"/>
    <n v="928"/>
    <m/>
    <m/>
    <m/>
    <m/>
    <m/>
    <m/>
    <m/>
    <n v="0"/>
    <n v="202506"/>
    <s v="IN VALUTAZIONE RPR"/>
    <x v="1"/>
    <n v="1"/>
    <m/>
    <m/>
    <n v="0"/>
    <n v="477"/>
    <n v="615"/>
    <n v="615477"/>
    <s v="Classe di rischio 6"/>
    <m/>
    <x v="6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921"/>
    <s v="14"/>
    <s v="Operazione per conto di importo elevato per la causale ed il soggetto"/>
    <d v="2025-06-12T00:00:00"/>
    <n v="53850"/>
    <n v="102"/>
    <s v="053850_102"/>
    <s v="Discovery Day"/>
    <s v="Mai valutato"/>
    <m/>
    <n v="202506118059615"/>
    <n v="1503300003188"/>
    <n v="20250611"/>
    <x v="3"/>
    <m/>
    <s v="086 - ITALIA"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19"/>
    <s v="14"/>
    <s v="Operazione per conto di importo elevato per la causale ed il soggetto"/>
    <d v="2025-06-12T00:00:00"/>
    <n v="53850"/>
    <n v="149"/>
    <s v="053850_149"/>
    <s v="Discovery Day"/>
    <s v="Mai valutato"/>
    <m/>
    <n v="202506118061013"/>
    <n v="1490050026458"/>
    <n v="20250611"/>
    <x v="27"/>
    <m/>
    <m/>
    <s v="A     - Ave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16"/>
    <s v="14"/>
    <s v="Operazione per conto di importo elevato per la causale ed il soggetto"/>
    <d v="2025-06-12T00:00:00"/>
    <n v="53850"/>
    <n v="182"/>
    <s v="053850_182"/>
    <s v="Discovery Day"/>
    <s v="Mai valutato"/>
    <m/>
    <n v="202506118061965"/>
    <n v="1823300170963"/>
    <n v="20250611"/>
    <x v="22"/>
    <m/>
    <m/>
    <s v="A     - Avere"/>
    <n v="210000"/>
    <n v="0"/>
    <n v="3001452"/>
    <s v="QRULND54E46L049Z"/>
    <s v="QUERO LINDA"/>
    <s v="600 - Famiglie consumatrici"/>
    <m/>
    <s v="086 - ITALIA"/>
    <n v="61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13"/>
    <s v="14"/>
    <s v="Operazione per conto di importo elevato per la causale ed il soggetto"/>
    <d v="2025-06-12T00:00:00"/>
    <n v="53850"/>
    <n v="200"/>
    <s v="053850_200"/>
    <s v="Discovery Day"/>
    <s v="Mai valutato"/>
    <m/>
    <n v="202506118062007"/>
    <n v="2003300003846"/>
    <n v="20250611"/>
    <x v="9"/>
    <m/>
    <m/>
    <s v="D     - Dare"/>
    <n v="295000"/>
    <n v="0"/>
    <n v="3742853"/>
    <s v="FNCTNA71L63Z614Z"/>
    <s v="FINOCCHIO TANIA"/>
    <s v="600 - Famiglie consumatrici"/>
    <m/>
    <s v="086 - ITALIA"/>
    <n v="1837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10"/>
    <s v="14"/>
    <s v="Operazione per conto di importo elevato per la causale ed il soggetto"/>
    <d v="2025-06-12T00:00:00"/>
    <n v="53850"/>
    <n v="105"/>
    <s v="053850_105"/>
    <s v="Discovery Day"/>
    <s v="Mai valutato"/>
    <m/>
    <n v="202506118060359"/>
    <n v="1053300516650"/>
    <n v="20250611"/>
    <x v="1"/>
    <m/>
    <s v="086 - ITALIA"/>
    <s v="A     - Avere"/>
    <n v="225092.72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09"/>
    <s v="14"/>
    <s v="Operazione per conto di importo elevato per la causale ed il soggetto"/>
    <d v="2025-06-12T00:00:00"/>
    <n v="53850"/>
    <n v="200"/>
    <s v="053850_200"/>
    <s v="Discovery Day"/>
    <s v="Mai valutato"/>
    <m/>
    <n v="202506118062007"/>
    <n v="2003300003846"/>
    <n v="20250611"/>
    <x v="9"/>
    <m/>
    <m/>
    <s v="D     - Dare"/>
    <n v="295000"/>
    <n v="0"/>
    <n v="3742834"/>
    <s v="MRNFBN76S13E058P"/>
    <s v="MARINI FABIANO"/>
    <s v="600 - Famiglie consumatrici"/>
    <m/>
    <s v="086 - ITALIA"/>
    <n v="1837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05"/>
    <s v="14"/>
    <s v="Operazione per conto di importo elevato per la causale ed il soggetto"/>
    <d v="2025-06-12T00:00:00"/>
    <n v="53850"/>
    <n v="182"/>
    <s v="053850_182"/>
    <s v="Discovery Day"/>
    <s v="Mai valutato"/>
    <m/>
    <n v="202506118061965"/>
    <n v="1823300170963"/>
    <n v="20250611"/>
    <x v="22"/>
    <m/>
    <m/>
    <s v="A     - Avere"/>
    <n v="210000"/>
    <n v="0"/>
    <n v="3066145"/>
    <s v="LNCGPP50B01L294P"/>
    <s v="LONOCE GIUSEPPE"/>
    <s v="600 - Famiglie consumatrici"/>
    <m/>
    <s v="086 - ITALIA"/>
    <n v="61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02"/>
    <s v="14"/>
    <s v="Operazione per conto di importo elevato per la causale ed il soggetto"/>
    <d v="2025-06-12T00:00:00"/>
    <n v="53850"/>
    <n v="173"/>
    <s v="053850_173"/>
    <s v="Discovery Day"/>
    <s v="Mai valutato"/>
    <m/>
    <n v="202506118061920"/>
    <n v="1733302704363"/>
    <n v="20250611"/>
    <x v="0"/>
    <m/>
    <m/>
    <s v="D     - Dare"/>
    <n v="70990.02"/>
    <n v="0"/>
    <n v="4418266"/>
    <s v="VRNNCL42P19L425R"/>
    <s v="VERONICO NICOLA"/>
    <s v="600 - Famiglie consumatrici"/>
    <m/>
    <s v="086 - ITALIA"/>
    <n v="117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900"/>
    <s v="14"/>
    <s v="Operazione per conto di importo elevato per la causale ed il soggetto"/>
    <d v="2025-06-12T00:00:00"/>
    <n v="53850"/>
    <n v="102"/>
    <s v="053850_102"/>
    <s v="Discovery Day"/>
    <s v="Mai valutato"/>
    <m/>
    <n v="202506118061275"/>
    <n v="1503300003188"/>
    <n v="20250611"/>
    <x v="5"/>
    <m/>
    <m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98"/>
    <s v="14"/>
    <s v="Operazione per conto di importo elevato per la causale ed il soggetto"/>
    <d v="2025-06-12T00:00:00"/>
    <n v="53850"/>
    <n v="102"/>
    <s v="053850_102"/>
    <s v="Discovery Day"/>
    <s v="Mai valutato"/>
    <m/>
    <n v="202506118058928"/>
    <n v="1023302279020"/>
    <n v="20250611"/>
    <x v="8"/>
    <m/>
    <m/>
    <s v="D     - Dare"/>
    <n v="469991.14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6"/>
    <s v="IN VALUTAZIONE RPR"/>
    <x v="1"/>
    <n v="1"/>
    <m/>
    <m/>
    <n v="0"/>
    <n v="493"/>
    <n v="430"/>
    <n v="43049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95"/>
    <s v="14"/>
    <s v="Operazione per conto di importo elevato per la causale ed il soggetto"/>
    <d v="2025-06-12T00:00:00"/>
    <n v="53850"/>
    <n v="171"/>
    <s v="053850_171"/>
    <s v="Discovery Day"/>
    <s v="Mai valutato"/>
    <m/>
    <n v="202506118061914"/>
    <n v="1713302219286"/>
    <n v="20250611"/>
    <x v="3"/>
    <m/>
    <s v="086 - ITALIA"/>
    <s v="D     - Dare"/>
    <n v="257000"/>
    <n v="0"/>
    <n v="4928601"/>
    <s v="MDGCMN86M64A662X"/>
    <s v="MODUGNO CARMEN"/>
    <s v="600 - Famiglie consumatrici"/>
    <m/>
    <s v="086 - ITALIA"/>
    <n v="856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891"/>
    <s v="14"/>
    <s v="Operazione per conto di importo elevato per la causale ed il soggetto"/>
    <d v="2025-06-12T00:00:00"/>
    <n v="53850"/>
    <n v="286"/>
    <s v="053850_286"/>
    <s v="Discovery Day"/>
    <s v="Mai valutato"/>
    <m/>
    <n v="202506118059843"/>
    <n v="2863300003269"/>
    <n v="20250611"/>
    <x v="1"/>
    <m/>
    <s v="086 - ITALIA"/>
    <s v="A     - Avere"/>
    <n v="1093229.97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90"/>
    <s v="14"/>
    <s v="Operazione per conto di importo elevato per la causale ed il soggetto"/>
    <d v="2025-06-12T00:00:00"/>
    <n v="53850"/>
    <n v="102"/>
    <s v="053850_102"/>
    <s v="Discovery Day"/>
    <s v="Mai valutato"/>
    <m/>
    <n v="202506118060223"/>
    <n v="1023302279020"/>
    <n v="20250611"/>
    <x v="30"/>
    <m/>
    <s v="094 - GERMANIA"/>
    <s v="A     - Avere"/>
    <n v="700000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6"/>
    <s v="IN VALUTAZIONE RPR"/>
    <x v="1"/>
    <n v="1"/>
    <m/>
    <m/>
    <n v="0"/>
    <n v="493"/>
    <n v="430"/>
    <n v="43049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88"/>
    <s v="14"/>
    <s v="Operazione per conto di importo elevato per la causale ed il soggetto"/>
    <d v="2025-06-12T00:00:00"/>
    <n v="53850"/>
    <n v="149"/>
    <s v="053850_149"/>
    <s v="Discovery Day"/>
    <s v="Mai valutato"/>
    <m/>
    <n v="202506118061012"/>
    <n v="1490060046823"/>
    <n v="20250611"/>
    <x v="32"/>
    <m/>
    <m/>
    <s v="D     - Da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5"/>
    <s v="14"/>
    <s v="Operazione per conto di importo elevato per la causale ed il soggetto"/>
    <d v="2025-06-12T00:00:00"/>
    <n v="53850"/>
    <n v="102"/>
    <s v="053850_102"/>
    <s v="Discovery Day"/>
    <s v="Mai valutato"/>
    <m/>
    <n v="202506118061628"/>
    <n v="1603300002981"/>
    <n v="20250611"/>
    <x v="15"/>
    <m/>
    <m/>
    <s v="D     - Dare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6"/>
    <s v="IN VALUTAZIONE RPR"/>
    <x v="1"/>
    <n v="1"/>
    <m/>
    <m/>
    <n v="0"/>
    <n v="999"/>
    <n v="475"/>
    <n v="475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4"/>
    <s v="14"/>
    <s v="Operazione per conto di importo elevato per la causale ed il soggetto"/>
    <d v="2025-06-12T00:00:00"/>
    <n v="53850"/>
    <n v="136"/>
    <s v="053850_136"/>
    <s v="Discovery Day"/>
    <s v="Mai valutato"/>
    <m/>
    <n v="202506118060772"/>
    <n v="1361147800126"/>
    <n v="20250611"/>
    <x v="30"/>
    <m/>
    <s v="238 - ABU DHABI"/>
    <s v="D     - Dare"/>
    <n v="1149602.8999999999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1"/>
    <s v="14"/>
    <s v="Operazione per conto di importo elevato per la causale ed il soggetto"/>
    <d v="2025-06-12T00:00:00"/>
    <n v="53850"/>
    <n v="118"/>
    <s v="053850_118"/>
    <s v="Discovery Day"/>
    <s v="Mai valutato"/>
    <m/>
    <s v="202506118125074L"/>
    <n v="1183306278085"/>
    <n v="20250611"/>
    <x v="0"/>
    <m/>
    <m/>
    <s v="D     - Dare"/>
    <n v="1787.56"/>
    <n v="0"/>
    <n v="196672"/>
    <s v="CRLCRN38P48A225G"/>
    <s v="CARLUCCI CATERINA MARI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879"/>
    <s v="14"/>
    <s v="Operazione per conto di importo elevato per la causale ed il soggetto"/>
    <d v="2025-06-11T00:00:00"/>
    <n v="53850"/>
    <n v="103"/>
    <s v="053850_103"/>
    <s v="Discovery Day"/>
    <s v="Mai valutato"/>
    <m/>
    <n v="202506108056981"/>
    <n v="1033306974262"/>
    <n v="20250610"/>
    <x v="1"/>
    <m/>
    <s v="086 - ITALIA"/>
    <s v="A     - Avere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6"/>
    <s v="IN VALUTAZIONE RPR"/>
    <x v="1"/>
    <n v="1"/>
    <m/>
    <m/>
    <n v="0"/>
    <n v="999"/>
    <n v="492"/>
    <n v="492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78"/>
    <s v="14"/>
    <s v="Operazione per conto di importo elevato per la causale ed il soggetto"/>
    <d v="2025-06-11T00:00:00"/>
    <n v="53850"/>
    <n v="279"/>
    <s v="053850_279"/>
    <s v="Discovery Day"/>
    <s v="Mai valutato"/>
    <m/>
    <s v="202506108062576L"/>
    <n v="2793300010143"/>
    <n v="20250610"/>
    <x v="0"/>
    <m/>
    <m/>
    <s v="D     - Dare"/>
    <n v="1256.45"/>
    <n v="0"/>
    <n v="4995791"/>
    <n v="17098181005"/>
    <s v="NAZIONALE 82 SOCIETA' A RESPONSABILITA' LIMITATA"/>
    <s v="430 - Imprese produttive"/>
    <s v="551 - ALBERGHI E STRUTTURE SIMILI"/>
    <s v="086 - ITALIA"/>
    <n v="1786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77"/>
    <s v="14"/>
    <s v="Operazione per conto di importo elevato per la causale ed il soggetto"/>
    <d v="2025-06-11T00:00:00"/>
    <n v="53850"/>
    <n v="102"/>
    <s v="053850_102"/>
    <s v="Discovery Day"/>
    <s v="Mai valutato"/>
    <m/>
    <n v="202506108057024"/>
    <n v="1603300002981"/>
    <n v="20250610"/>
    <x v="1"/>
    <m/>
    <s v="086 - ITALIA"/>
    <s v="A     - Avere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6"/>
    <s v="IN VALUTAZIONE RPR"/>
    <x v="1"/>
    <n v="1"/>
    <m/>
    <m/>
    <n v="0"/>
    <n v="999"/>
    <n v="475"/>
    <n v="475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72"/>
    <s v="14"/>
    <s v="Operazione per conto di importo elevato per la causale ed il soggetto"/>
    <d v="2025-06-11T00:00:00"/>
    <n v="53850"/>
    <n v="105"/>
    <s v="053850_105"/>
    <s v="Discovery Day"/>
    <s v="Mai valutato"/>
    <m/>
    <n v="202506108058130"/>
    <n v="1053300336450"/>
    <n v="20250610"/>
    <x v="22"/>
    <m/>
    <m/>
    <s v="A     - Avere"/>
    <n v="158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71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2012794"/>
    <s v="SNTCLG51T41F205C"/>
    <s v="SANTANDREA CARLA GRAZIELLA"/>
    <s v="600 - Famiglie consumatrici"/>
    <m/>
    <s v="086 - ITALIA"/>
    <n v="104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66"/>
    <s v="14"/>
    <s v="Operazione per conto di importo elevato per la causale ed il soggetto"/>
    <d v="2025-06-11T00:00:00"/>
    <n v="53850"/>
    <n v="195"/>
    <s v="053850_195"/>
    <s v="Discovery Day"/>
    <s v="Mai valutato"/>
    <m/>
    <n v="202506108058045"/>
    <n v="1953300019387"/>
    <n v="20250610"/>
    <x v="0"/>
    <m/>
    <m/>
    <s v="D     - Dare"/>
    <n v="9833.6"/>
    <n v="0"/>
    <n v="3006477"/>
    <s v="MPPGFR64S11G252V"/>
    <s v="MAPPA GIANFRANCO"/>
    <s v="600 - Famiglie consumatrici"/>
    <m/>
    <s v="086 - ITALIA"/>
    <n v="14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63"/>
    <s v="14"/>
    <s v="Operazione per conto di importo elevato per la causale ed il soggetto"/>
    <d v="2025-06-11T00:00:00"/>
    <n v="53850"/>
    <n v="116"/>
    <s v="053850_116"/>
    <s v="Discovery Day"/>
    <s v="Mai valutato"/>
    <m/>
    <n v="202506108055575"/>
    <n v="2173300010307"/>
    <n v="20250610"/>
    <x v="3"/>
    <m/>
    <s v="086 - ITALIA"/>
    <s v="D     - Dare"/>
    <n v="123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861"/>
    <s v="14"/>
    <s v="Operazione per conto di importo elevato per la causale ed il soggetto"/>
    <d v="2025-06-11T00:00:00"/>
    <n v="53850"/>
    <n v="187"/>
    <s v="053850_187"/>
    <s v="Discovery Day"/>
    <s v="Mai valutato"/>
    <m/>
    <n v="202506108055638"/>
    <n v="999361870311"/>
    <n v="20250610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58"/>
    <s v="14"/>
    <s v="Operazione per conto di importo elevato per la causale ed il soggetto"/>
    <d v="2025-06-11T00:00:00"/>
    <n v="53850"/>
    <n v="259"/>
    <s v="053850_259"/>
    <s v="Discovery Day"/>
    <s v="Mai valutato"/>
    <m/>
    <n v="202506108056982"/>
    <n v="2593300001020"/>
    <n v="20250610"/>
    <x v="1"/>
    <m/>
    <s v="086 - ITALIA"/>
    <s v="A     - Avere"/>
    <n v="14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857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4383917"/>
    <s v="SNTRRT56L29F205W"/>
    <s v="SANTANDREA ROBERTO"/>
    <s v="600 - Famiglie consumatrici"/>
    <m/>
    <s v="086 - ITALIA"/>
    <n v="104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56"/>
    <s v="14"/>
    <s v="Operazione per conto di importo elevato per la causale ed il soggetto"/>
    <d v="2025-06-11T00:00:00"/>
    <n v="53850"/>
    <n v="125"/>
    <s v="053850_125"/>
    <s v="Discovery Day"/>
    <s v="Mai valutato"/>
    <m/>
    <s v="202506108065837L"/>
    <n v="1253300002492"/>
    <n v="20250610"/>
    <x v="0"/>
    <m/>
    <m/>
    <s v="D     - Dare"/>
    <n v="1472.6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54"/>
    <s v="14"/>
    <s v="Operazione per conto di importo elevato per la causale ed il soggetto"/>
    <d v="2025-06-11T00:00:00"/>
    <n v="53850"/>
    <n v="196"/>
    <s v="053850_196"/>
    <s v="Discovery Day"/>
    <s v="Mai valutato"/>
    <m/>
    <s v="202506108062826L"/>
    <n v="1963302354339"/>
    <n v="20250610"/>
    <x v="0"/>
    <m/>
    <m/>
    <s v="D     - Dare"/>
    <n v="1095.5999999999999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6"/>
    <s v="IN VALUTAZIONE RPR"/>
    <x v="1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52"/>
    <s v="14"/>
    <s v="Operazione per conto di importo elevato per la causale ed il soggetto"/>
    <d v="2025-06-11T00:00:00"/>
    <n v="53850"/>
    <n v="147"/>
    <s v="053850_147"/>
    <s v="Discovery Day"/>
    <s v="Mai valutato"/>
    <m/>
    <n v="202506108058305"/>
    <n v="1473300001779"/>
    <n v="20250610"/>
    <x v="0"/>
    <m/>
    <m/>
    <s v="D     - Dare"/>
    <n v="5331.37"/>
    <n v="0"/>
    <n v="4609332"/>
    <s v="LPZFNC93A41I234T"/>
    <s v="LOPEZ FRANCESC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851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4230775"/>
    <s v="RSSLND30A58L665T"/>
    <s v="ROSSETTI IOLANDA"/>
    <s v="600 - Famiglie consumatrici"/>
    <m/>
    <s v="086 - ITALIA"/>
    <n v="104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48"/>
    <s v="14"/>
    <s v="Operazione per conto di importo elevato per la causale ed il soggetto"/>
    <d v="2025-06-11T00:00:00"/>
    <n v="53850"/>
    <n v="109"/>
    <s v="053850_109"/>
    <s v="Discovery Day"/>
    <s v="Mai valutato"/>
    <m/>
    <s v="202506108066031L"/>
    <n v="1093306674452"/>
    <n v="20250610"/>
    <x v="0"/>
    <m/>
    <m/>
    <s v="D     - Dare"/>
    <n v="2616.7199999999998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846"/>
    <s v="14"/>
    <s v="Operazione per conto di importo elevato per la causale ed il soggetto"/>
    <d v="2025-06-11T00:00:00"/>
    <n v="53850"/>
    <n v="164"/>
    <s v="053850_164"/>
    <s v="Discovery Day"/>
    <s v="Mai valutato"/>
    <m/>
    <n v="202506108058364"/>
    <n v="1643300370057"/>
    <n v="20250610"/>
    <x v="0"/>
    <m/>
    <m/>
    <s v="D     - Dare"/>
    <n v="13210.56"/>
    <n v="0"/>
    <n v="816125"/>
    <s v="TDSFNC88R45H926X"/>
    <s v="TEDESCO FRANCESCA"/>
    <s v="600 - Famiglie consumatrici"/>
    <m/>
    <s v="086 - ITALIA"/>
    <n v="79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840"/>
    <s v="14"/>
    <s v="Operazione per conto di importo elevato per la causale ed il soggetto"/>
    <d v="2025-06-11T00:00:00"/>
    <n v="53850"/>
    <n v="109"/>
    <s v="053850_109"/>
    <s v="Discovery Day"/>
    <s v="Mai valutato"/>
    <m/>
    <s v="202506108066023L"/>
    <n v="1093306672791"/>
    <n v="20250610"/>
    <x v="0"/>
    <m/>
    <m/>
    <s v="D     - Dare"/>
    <n v="1248.1500000000001"/>
    <n v="0"/>
    <n v="4711527"/>
    <n v="6286800724"/>
    <s v="MERCANTILE SOCIETA' A RESPONSABILITA'LIMITATA"/>
    <s v="430 - Imprese produttive"/>
    <s v="561 - RISTORANTI E ATTIVITÀ DI RISTORAZIONE MOBILE"/>
    <s v="086 - ITALIA"/>
    <n v="50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39"/>
    <s v="14"/>
    <s v="Operazione per conto di importo elevato per la causale ed il soggetto"/>
    <d v="2025-06-11T00:00:00"/>
    <n v="53850"/>
    <n v="110"/>
    <s v="053850_110"/>
    <s v="Discovery Day"/>
    <s v="Mai valutato"/>
    <m/>
    <n v="202506108058174"/>
    <n v="1103306284439"/>
    <n v="20250610"/>
    <x v="0"/>
    <m/>
    <m/>
    <s v="D     - Dare"/>
    <n v="35138.76"/>
    <n v="0"/>
    <n v="548785"/>
    <s v="VLNLRD36H46A669Y"/>
    <s v="VIOLANTE ALFREDINA"/>
    <s v="600 - Famiglie consumatrici"/>
    <m/>
    <s v="086 - ITALIA"/>
    <n v="107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827"/>
    <s v="14"/>
    <s v="Operazione per conto di importo elevato per la causale ed il soggetto"/>
    <d v="2025-06-10T00:00:00"/>
    <n v="53850"/>
    <n v="274"/>
    <s v="053850_274"/>
    <s v="Discovery Day"/>
    <s v="Mai valutato"/>
    <m/>
    <n v="202506098055200"/>
    <n v="2743300000954"/>
    <n v="20250609"/>
    <x v="0"/>
    <m/>
    <m/>
    <s v="D     - Dare"/>
    <n v="5555.95"/>
    <n v="0"/>
    <n v="1666695"/>
    <s v="CCCBNC46D59F196I"/>
    <s v="CICCHITELLI BIANCA"/>
    <s v="600 - Famiglie consumatrici"/>
    <m/>
    <s v="086 - ITALIA"/>
    <n v="1751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21"/>
    <s v="14"/>
    <s v="Operazione per conto di importo elevato per la causale ed il soggetto"/>
    <d v="2025-06-10T00:00:00"/>
    <n v="53850"/>
    <n v="279"/>
    <s v="053850_279"/>
    <s v="Discovery Day"/>
    <s v="Mai valutato"/>
    <m/>
    <s v="202506097977510L"/>
    <n v="2793300001520"/>
    <n v="20250609"/>
    <x v="0"/>
    <m/>
    <m/>
    <s v="D     - Dare"/>
    <n v="1399.88"/>
    <n v="0"/>
    <n v="1693372"/>
    <s v="FRNLDM61E48I526K"/>
    <s v="FRANCESCHELLI IOLANDA MATILDE"/>
    <s v="615 - Altre famiglie produttrici"/>
    <s v="471 - COMMERCIO AL DETTAGLIO IN ESERCIZI NON SPECIALIZZATI"/>
    <s v="086 - ITALIA"/>
    <n v="1786"/>
    <m/>
    <m/>
    <m/>
    <m/>
    <m/>
    <m/>
    <m/>
    <n v="0"/>
    <n v="202506"/>
    <s v="IN CARICO AL RESPONSABILE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20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7"/>
    <n v="1363300003325"/>
    <n v="20250609"/>
    <x v="16"/>
    <m/>
    <m/>
    <s v="D     - Dare"/>
    <n v="1156392.72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08"/>
    <s v="14"/>
    <s v="Operazione per conto di importo elevato per la causale ed il soggetto"/>
    <d v="2025-06-10T00:00:00"/>
    <n v="53850"/>
    <n v="192"/>
    <s v="053850_192"/>
    <s v="Discovery Day"/>
    <s v="Mai valutato"/>
    <m/>
    <n v="202506098055085"/>
    <n v="1923300181649"/>
    <n v="20250609"/>
    <x v="0"/>
    <m/>
    <m/>
    <s v="D     - Dare"/>
    <n v="11906.71"/>
    <n v="0"/>
    <n v="4717312"/>
    <s v="FNLLRA70D42E986A"/>
    <s v="FANELLI LAURA"/>
    <s v="600 - Famiglie consumatrici"/>
    <m/>
    <s v="086 - ITALIA"/>
    <n v="3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06"/>
    <s v="14"/>
    <s v="Operazione per conto di importo elevato per la causale ed il soggetto"/>
    <d v="2025-06-10T00:00:00"/>
    <n v="53850"/>
    <n v="109"/>
    <s v="053850_109"/>
    <s v="Discovery Day"/>
    <s v="Mai valutato"/>
    <m/>
    <s v="202506097973994L"/>
    <n v="1093300221090"/>
    <n v="20250609"/>
    <x v="0"/>
    <m/>
    <m/>
    <s v="D     - Dare"/>
    <n v="1399.42"/>
    <n v="0"/>
    <n v="4861802"/>
    <n v="3811090723"/>
    <s v="SANTA MARIA S.R.L."/>
    <s v="430 - Imprese produttive"/>
    <s v="861 - SERVIZI OSPEDALIERI"/>
    <s v="086 - ITALIA"/>
    <n v="1919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97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6"/>
    <n v="1361147800126"/>
    <n v="20250609"/>
    <x v="17"/>
    <m/>
    <m/>
    <s v="A     - Avere"/>
    <n v="1156392.72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92"/>
    <s v="14"/>
    <s v="Operazione per conto di importo elevato per la causale ed il soggetto"/>
    <d v="2025-06-10T00:00:00"/>
    <n v="53850"/>
    <n v="137"/>
    <s v="053850_137"/>
    <s v="Discovery Day"/>
    <s v="Mai valutato"/>
    <m/>
    <s v="202506097974596L"/>
    <n v="1373300005221"/>
    <n v="20250609"/>
    <x v="0"/>
    <m/>
    <m/>
    <s v="D     - Dare"/>
    <n v="1025.6600000000001"/>
    <n v="0"/>
    <n v="4896820"/>
    <n v="1790220709"/>
    <s v="ACCADEMIA BRITANNICA SERVICES S.R.L."/>
    <s v="430 - Imprese produttive"/>
    <s v="791 - ATTIVITÀ DELLE AGENZIE DI VIAGGIO E DEI TOUR OPERATOR"/>
    <s v="086 - ITALIA"/>
    <n v="1856"/>
    <m/>
    <m/>
    <m/>
    <m/>
    <m/>
    <m/>
    <m/>
    <n v="0"/>
    <n v="202506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91"/>
    <s v="14"/>
    <s v="Operazione per conto di importo elevato per la causale ed il soggetto"/>
    <d v="2025-06-10T00:00:00"/>
    <n v="53850"/>
    <n v="192"/>
    <s v="053850_192"/>
    <s v="Discovery Day"/>
    <s v="Mai valutato"/>
    <m/>
    <n v="202506098055085"/>
    <n v="1923300181649"/>
    <n v="20250609"/>
    <x v="0"/>
    <m/>
    <m/>
    <s v="D     - Dare"/>
    <n v="11906.71"/>
    <n v="0"/>
    <n v="4306613"/>
    <s v="CNSNGL37M52E986D"/>
    <s v="CONSERVA ANGEL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789"/>
    <s v="14"/>
    <s v="Operazione per conto di importo elevato per la causale ed il soggetto"/>
    <d v="2025-06-10T00:00:00"/>
    <n v="53850"/>
    <n v="105"/>
    <s v="053850_105"/>
    <s v="Discovery Day"/>
    <s v="Mai valutato"/>
    <m/>
    <n v="202506098052986"/>
    <n v="1053306287103"/>
    <n v="20250609"/>
    <x v="1"/>
    <m/>
    <s v="086 - ITALIA"/>
    <s v="A     - Avere"/>
    <n v="3816880.07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787"/>
    <s v="14"/>
    <s v="Operazione per conto di importo elevato per la causale ed il soggetto"/>
    <d v="2025-06-10T00:00:00"/>
    <n v="53850"/>
    <n v="109"/>
    <s v="053850_109"/>
    <s v="Discovery Day"/>
    <s v="Mai valutato"/>
    <m/>
    <s v="202506097974370L"/>
    <n v="1093306677028"/>
    <n v="20250609"/>
    <x v="0"/>
    <m/>
    <m/>
    <s v="D     - Dare"/>
    <n v="2669.27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784"/>
    <s v="14"/>
    <s v="Operazione per conto di importo elevato per la causale ed il soggetto"/>
    <d v="2025-06-10T00:00:00"/>
    <n v="53850"/>
    <n v="284"/>
    <s v="053850_284"/>
    <s v="Discovery Day"/>
    <s v="Mai valutato"/>
    <m/>
    <s v="202506097977438L"/>
    <n v="2843300001336"/>
    <n v="20250609"/>
    <x v="0"/>
    <m/>
    <m/>
    <s v="D     - Dare"/>
    <n v="1620.54"/>
    <n v="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6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783"/>
    <s v="14"/>
    <s v="Operazione per conto di importo elevato per la causale ed il soggetto"/>
    <d v="2025-06-10T00:00:00"/>
    <n v="53850"/>
    <n v="169"/>
    <s v="053850_169"/>
    <s v="Discovery Day"/>
    <s v="Mai valutato"/>
    <m/>
    <n v="202506098054318"/>
    <n v="1693302224337"/>
    <n v="20250609"/>
    <x v="6"/>
    <m/>
    <m/>
    <s v="D     - Dare"/>
    <n v="240000"/>
    <n v="0"/>
    <n v="4566922"/>
    <s v="CNTFNC90R31A883V"/>
    <s v="CONTO' FRANCESCO PAOLO"/>
    <s v="600 - Famiglie consumatrici"/>
    <m/>
    <s v="086 - ITALIA"/>
    <n v="126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82"/>
    <s v="14"/>
    <s v="Operazione per conto di importo elevato per la causale ed il soggetto"/>
    <d v="2025-06-10T00:00:00"/>
    <n v="53850"/>
    <n v="216"/>
    <s v="053850_216"/>
    <s v="Discovery Day"/>
    <s v="Mai valutato"/>
    <m/>
    <s v="202506097977664L"/>
    <n v="2163300012270"/>
    <n v="20250609"/>
    <x v="0"/>
    <m/>
    <m/>
    <s v="D     - Dare"/>
    <n v="1140.96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6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81"/>
    <s v="14"/>
    <s v="Operazione per conto di importo elevato per la causale ed il soggetto"/>
    <d v="2025-06-10T00:00:00"/>
    <n v="53850"/>
    <n v="175"/>
    <s v="053850_175"/>
    <s v="Discovery Day"/>
    <s v="Mai valutato"/>
    <m/>
    <s v="202506097978446L"/>
    <n v="1753302203838"/>
    <n v="20250609"/>
    <x v="0"/>
    <m/>
    <m/>
    <s v="D     - Dare"/>
    <n v="1189.71"/>
    <n v="0"/>
    <n v="4913064"/>
    <n v="1222420778"/>
    <s v="TRATTORIA DEL CAVEOSO S.R.L."/>
    <s v="430 - Imprese produttive"/>
    <s v="561 - RISTORANTI E ATTIVITÀ DI RISTORAZIONE MOBILE"/>
    <s v="086 - ITALIA"/>
    <n v="1110"/>
    <m/>
    <m/>
    <m/>
    <m/>
    <m/>
    <m/>
    <m/>
    <n v="0"/>
    <n v="202506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775"/>
    <s v="14"/>
    <s v="Operazione per conto di importo elevato per la causale ed il soggetto"/>
    <d v="2025-06-10T00:00:00"/>
    <n v="53850"/>
    <n v="274"/>
    <s v="053850_274"/>
    <s v="Discovery Day"/>
    <s v="Mai valutato"/>
    <m/>
    <n v="202506098055200"/>
    <n v="2743300000954"/>
    <n v="20250609"/>
    <x v="0"/>
    <m/>
    <m/>
    <s v="D     - Dare"/>
    <n v="5555.95"/>
    <n v="0"/>
    <n v="1666696"/>
    <s v="RMNMRM64H66F196C"/>
    <s v="RIMANO MARIA ROMANA"/>
    <s v="600 - Famiglie consumatrici"/>
    <m/>
    <s v="086 - ITALIA"/>
    <n v="1751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769"/>
    <s v="14"/>
    <s v="Operazione per conto di importo elevato per la causale ed il soggetto"/>
    <d v="2025-06-10T00:00:00"/>
    <n v="53850"/>
    <n v="141"/>
    <s v="053850_141"/>
    <s v="Discovery Day"/>
    <s v="Mai valutato"/>
    <m/>
    <n v="202506098052815"/>
    <n v="1413300003855"/>
    <n v="20250609"/>
    <x v="1"/>
    <m/>
    <s v="086 - ITALIA"/>
    <s v="A     - Avere"/>
    <n v="1500000"/>
    <n v="0"/>
    <n v="4968719"/>
    <n v="5154150758"/>
    <s v="DFX S.R.L."/>
    <s v="430 - Imprese produttive"/>
    <s v="244 - PRODUZIONE DI METALLI DI BASE PREZIOSI E ALTRI METALLI NON FERROSI, TRATTAMENTO DEI COMBUSTIBILI NUCLEARI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768"/>
    <s v="14"/>
    <s v="Operazione per conto di importo elevato per la causale ed il soggetto"/>
    <d v="2025-06-10T00:00:00"/>
    <n v="53850"/>
    <n v="109"/>
    <s v="053850_109"/>
    <s v="Discovery Day"/>
    <s v="Mai valutato"/>
    <m/>
    <s v="202506097974409L"/>
    <n v="1093306674566"/>
    <n v="20250609"/>
    <x v="0"/>
    <m/>
    <m/>
    <s v="D     - Dare"/>
    <n v="2718.95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761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8"/>
    <n v="1363300003325"/>
    <n v="20250609"/>
    <x v="24"/>
    <m/>
    <m/>
    <s v="A     - Avere"/>
    <n v="999996.13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699996.13"/>
    <n v="714996.13"/>
    <n v="729996.13"/>
    <n v="744996.13"/>
    <n v="759996.13"/>
    <n v="774996.13"/>
    <n v="789996.13"/>
    <n v="804996.13"/>
    <n v="819996.13"/>
    <n v="834996.13"/>
    <n v="849996.13"/>
    <n v="864996.13"/>
    <n v="879996.13"/>
    <n v="894996.13"/>
    <n v="909996.13"/>
    <n v="924996.13"/>
    <n v="939996.13"/>
    <n v="954996.13"/>
    <n v="969996.13"/>
    <n v="984996.13"/>
    <n v="999996.1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58"/>
    <s v="14"/>
    <s v="Operazione per conto di importo elevato per la causale ed il soggetto"/>
    <d v="2025-06-07T00:00:00"/>
    <n v="53850"/>
    <n v="147"/>
    <s v="053850_147"/>
    <s v="Discovery Day"/>
    <s v="Mai valutato"/>
    <m/>
    <n v="202506068048398"/>
    <n v="1473300001691"/>
    <n v="20250606"/>
    <x v="0"/>
    <m/>
    <m/>
    <s v="D     - Dare"/>
    <n v="22560.58"/>
    <n v="0"/>
    <n v="4420547"/>
    <s v="STLTRS90S53E791Z"/>
    <s v="STELLATO TERESA"/>
    <s v="600 - Famiglie consumatrici"/>
    <m/>
    <s v="086 - ITALIA"/>
    <n v="142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752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496541"/>
    <s v="DZNPRP58E10L425B"/>
    <s v="DI ZONNO PIETRO PAOLO"/>
    <s v="600 - Famiglie consumatrici"/>
    <m/>
    <s v="086 - ITALIA"/>
    <n v="147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39"/>
    <s v="14"/>
    <s v="Operazione per conto di importo elevato per la causale ed il soggetto"/>
    <d v="2025-06-07T00:00:00"/>
    <n v="53850"/>
    <n v="102"/>
    <s v="053850_102"/>
    <s v="Discovery Day"/>
    <s v="Mai valutato"/>
    <m/>
    <n v="202506068046908"/>
    <n v="1023308719030"/>
    <n v="20250606"/>
    <x v="1"/>
    <m/>
    <s v="086 - ITALIA"/>
    <s v="A     - Avere"/>
    <n v="1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738"/>
    <s v="14"/>
    <s v="Operazione per conto di importo elevato per la causale ed il soggetto"/>
    <d v="2025-06-07T00:00:00"/>
    <n v="53850"/>
    <n v="105"/>
    <s v="053850_105"/>
    <s v="Discovery Day"/>
    <s v="Mai valutato"/>
    <m/>
    <s v="202506067915968L"/>
    <n v="1053306286975"/>
    <n v="20250606"/>
    <x v="0"/>
    <m/>
    <m/>
    <s v="D     - Dare"/>
    <n v="1184.79"/>
    <n v="0"/>
    <n v="434072"/>
    <s v="PRFVRN32P14L472Z"/>
    <s v="PERFIDO VITO ORONZO"/>
    <s v="600 - Famiglie consumatrici"/>
    <m/>
    <s v="086 - ITALIA"/>
    <n v="833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36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571081"/>
    <s v="DZNNLP33L01F923D"/>
    <s v="DI ZONNO NICOLA PIETRO"/>
    <s v="600 - Famiglie consumatrici"/>
    <m/>
    <s v="086 - ITALIA"/>
    <n v="117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34"/>
    <s v="14"/>
    <s v="Operazione per conto di importo elevato per la causale ed il soggetto"/>
    <d v="2025-06-07T00:00:00"/>
    <n v="53850"/>
    <n v="134"/>
    <s v="053850_134"/>
    <s v="Discovery Day"/>
    <s v="Mai valutato"/>
    <m/>
    <n v="202506068048357"/>
    <n v="1303300001226"/>
    <n v="20250606"/>
    <x v="0"/>
    <m/>
    <m/>
    <s v="D     - Dare"/>
    <n v="26834.720000000001"/>
    <n v="0"/>
    <n v="4005229"/>
    <s v="DNDMRA44C63A020E"/>
    <s v="D'ANDRIA MARIA"/>
    <s v="600 - Famiglie consumatrici"/>
    <m/>
    <s v="086 - ITALIA"/>
    <n v="80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733"/>
    <s v="14"/>
    <s v="Operazione per conto di importo elevato per la causale ed il soggetto"/>
    <d v="2025-06-07T00:00:00"/>
    <n v="53850"/>
    <n v="181"/>
    <s v="053850_181"/>
    <s v="Discovery Day"/>
    <s v="Mai valutato"/>
    <m/>
    <n v="202506068048512"/>
    <n v="1813300010594"/>
    <n v="20250606"/>
    <x v="0"/>
    <m/>
    <m/>
    <s v="D     - Dare"/>
    <n v="18063.330000000002"/>
    <n v="0"/>
    <n v="601835"/>
    <n v="83003310725"/>
    <s v="TRIBUNALE DI TRANI"/>
    <s v="102 - Amministrazione Statale e Organi Costituzionali"/>
    <m/>
    <s v="086 - ITALIA"/>
    <n v="1401"/>
    <m/>
    <m/>
    <m/>
    <m/>
    <m/>
    <m/>
    <m/>
    <n v="0"/>
    <n v="202506"/>
    <s v="IN VALUTAZIONE RPR"/>
    <x v="1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30"/>
    <s v="14"/>
    <s v="Operazione per conto di importo elevato per la causale ed il soggetto"/>
    <d v="2025-06-07T00:00:00"/>
    <n v="53850"/>
    <n v="105"/>
    <s v="053850_105"/>
    <s v="Discovery Day"/>
    <s v="Mai valutato"/>
    <m/>
    <n v="202506068048227"/>
    <n v="1053305150380"/>
    <n v="20250606"/>
    <x v="9"/>
    <m/>
    <m/>
    <s v="D     - Dare"/>
    <n v="200200"/>
    <n v="0"/>
    <n v="515038"/>
    <s v="SNSCMD63T11B619B"/>
    <s v="SINESI COSIMO DAMIANO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28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571084"/>
    <s v="TTLGVN32H43L425I"/>
    <s v="OTTOLINO GIOVIN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27"/>
    <s v="14"/>
    <s v="Operazione per conto di importo elevato per la causale ed il soggetto"/>
    <d v="2025-06-07T00:00:00"/>
    <n v="53850"/>
    <n v="274"/>
    <s v="053850_274"/>
    <s v="Discovery Day"/>
    <s v="Mai valutato"/>
    <m/>
    <n v="202506068048663"/>
    <n v="2743300010228"/>
    <n v="20250606"/>
    <x v="0"/>
    <m/>
    <m/>
    <s v="D     - Dare"/>
    <n v="8000.27"/>
    <n v="0"/>
    <n v="1665626"/>
    <s v="BSNLVI26R17F196D"/>
    <s v="BIASONE LIVIO"/>
    <s v="600 - Famiglie consumatrici"/>
    <m/>
    <s v="086 - ITALIA"/>
    <n v="1751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726"/>
    <s v="14"/>
    <s v="Operazione per conto di importo elevato per la causale ed il soggetto"/>
    <d v="2025-06-07T00:00:00"/>
    <n v="53850"/>
    <n v="192"/>
    <s v="053850_192"/>
    <s v="Discovery Day"/>
    <s v="Mai valutato"/>
    <m/>
    <n v="202506068046636"/>
    <n v="1923300182666"/>
    <n v="20250606"/>
    <x v="1"/>
    <m/>
    <s v="086 - ITALIA"/>
    <s v="A     - Avere"/>
    <n v="500000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25"/>
    <s v="14"/>
    <s v="Operazione per conto di importo elevato per la causale ed il soggetto"/>
    <d v="2025-06-07T00:00:00"/>
    <n v="53850"/>
    <n v="268"/>
    <s v="053850_268"/>
    <s v="Discovery Day"/>
    <s v="Mai valutato"/>
    <m/>
    <n v="202506068048083"/>
    <n v="2683300000171"/>
    <n v="20250606"/>
    <x v="11"/>
    <m/>
    <m/>
    <s v="D     - Dare"/>
    <n v="1424724.92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21"/>
    <s v="14"/>
    <s v="Operazione per conto di importo elevato per la causale ed il soggetto"/>
    <d v="2025-06-07T00:00:00"/>
    <n v="53850"/>
    <n v="174"/>
    <s v="053850_174"/>
    <s v="Discovery Day"/>
    <s v="Mai valutato"/>
    <m/>
    <n v="202506058047514"/>
    <n v="1740050064849"/>
    <n v="20250605"/>
    <x v="32"/>
    <m/>
    <m/>
    <s v="D     - Dare"/>
    <n v="238758.39999999999"/>
    <n v="0"/>
    <n v="4060269"/>
    <s v="DMRVTI73M03F376T"/>
    <s v="DE MARTINO VITO"/>
    <s v="600 - Famiglie consumatrici"/>
    <m/>
    <s v="086 - ITALIA"/>
    <n v="44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8"/>
    <s v="14"/>
    <s v="Operazione per conto di importo elevato per la causale ed il soggetto"/>
    <d v="2025-06-06T00:00:00"/>
    <n v="53850"/>
    <n v="192"/>
    <s v="053850_192"/>
    <s v="Discovery Day"/>
    <s v="Mai valutato"/>
    <m/>
    <n v="202506058044158"/>
    <n v="1923300182666"/>
    <n v="20250605"/>
    <x v="1"/>
    <m/>
    <s v="086 - ITALIA"/>
    <s v="A     - Avere"/>
    <n v="640000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5"/>
    <s v="14"/>
    <s v="Operazione per conto di importo elevato per la causale ed il soggetto"/>
    <d v="2025-06-06T00:00:00"/>
    <n v="53850"/>
    <n v="102"/>
    <s v="053850_102"/>
    <s v="Discovery Day"/>
    <s v="Mai valutato"/>
    <m/>
    <n v="202506058043310"/>
    <n v="1023308719030"/>
    <n v="20250605"/>
    <x v="1"/>
    <m/>
    <s v="086 - ITALIA"/>
    <s v="A     - Avere"/>
    <n v="10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1"/>
    <s v="14"/>
    <s v="Operazione per conto di importo elevato per la causale ed il soggetto"/>
    <d v="2025-06-06T00:00:00"/>
    <n v="53850"/>
    <n v="102"/>
    <s v="053850_102"/>
    <s v="Discovery Day"/>
    <s v="Mai valutato"/>
    <m/>
    <s v="202506057868829L"/>
    <n v="2333300010665"/>
    <n v="20250605"/>
    <x v="0"/>
    <m/>
    <m/>
    <s v="D     - Dare"/>
    <n v="2929.56"/>
    <n v="0"/>
    <n v="4731205"/>
    <s v="CRQJSC89P61D810I"/>
    <s v="CERQUOZZI JESSIC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706"/>
    <s v="14"/>
    <s v="Operazione per conto di importo elevato per la causale ed il soggetto"/>
    <d v="2025-06-06T00:00:00"/>
    <n v="53850"/>
    <n v="175"/>
    <s v="053850_175"/>
    <s v="Discovery Day"/>
    <s v="Mai valutato"/>
    <m/>
    <n v="202506058042566"/>
    <n v="1753305636160"/>
    <n v="20250605"/>
    <x v="3"/>
    <m/>
    <s v="086 - ITALIA"/>
    <s v="D     - Dare"/>
    <n v="306431.34999999998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6"/>
    <s v="IN CARICO AL RESPONSABILE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04"/>
    <s v="14"/>
    <s v="Operazione per conto di importo elevato per la causale ed il soggetto"/>
    <d v="2025-06-06T00:00:00"/>
    <n v="53850"/>
    <n v="108"/>
    <s v="053850_108"/>
    <s v="Discovery Day"/>
    <s v="Mai valutato"/>
    <m/>
    <n v="202506058044562"/>
    <n v="1083306290997"/>
    <n v="20250605"/>
    <x v="6"/>
    <m/>
    <m/>
    <s v="D     - Dare"/>
    <n v="238000"/>
    <n v="0"/>
    <n v="487505"/>
    <s v="RCCLGU50P09F915I"/>
    <s v="RICCIARDI LUIGI"/>
    <s v="600 - Famiglie consumatrici"/>
    <m/>
    <s v="086 - ITALIA"/>
    <n v="66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02"/>
    <s v="14"/>
    <s v="Operazione per conto di importo elevato per la causale ed il soggetto"/>
    <d v="2025-06-06T00:00:00"/>
    <n v="53850"/>
    <n v="109"/>
    <s v="053850_109"/>
    <s v="Discovery Day"/>
    <s v="Mai valutato"/>
    <m/>
    <n v="202506058044566"/>
    <n v="1093304102436"/>
    <n v="20250605"/>
    <x v="4"/>
    <m/>
    <m/>
    <s v="D     - Dare"/>
    <n v="345635.16"/>
    <n v="0"/>
    <n v="4142804"/>
    <n v="4794510729"/>
    <s v="ACMEI SUD SPA"/>
    <s v="430 - Imprese produttive"/>
    <s v="464 - COMMERCIO ALL'INGROSSO DI BENI DI CONSUMO FINALE"/>
    <s v="086 - ITALIA"/>
    <n v="1919"/>
    <m/>
    <m/>
    <m/>
    <m/>
    <m/>
    <m/>
    <m/>
    <n v="0"/>
    <n v="202506"/>
    <s v="ARCHIVIATA"/>
    <x v="0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99"/>
    <s v="14"/>
    <s v="Operazione per conto di importo elevato per la causale ed il soggetto"/>
    <d v="2025-06-06T00:00:00"/>
    <n v="53850"/>
    <n v="147"/>
    <s v="053850_147"/>
    <s v="Discovery Day"/>
    <s v="Mai valutato"/>
    <m/>
    <s v="202506057876360L"/>
    <n v="1473300002811"/>
    <n v="20250605"/>
    <x v="0"/>
    <m/>
    <m/>
    <s v="D     - Dare"/>
    <n v="4754.72"/>
    <n v="0"/>
    <n v="4921138"/>
    <n v="92008910637"/>
    <s v="TRIBUNALE DI NOLA"/>
    <s v="102 - Amministrazione Statale e Organi Costituzionali"/>
    <m/>
    <s v="086 - ITALIA"/>
    <n v="1356"/>
    <m/>
    <m/>
    <m/>
    <m/>
    <m/>
    <m/>
    <m/>
    <n v="0"/>
    <n v="202506"/>
    <s v="IN VALUTAZIONE RPR"/>
    <x v="1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95"/>
    <s v="14"/>
    <s v="Operazione per conto di importo elevato per la causale ed il soggetto"/>
    <d v="2025-06-06T00:00:00"/>
    <n v="53850"/>
    <n v="102"/>
    <s v="053850_102"/>
    <s v="Discovery Day"/>
    <s v="Mai valutato"/>
    <m/>
    <s v="202506057868829L"/>
    <n v="2333300010665"/>
    <n v="20250605"/>
    <x v="0"/>
    <m/>
    <m/>
    <s v="D     - Dare"/>
    <n v="2929.56"/>
    <n v="0"/>
    <n v="4731171"/>
    <s v="VNDNNA63H53A720A"/>
    <s v="VENDITTI ANN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693"/>
    <s v="14"/>
    <s v="Operazione per conto di importo elevato per la causale ed il soggetto"/>
    <d v="2025-06-06T00:00:00"/>
    <n v="53850"/>
    <n v="109"/>
    <s v="053850_109"/>
    <s v="Discovery Day"/>
    <s v="Mai valutato"/>
    <m/>
    <n v="202506058045164"/>
    <n v="1093306671972"/>
    <n v="20250605"/>
    <x v="0"/>
    <m/>
    <m/>
    <s v="D     - Dare"/>
    <n v="13670.64"/>
    <n v="0"/>
    <n v="4565764"/>
    <s v="MTRMRS45L60A662E"/>
    <s v="MATERA MARISA"/>
    <s v="600 - Famiglie consumatrici"/>
    <m/>
    <s v="086 - ITALIA"/>
    <n v="191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90"/>
    <s v="14"/>
    <s v="Operazione per conto di importo elevato per la causale ed il soggetto"/>
    <d v="2025-06-06T00:00:00"/>
    <n v="53850"/>
    <n v="102"/>
    <s v="053850_102"/>
    <s v="Discovery Day"/>
    <s v="Mai valutato"/>
    <m/>
    <n v="202506058043120"/>
    <n v="1023308727640"/>
    <n v="20250605"/>
    <x v="1"/>
    <m/>
    <s v="086 - ITALIA"/>
    <s v="A     - Avere"/>
    <n v="1025000"/>
    <n v="0"/>
    <n v="3728814"/>
    <n v="5509200720"/>
    <s v="LOIUDICED S.R.L."/>
    <s v="430 - Imprese produttive"/>
    <s v="310 - FABBRICAZIONE DI MOBILI"/>
    <s v="086 - ITALIA"/>
    <n v="73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88"/>
    <s v="14"/>
    <s v="Operazione per conto di importo elevato per la causale ed il soggetto"/>
    <d v="2025-06-06T00:00:00"/>
    <n v="53850"/>
    <n v="109"/>
    <s v="053850_109"/>
    <s v="Discovery Day"/>
    <s v="Mai valutato"/>
    <m/>
    <n v="202506058045164"/>
    <n v="1093306671972"/>
    <n v="20250605"/>
    <x v="0"/>
    <m/>
    <m/>
    <s v="D     - Dare"/>
    <n v="13670.64"/>
    <n v="0"/>
    <n v="4565769"/>
    <s v="MRNNNN28S21H501S"/>
    <s v="MARINO ANTONINO"/>
    <s v="600 - Famiglie consumatrici"/>
    <m/>
    <s v="086 - ITALIA"/>
    <n v="191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87"/>
    <s v="14"/>
    <s v="Operazione per conto di importo elevato per la causale ed il soggetto"/>
    <d v="2025-06-06T00:00:00"/>
    <n v="53850"/>
    <n v="105"/>
    <s v="053850_105"/>
    <s v="Discovery Day"/>
    <s v="Mai valutato"/>
    <m/>
    <n v="202506058045139"/>
    <n v="1053300516650"/>
    <n v="20250605"/>
    <x v="22"/>
    <m/>
    <m/>
    <s v="A     - Avere"/>
    <n v="225000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682"/>
    <s v="14"/>
    <s v="Operazione per conto di importo elevato per la causale ed il soggetto"/>
    <d v="2025-06-06T00:00:00"/>
    <n v="53850"/>
    <n v="116"/>
    <s v="053850_116"/>
    <s v="Discovery Day"/>
    <s v="Mai valutato"/>
    <m/>
    <n v="202506058042478"/>
    <n v="2173300010307"/>
    <n v="20250605"/>
    <x v="3"/>
    <m/>
    <s v="086 - ITALIA"/>
    <s v="D     - Dare"/>
    <n v="12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678"/>
    <s v="14"/>
    <s v="Operazione per conto di importo elevato per la causale ed il soggetto"/>
    <d v="2025-06-06T00:00:00"/>
    <n v="53850"/>
    <n v="182"/>
    <s v="053850_182"/>
    <s v="Discovery Day"/>
    <s v="Mai valutato"/>
    <m/>
    <n v="202506058044831"/>
    <n v="1823300072312"/>
    <n v="20250605"/>
    <x v="6"/>
    <m/>
    <m/>
    <s v="D     - Dare"/>
    <n v="950000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6"/>
    <s v="14"/>
    <s v="Operazione per conto di importo elevato per la causale ed il soggetto"/>
    <d v="2025-06-05T00:00:00"/>
    <n v="53850"/>
    <n v="108"/>
    <s v="053850_108"/>
    <s v="Discovery Day"/>
    <s v="Mai valutato"/>
    <m/>
    <n v="202506058040544"/>
    <n v="1085500039514"/>
    <n v="20250605"/>
    <x v="19"/>
    <m/>
    <m/>
    <s v="A     - Avere"/>
    <n v="196195.76"/>
    <n v="0"/>
    <n v="426147"/>
    <s v="MNSPDN34T55F915F"/>
    <s v="MANSUETO PRUDENZI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5"/>
    <s v="14"/>
    <s v="Operazione per conto di importo elevato per la causale ed il soggetto"/>
    <d v="2025-06-05T00:00:00"/>
    <n v="53850"/>
    <n v="108"/>
    <s v="053850_108"/>
    <s v="Discovery Day"/>
    <s v="Mai valutato"/>
    <m/>
    <n v="202506058040544"/>
    <n v="1085500039514"/>
    <n v="20250605"/>
    <x v="19"/>
    <m/>
    <m/>
    <s v="A     - Avere"/>
    <n v="196195.76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2"/>
    <s v="14"/>
    <s v="Operazione per conto di importo elevato per la causale ed il soggetto"/>
    <d v="2025-06-05T00:00:00"/>
    <n v="53850"/>
    <n v="102"/>
    <s v="053850_102"/>
    <s v="Discovery Day"/>
    <s v="Mai valutato"/>
    <m/>
    <n v="202506048041695"/>
    <n v="1023308725736"/>
    <n v="20250604"/>
    <x v="0"/>
    <m/>
    <m/>
    <s v="D     - Dare"/>
    <n v="5726.29"/>
    <n v="0"/>
    <n v="83832"/>
    <s v="MTRCRN33B62A225F"/>
    <s v="MATERA CATERINA"/>
    <s v="600 - Famiglie consumatrici"/>
    <m/>
    <s v="086 - ITALIA"/>
    <n v="84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670"/>
    <s v="14"/>
    <s v="Operazione per conto di importo elevato per la causale ed il soggetto"/>
    <d v="2025-06-05T00:00:00"/>
    <n v="53850"/>
    <n v="137"/>
    <s v="053850_137"/>
    <s v="Discovery Day"/>
    <s v="Mai valutato"/>
    <m/>
    <n v="202506048040108"/>
    <n v="1373300005928"/>
    <n v="20250604"/>
    <x v="1"/>
    <m/>
    <s v="086 - ITALIA"/>
    <s v="A     - Avere"/>
    <n v="1173554.6599999999"/>
    <n v="0"/>
    <n v="4229326"/>
    <n v="70190707"/>
    <s v="FRATELLI FERRO - SEMOLERIE MOLISANE S.R.L."/>
    <s v="430 - Imprese produttive"/>
    <s v="106 - LAVORAZIONE DELLE GRANAGLIE, PRODUZIONE DI AMIDI E DI PRODOTTI AMIDACEI"/>
    <s v="086 - ITALIA"/>
    <n v="18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666"/>
    <s v="14"/>
    <s v="Operazione per conto di importo elevato per la causale ed il soggetto"/>
    <d v="2025-06-05T00:00:00"/>
    <n v="53850"/>
    <n v="273"/>
    <s v="053850_273"/>
    <s v="Discovery Day"/>
    <s v="Mai valutato"/>
    <m/>
    <n v="202506048041603"/>
    <n v="2733300000142"/>
    <n v="20250604"/>
    <x v="15"/>
    <m/>
    <m/>
    <s v="D     - Dare"/>
    <n v="513150.03"/>
    <n v="0"/>
    <n v="1604768"/>
    <n v="1425470695"/>
    <s v="PASQUARELLI AUTO SOCIETA' PER AZIONI"/>
    <s v="430 - Imprese produttive"/>
    <s v="451 - COMMERCIO DI AUTOVEICOLI"/>
    <s v="086 - ITALIA"/>
    <n v="1856"/>
    <m/>
    <m/>
    <m/>
    <m/>
    <m/>
    <m/>
    <m/>
    <n v="0"/>
    <n v="202506"/>
    <s v="IN VALUTAZIONE RPR"/>
    <x v="1"/>
    <n v="1"/>
    <m/>
    <m/>
    <n v="0"/>
    <n v="451"/>
    <n v="430"/>
    <n v="430451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52"/>
    <s v="14"/>
    <s v="Operazione per conto di importo elevato per la causale ed il soggetto"/>
    <d v="2025-06-05T00:00:00"/>
    <n v="53850"/>
    <n v="141"/>
    <s v="053850_141"/>
    <s v="Discovery Day"/>
    <s v="Mai valutato"/>
    <m/>
    <n v="202506048040361"/>
    <n v="1413300003749"/>
    <n v="20250604"/>
    <x v="1"/>
    <m/>
    <s v="086 - ITALIA"/>
    <s v="A     - Avere"/>
    <n v="1015378.22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6"/>
    <s v="ARCHIVIATA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644"/>
    <s v="14"/>
    <s v="Operazione per conto di importo elevato per la causale ed il soggetto"/>
    <d v="2025-06-05T00:00:00"/>
    <n v="53850"/>
    <n v="136"/>
    <s v="053850_136"/>
    <s v="Discovery Day"/>
    <s v="Mai valutato"/>
    <m/>
    <n v="202506048040454"/>
    <n v="1363300003325"/>
    <n v="20250604"/>
    <x v="12"/>
    <m/>
    <m/>
    <s v="D     - Dare"/>
    <n v="7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43"/>
    <s v="14"/>
    <s v="Operazione per conto di importo elevato per la causale ed il soggetto"/>
    <d v="2025-06-05T00:00:00"/>
    <n v="53850"/>
    <n v="170"/>
    <s v="053850_170"/>
    <s v="Discovery Day"/>
    <s v="Mai valutato"/>
    <m/>
    <n v="202506048041179"/>
    <n v="1703306288195"/>
    <n v="20250604"/>
    <x v="28"/>
    <m/>
    <m/>
    <s v="A     - Avere"/>
    <n v="2268731.63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42"/>
    <s v="14"/>
    <s v="Operazione per conto di importo elevato per la causale ed il soggetto"/>
    <d v="2025-06-05T00:00:00"/>
    <n v="53850"/>
    <n v="182"/>
    <s v="053850_182"/>
    <s v="Discovery Day"/>
    <s v="Mai valutato"/>
    <m/>
    <n v="202506048039695"/>
    <n v="1823300152957"/>
    <n v="20250604"/>
    <x v="1"/>
    <m/>
    <s v="086 - ITALIA"/>
    <s v="A     - Avere"/>
    <n v="300000"/>
    <n v="0"/>
    <n v="3006585"/>
    <s v="MGNNTN49M69L049C"/>
    <s v="MIGNOGNA ANTONIA"/>
    <s v="600 - Famiglie consumatrici"/>
    <m/>
    <s v="086 - ITALIA"/>
    <n v="61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37"/>
    <s v="14"/>
    <s v="Operazione per conto di importo elevato per la causale ed il soggetto"/>
    <d v="2025-06-05T00:00:00"/>
    <n v="53850"/>
    <n v="145"/>
    <s v="053850_145"/>
    <s v="Discovery Day"/>
    <s v="Mai valutato"/>
    <m/>
    <n v="202506048040341"/>
    <n v="1453300003755"/>
    <n v="20250604"/>
    <x v="1"/>
    <m/>
    <s v="086 - ITALIA"/>
    <s v="A     - Avere"/>
    <n v="1269710.27"/>
    <n v="0"/>
    <n v="4991602"/>
    <n v="80153690633"/>
    <s v="FALLIMENTO N. 99 2022 CENTRO ESTER ASSOCIAZIONE IN PARTECIPAZIONE"/>
    <s v="615 - Altre famiglie produttrici"/>
    <s v="85 - ISTRUZIONE"/>
    <s v="086 - ITALIA"/>
    <n v="1222"/>
    <m/>
    <m/>
    <m/>
    <m/>
    <m/>
    <m/>
    <m/>
    <n v="0"/>
    <n v="202506"/>
    <s v="IN VALUTAZIONE RPR"/>
    <x v="1"/>
    <n v="1"/>
    <m/>
    <m/>
    <n v="0"/>
    <n v="999"/>
    <n v="615"/>
    <n v="615999"/>
    <m/>
    <n v="1"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36"/>
    <s v="14"/>
    <s v="Operazione per conto di importo elevato per la causale ed il soggetto"/>
    <d v="2025-06-05T00:00:00"/>
    <n v="53850"/>
    <n v="141"/>
    <s v="053850_141"/>
    <s v="Discovery Day"/>
    <s v="Mai valutato"/>
    <m/>
    <n v="202506048040270"/>
    <n v="1413300004417"/>
    <n v="20250604"/>
    <x v="1"/>
    <m/>
    <s v="086 - ITALIA"/>
    <s v="A     - Avere"/>
    <n v="3070000"/>
    <n v="0"/>
    <n v="4329517"/>
    <n v="1146860752"/>
    <s v="SINT.EL. SRL"/>
    <s v="430 - Imprese produttive"/>
    <s v="861 - SERVIZI OSPEDALIERI"/>
    <s v="086 - ITALIA"/>
    <n v="1940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633"/>
    <s v="14"/>
    <s v="Operazione per conto di importo elevato per la causale ed il soggetto"/>
    <d v="2025-06-04T00:00:00"/>
    <n v="53850"/>
    <n v="114"/>
    <s v="053850_114"/>
    <s v="Discovery Day"/>
    <s v="Mai valutato"/>
    <m/>
    <n v="202506048034485"/>
    <n v="1143306278589"/>
    <n v="20250604"/>
    <x v="7"/>
    <m/>
    <m/>
    <s v="D     - Dare"/>
    <n v="2100000"/>
    <n v="0"/>
    <n v="4096156"/>
    <s v="TRLMTT49B09I054M"/>
    <s v="TORELLI MATTEO"/>
    <s v="600 - Famiglie consumatrici"/>
    <m/>
    <s v="086 - ITALIA"/>
    <n v="80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32"/>
    <s v="14"/>
    <s v="Operazione per conto di importo elevato per la causale ed il soggetto"/>
    <d v="2025-06-04T00:00:00"/>
    <n v="53850"/>
    <n v="114"/>
    <s v="053850_114"/>
    <s v="Discovery Day"/>
    <s v="Mai valutato"/>
    <m/>
    <n v="202506048034485"/>
    <n v="1143306278589"/>
    <n v="20250604"/>
    <x v="7"/>
    <m/>
    <m/>
    <s v="D     - Dare"/>
    <n v="2100000"/>
    <n v="0"/>
    <n v="4175755"/>
    <s v="PTTLMP50S41I158L"/>
    <s v="PETITTI OLIMPIA"/>
    <s v="600 - Famiglie consumatrici"/>
    <m/>
    <s v="086 - ITALIA"/>
    <n v="80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27"/>
    <s v="14"/>
    <s v="Operazione per conto di importo elevato per la causale ed il soggetto"/>
    <d v="2025-06-04T00:00:00"/>
    <n v="53850"/>
    <n v="132"/>
    <s v="053850_132"/>
    <s v="Discovery Day"/>
    <s v="Mai valutato"/>
    <m/>
    <n v="202506038037960"/>
    <n v="1323300002559"/>
    <n v="20250603"/>
    <x v="3"/>
    <m/>
    <s v="086 - ITALIA"/>
    <s v="D     - Dare"/>
    <n v="221000"/>
    <n v="0"/>
    <n v="4875371"/>
    <s v="LLTRCL59E07B743J"/>
    <s v="LAULETTA ERCOLE"/>
    <s v="600 - Famiglie consumatrici"/>
    <m/>
    <s v="086 - ITALIA"/>
    <n v="195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622"/>
    <s v="14"/>
    <s v="Operazione per conto di importo elevato per la causale ed il soggetto"/>
    <d v="2025-06-04T00:00:00"/>
    <n v="53850"/>
    <n v="171"/>
    <s v="053850_171"/>
    <s v="Discovery Day"/>
    <s v="Mai valutato"/>
    <m/>
    <n v="202506038036505"/>
    <n v="1713302213842"/>
    <n v="20250603"/>
    <x v="6"/>
    <m/>
    <m/>
    <s v="D     - Dare"/>
    <n v="2743358.23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620"/>
    <s v="14"/>
    <s v="Operazione per conto di importo elevato per la causale ed il soggetto"/>
    <d v="2025-06-04T00:00:00"/>
    <n v="53850"/>
    <n v="185"/>
    <s v="053850_185"/>
    <s v="Discovery Day"/>
    <s v="Mai valutato"/>
    <m/>
    <s v="202506037704161L"/>
    <n v="1853300026668"/>
    <n v="20250603"/>
    <x v="0"/>
    <m/>
    <m/>
    <s v="D     - Dare"/>
    <n v="1596.63"/>
    <n v="0"/>
    <n v="3044870"/>
    <s v="CRRMRA48E70L049R"/>
    <s v="CARRIERO MARIA"/>
    <s v="600 - Famiglie consumatrici"/>
    <m/>
    <s v="086 - ITALIA"/>
    <n v="135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16"/>
    <s v="14"/>
    <s v="Operazione per conto di importo elevato per la causale ed il soggetto"/>
    <d v="2025-06-04T00:00:00"/>
    <n v="53850"/>
    <n v="125"/>
    <s v="053850_125"/>
    <s v="Discovery Day"/>
    <s v="Mai valutato"/>
    <m/>
    <n v="202506038035852"/>
    <n v="1253300010013"/>
    <n v="20250603"/>
    <x v="4"/>
    <m/>
    <m/>
    <s v="D     - Dare"/>
    <n v="315913.33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07"/>
    <s v="14"/>
    <s v="Operazione per conto di importo elevato per la causale ed il soggetto"/>
    <d v="2025-06-04T00:00:00"/>
    <n v="53850"/>
    <n v="102"/>
    <s v="053850_102"/>
    <s v="Discovery Day"/>
    <s v="Mai valutato"/>
    <m/>
    <n v="202506038037724"/>
    <n v="2583302251708"/>
    <n v="20250603"/>
    <x v="0"/>
    <m/>
    <m/>
    <s v="D     - Dare"/>
    <n v="10083.49"/>
    <n v="0"/>
    <n v="69892"/>
    <s v="LRDVCR42B06L477L"/>
    <s v="LARDO VITO CARMINE"/>
    <s v="600 - Famiglie consumatrici"/>
    <m/>
    <s v="086 - ITALIA"/>
    <n v="145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604"/>
    <s v="14"/>
    <s v="Operazione per conto di importo elevato per la causale ed il soggetto"/>
    <d v="2025-06-04T00:00:00"/>
    <n v="53850"/>
    <n v="116"/>
    <s v="053850_116"/>
    <s v="Discovery Day"/>
    <s v="Mai valutato"/>
    <m/>
    <n v="202506038037044"/>
    <n v="2173300010307"/>
    <n v="20250603"/>
    <x v="5"/>
    <m/>
    <m/>
    <s v="A     - Avere"/>
    <n v="10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02"/>
    <s v="14"/>
    <s v="Operazione per conto di importo elevato per la causale ed il soggetto"/>
    <d v="2025-06-04T00:00:00"/>
    <n v="53850"/>
    <n v="105"/>
    <s v="053850_105"/>
    <s v="Discovery Day"/>
    <s v="Mai valutato"/>
    <m/>
    <n v="202506038033825"/>
    <n v="1053300516650"/>
    <n v="20250603"/>
    <x v="1"/>
    <m/>
    <s v="086 - ITALIA"/>
    <s v="A     - Avere"/>
    <n v="225042.07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601"/>
    <s v="14"/>
    <s v="Operazione per conto di importo elevato per la causale ed il soggetto"/>
    <d v="2025-06-04T00:00:00"/>
    <n v="53850"/>
    <n v="103"/>
    <s v="053850_103"/>
    <s v="Discovery Day"/>
    <s v="Mai valutato"/>
    <m/>
    <n v="202506038033238"/>
    <n v="1033306985513"/>
    <n v="20250603"/>
    <x v="1"/>
    <m/>
    <s v="086 - ITALIA"/>
    <s v="A     - Avere"/>
    <n v="431436.56"/>
    <n v="0"/>
    <n v="439797"/>
    <s v="SNGMRA45E68E155A"/>
    <s v="SANGIRARDI MARI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97"/>
    <s v="14"/>
    <s v="Operazione per conto di importo elevato per la causale ed il soggetto"/>
    <d v="2025-06-04T00:00:00"/>
    <n v="53850"/>
    <n v="132"/>
    <s v="053850_132"/>
    <s v="Discovery Day"/>
    <s v="Mai valutato"/>
    <m/>
    <n v="202506038037960"/>
    <n v="1323300002559"/>
    <n v="20250603"/>
    <x v="3"/>
    <m/>
    <s v="086 - ITALIA"/>
    <s v="D     - Dare"/>
    <n v="221000"/>
    <n v="0"/>
    <n v="4875374"/>
    <s v="CNGLRA67P50H501Z"/>
    <s v="CANGIOLI LAURA"/>
    <s v="600 - Famiglie consumatrici"/>
    <m/>
    <s v="086 - ITALIA"/>
    <n v="195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96"/>
    <s v="14"/>
    <s v="Operazione per conto di importo elevato per la causale ed il soggetto"/>
    <d v="2025-06-04T00:00:00"/>
    <n v="53850"/>
    <n v="170"/>
    <s v="053850_170"/>
    <s v="Discovery Day"/>
    <s v="Mai valutato"/>
    <m/>
    <n v="202506038038127"/>
    <n v="1703306290701"/>
    <n v="20250603"/>
    <x v="0"/>
    <m/>
    <m/>
    <s v="D     - Dare"/>
    <n v="53329.599999999999"/>
    <n v="0"/>
    <n v="4104070"/>
    <s v="PLLGPP67A15A285B"/>
    <s v="PELLEGRINO GIUSEPPE"/>
    <s v="615 - Altre famiglie produttrici"/>
    <s v="012 - COLTIVAZIONE DI COLTURE PERMANENTI"/>
    <s v="086 - ITALIA"/>
    <n v="1920"/>
    <m/>
    <m/>
    <m/>
    <m/>
    <m/>
    <m/>
    <m/>
    <n v="0"/>
    <n v="202506"/>
    <s v="IN VALUTAZIONE RPR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95"/>
    <s v="14"/>
    <s v="Operazione per conto di importo elevato per la causale ed il soggetto"/>
    <d v="2025-06-04T00:00:00"/>
    <n v="53850"/>
    <n v="171"/>
    <s v="053850_171"/>
    <s v="Discovery Day"/>
    <s v="Mai valutato"/>
    <m/>
    <n v="202506038033055"/>
    <n v="1713302217591"/>
    <n v="20250603"/>
    <x v="1"/>
    <m/>
    <s v="086 - ITALIA"/>
    <s v="A     - Avere"/>
    <n v="664021.56999999995"/>
    <n v="0"/>
    <n v="4805735"/>
    <n v="5001120723"/>
    <s v="AGRIDE'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6"/>
    <s v="IN VALUTAZIONE RPR"/>
    <x v="1"/>
    <n v="1"/>
    <m/>
    <m/>
    <n v="0"/>
    <n v="463"/>
    <n v="430"/>
    <n v="43046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94"/>
    <s v="14"/>
    <s v="Operazione per conto di importo elevato per la causale ed il soggetto"/>
    <d v="2025-06-04T00:00:00"/>
    <n v="53850"/>
    <n v="266"/>
    <s v="053850_266"/>
    <s v="Discovery Day"/>
    <s v="Mai valutato"/>
    <m/>
    <n v="202506038033449"/>
    <n v="2663300000205"/>
    <n v="20250603"/>
    <x v="1"/>
    <m/>
    <s v="086 - ITALIA"/>
    <s v="A     - Avere"/>
    <n v="320642.14"/>
    <n v="0"/>
    <n v="1627776"/>
    <s v="BCCGNN82H46F537L"/>
    <s v="BUCCINNA' GIOVANNA"/>
    <s v="600 - Famiglie consumatrici"/>
    <m/>
    <s v="086 - ITALIA"/>
    <n v="178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92"/>
    <s v="14"/>
    <s v="Operazione per conto di importo elevato per la causale ed il soggetto"/>
    <d v="2025-06-04T00:00:00"/>
    <n v="53850"/>
    <n v="266"/>
    <s v="053850_266"/>
    <s v="Discovery Day"/>
    <s v="Mai valutato"/>
    <m/>
    <n v="202506038033452"/>
    <n v="2663300001623"/>
    <n v="20250603"/>
    <x v="1"/>
    <m/>
    <s v="086 - ITALIA"/>
    <s v="A     - Avere"/>
    <n v="311736.65999999997"/>
    <n v="0"/>
    <n v="1698772"/>
    <s v="RCRDNC80L21F537C"/>
    <s v="ARACRI DOMENICO"/>
    <s v="600 - Famiglie consumatrici"/>
    <m/>
    <s v="086 - ITALIA"/>
    <n v="178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87"/>
    <s v="14"/>
    <s v="Operazione per conto di importo elevato per la causale ed il soggetto"/>
    <d v="2025-06-04T00:00:00"/>
    <n v="53850"/>
    <n v="102"/>
    <s v="053850_102"/>
    <s v="Discovery Day"/>
    <s v="Mai valutato"/>
    <m/>
    <n v="202506038034129"/>
    <n v="1023308719030"/>
    <n v="20250603"/>
    <x v="1"/>
    <m/>
    <s v="086 - ITALIA"/>
    <s v="A     - Avere"/>
    <n v="4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80"/>
    <s v="14"/>
    <s v="Operazione per conto di importo elevato per la causale ed il soggetto"/>
    <d v="2025-06-04T00:00:00"/>
    <n v="53850"/>
    <n v="102"/>
    <s v="053850_102"/>
    <s v="Discovery Day"/>
    <s v="Mai valutato"/>
    <m/>
    <n v="202506038036202"/>
    <n v="1503300003188"/>
    <n v="20250603"/>
    <x v="2"/>
    <m/>
    <m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72"/>
    <s v="14"/>
    <s v="Operazione per conto di importo elevato per la causale ed il soggetto"/>
    <d v="2025-06-04T00:00:00"/>
    <n v="53850"/>
    <n v="102"/>
    <s v="053850_102"/>
    <s v="Discovery Day"/>
    <s v="Mai valutato"/>
    <m/>
    <n v="202506038033985"/>
    <n v="1503300003188"/>
    <n v="20250603"/>
    <x v="1"/>
    <m/>
    <s v="086 - ITALIA"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67"/>
    <s v="14"/>
    <s v="Operazione per conto di importo elevato per la causale ed il soggetto"/>
    <d v="2025-06-04T00:00:00"/>
    <n v="53850"/>
    <n v="122"/>
    <s v="053850_122"/>
    <s v="Discovery Day"/>
    <s v="Mai valutato"/>
    <m/>
    <n v="202506038032376"/>
    <n v="1223300001682"/>
    <n v="20250603"/>
    <x v="3"/>
    <m/>
    <s v="086 - ITALIA"/>
    <s v="D     - Dare"/>
    <n v="170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66"/>
    <s v="14"/>
    <s v="Operazione per conto di importo elevato per la causale ed il soggetto"/>
    <d v="2025-06-04T00:00:00"/>
    <n v="53850"/>
    <n v="148"/>
    <s v="053850_148"/>
    <s v="Discovery Day"/>
    <s v="Mai valutato"/>
    <m/>
    <n v="202506038036164"/>
    <n v="1483300003872"/>
    <n v="20250603"/>
    <x v="4"/>
    <m/>
    <m/>
    <s v="D     - Dare"/>
    <n v="939269.1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7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5"/>
    <n v="1823300174272"/>
    <n v="20250602"/>
    <x v="21"/>
    <m/>
    <m/>
    <s v="A     - Avere"/>
    <n v="399998"/>
    <n v="0"/>
    <n v="3021782"/>
    <s v="CTCRCR34S16L049O"/>
    <s v="CATACCHIO RICCARDO"/>
    <s v="600 - Famiglie consumatrici"/>
    <m/>
    <s v="086 - ITALIA"/>
    <n v="616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6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0"/>
    <n v="1823300017474"/>
    <n v="20250602"/>
    <x v="7"/>
    <m/>
    <m/>
    <s v="D     - Dare"/>
    <n v="706818.38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555"/>
    <s v="14"/>
    <s v="Operazione per conto di importo elevato per la causale ed il soggetto"/>
    <d v="2025-05-31T00:00:00"/>
    <n v="53850"/>
    <n v="109"/>
    <s v="053850_109"/>
    <s v="Discovery Day"/>
    <s v="Mai valutato"/>
    <m/>
    <n v="202506028026093"/>
    <n v="1093306667173"/>
    <n v="20250602"/>
    <x v="21"/>
    <m/>
    <m/>
    <s v="A     - Avere"/>
    <n v="339998"/>
    <n v="0"/>
    <n v="546534"/>
    <s v="CLLTRS54S64A662F"/>
    <s v="COLELLA TERESA"/>
    <s v="600 - Famiglie consumatrici"/>
    <m/>
    <s v="086 - ITALIA"/>
    <n v="778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4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5"/>
    <n v="1823300174272"/>
    <n v="20250602"/>
    <x v="21"/>
    <m/>
    <m/>
    <s v="A     - Avere"/>
    <n v="399998"/>
    <n v="0"/>
    <n v="3112495"/>
    <s v="CTCLBT67A71L049W"/>
    <s v="CATACCHIO ELISABETTA"/>
    <s v="600 - Famiglie consumatrici"/>
    <m/>
    <s v="086 - ITALIA"/>
    <n v="433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3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6"/>
    <n v="1883300171952"/>
    <n v="20250602"/>
    <x v="21"/>
    <m/>
    <m/>
    <s v="A     - Avere"/>
    <n v="399998"/>
    <n v="0"/>
    <n v="3112495"/>
    <s v="CTCLBT67A71L049W"/>
    <s v="CATACCHIO ELISABETTA"/>
    <s v="600 - Famiglie consumatrici"/>
    <m/>
    <s v="086 - ITALIA"/>
    <n v="433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2"/>
    <s v="14"/>
    <s v="Operazione per conto di importo elevato per la causale ed il soggetto"/>
    <d v="2025-05-31T00:00:00"/>
    <n v="53850"/>
    <n v="109"/>
    <s v="053850_109"/>
    <s v="Discovery Day"/>
    <s v="Mai valutato"/>
    <m/>
    <n v="202506028026093"/>
    <n v="1093306667173"/>
    <n v="20250602"/>
    <x v="21"/>
    <m/>
    <m/>
    <s v="A     - Avere"/>
    <n v="339998"/>
    <n v="0"/>
    <n v="460757"/>
    <s v="SMNMRA47A31A662G"/>
    <s v="SIMONE MAURO"/>
    <s v="600 - Famiglie consumatrici"/>
    <m/>
    <s v="086 - ITALIA"/>
    <n v="778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1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6"/>
    <n v="1883300171952"/>
    <n v="20250602"/>
    <x v="21"/>
    <m/>
    <m/>
    <s v="A     - Avere"/>
    <n v="399998"/>
    <n v="0"/>
    <n v="4044525"/>
    <s v="CTCMHL61P16L049L"/>
    <s v="CATACCHIO MICHELE"/>
    <s v="600 - Famiglie consumatrici"/>
    <m/>
    <s v="086 - ITALIA"/>
    <m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337727"/>
    <s v="95"/>
    <s v="Versamento giornaliero di importo elevato per la causale ed il soggetto"/>
    <d v="2025-05-01T00:00:00"/>
    <n v="53850"/>
    <n v="102"/>
    <s v="053850_102"/>
    <s v="Discovery Day"/>
    <s v="Mai valutato"/>
    <m/>
    <s v="Vari (30/04/2025)"/>
    <n v="1023308717655"/>
    <n v="20250430"/>
    <x v="0"/>
    <m/>
    <x v="0"/>
    <s v="A     - Avere"/>
    <n v="178315.37"/>
    <n v="5800"/>
    <n v="4226959"/>
    <n v="6150080726"/>
    <s v="INDUSTRIA MOLITORIA F.LLI MARTIMUCCI S.R.L."/>
    <s v="430 - Imprese produttive"/>
    <s v="106 - LAVORAZIONE DELLE GRANAGLIE, PRODUZIONE DI AMIDI E DI PRODOTTI AMIDACEI"/>
    <s v="086 - ITALIA"/>
    <n v="739"/>
    <m/>
    <m/>
    <m/>
    <m/>
    <m/>
    <m/>
    <m/>
    <n v="0"/>
    <n v="202504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723"/>
    <s v="95"/>
    <s v="Versamento giornaliero di importo elevato per la causale ed il soggetto"/>
    <d v="2025-05-01T00:00:00"/>
    <n v="53850"/>
    <n v="125"/>
    <s v="053850_125"/>
    <s v="Discovery Day"/>
    <s v="Mai valutato"/>
    <m/>
    <n v="202504307940285"/>
    <n v="1473300005289"/>
    <n v="20250430"/>
    <x v="1"/>
    <m/>
    <x v="0"/>
    <s v="A     - Avere"/>
    <n v="133800"/>
    <n v="0"/>
    <n v="4324455"/>
    <s v="PLMVTR81D17B963I"/>
    <s v="PALMIERO VITTORIO"/>
    <s v="600 - Famiglie consumatrici"/>
    <m/>
    <s v="086 - ITALIA"/>
    <n v="1428"/>
    <m/>
    <m/>
    <m/>
    <m/>
    <m/>
    <m/>
    <m/>
    <n v="0"/>
    <n v="202504"/>
    <s v="ARCHIVIATA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716"/>
    <s v="95"/>
    <s v="Versamento giornaliero di importo elevato per la causale ed il soggetto"/>
    <d v="2025-05-01T00:00:00"/>
    <n v="53850"/>
    <n v="170"/>
    <s v="053850_170"/>
    <s v="Discovery Day"/>
    <s v="Mai valutato"/>
    <m/>
    <s v="Vari (30/04/2025)"/>
    <n v="1703306288421"/>
    <n v="20250430"/>
    <x v="0"/>
    <m/>
    <x v="0"/>
    <s v="A     - Avere"/>
    <n v="172095.9"/>
    <n v="0"/>
    <n v="4803929"/>
    <n v="4829870726"/>
    <s v="I NOBILI S.R.L."/>
    <s v="430 - Imprese produttive"/>
    <s v="251 - FABBRICAZIONE DI ELEMENTI DA COSTRUZIONE IN METALLO"/>
    <s v="086 - ITALIA"/>
    <n v="1696"/>
    <m/>
    <m/>
    <m/>
    <m/>
    <m/>
    <m/>
    <m/>
    <n v="0"/>
    <n v="202504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713"/>
    <s v="95"/>
    <s v="Versamento giornaliero di importo elevato per la causale ed il soggetto"/>
    <d v="2025-05-01T00:00:00"/>
    <n v="53850"/>
    <n v="104"/>
    <s v="053850_104"/>
    <s v="Discovery Day"/>
    <s v="Mai valutato"/>
    <m/>
    <s v="Vari (30/04/2025)"/>
    <n v="1043304173550"/>
    <n v="20250430"/>
    <x v="0"/>
    <m/>
    <x v="0"/>
    <s v="A     - Avere"/>
    <n v="222704.65"/>
    <n v="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4"/>
    <s v="ARCHIVIATA DA RPR"/>
    <x v="1"/>
    <n v="1"/>
    <n v="417355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710"/>
    <s v="95"/>
    <s v="Versamento giornaliero di importo elevato per la causale ed il soggetto"/>
    <d v="2025-05-01T00:00:00"/>
    <n v="53850"/>
    <n v="171"/>
    <s v="053850_171"/>
    <s v="Discovery Day"/>
    <s v="Mai valutato"/>
    <m/>
    <s v="Vari (30/04/2025)"/>
    <n v="1713305728950"/>
    <n v="20250430"/>
    <x v="2"/>
    <m/>
    <x v="0"/>
    <s v="A     - Avere"/>
    <n v="389092.8"/>
    <n v="389092.8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709"/>
    <s v="95"/>
    <s v="Versamento giornaliero di importo elevato per la causale ed il soggetto"/>
    <d v="2025-05-01T00:00:00"/>
    <n v="53850"/>
    <n v="174"/>
    <s v="053850_174"/>
    <s v="Discovery Day"/>
    <s v="Mai valutato"/>
    <m/>
    <s v="Vari (30/04/2025)"/>
    <n v="1743302879671"/>
    <n v="20250430"/>
    <x v="0"/>
    <m/>
    <x v="0"/>
    <s v="A     - Avere"/>
    <n v="146840.25"/>
    <n v="2500"/>
    <n v="4866710"/>
    <n v="265680728"/>
    <s v="AS LABRUNA S.R.L."/>
    <s v="430 - Imprese produttive"/>
    <s v="281 - FABBRICAZIONE DI MACCHINE DI IMPIEGO GENERALE"/>
    <s v="086 - ITALIA"/>
    <n v="1058"/>
    <m/>
    <m/>
    <m/>
    <m/>
    <m/>
    <m/>
    <m/>
    <n v="0"/>
    <n v="202504"/>
    <s v="ARCHIVIATA DA RPR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708"/>
    <s v="95"/>
    <s v="Versamento giornaliero di importo elevato per la causale ed il soggetto"/>
    <d v="2025-05-01T00:00:00"/>
    <n v="53850"/>
    <n v="129"/>
    <s v="053850_129"/>
    <s v="Discovery Day"/>
    <s v="Mai valutato"/>
    <m/>
    <s v="Vari (30/04/2025)"/>
    <n v="2343300010453"/>
    <n v="20250430"/>
    <x v="0"/>
    <m/>
    <x v="0"/>
    <s v="A     - Avere"/>
    <n v="121141.77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0"/>
    <n v="1"/>
    <n v="4247777"/>
    <n v="1"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706"/>
    <s v="95"/>
    <s v="Versamento giornaliero di importo elevato per la causale ed il soggetto"/>
    <d v="2025-05-01T00:00:00"/>
    <n v="53850"/>
    <n v="110"/>
    <s v="053850_110"/>
    <s v="Discovery Day"/>
    <s v="Mai valutato"/>
    <m/>
    <n v="202504307940222"/>
    <n v="1103306285126"/>
    <n v="20250430"/>
    <x v="3"/>
    <m/>
    <x v="0"/>
    <s v="A     - Avere"/>
    <n v="100000"/>
    <n v="0"/>
    <n v="483543"/>
    <s v="DBNLGU59D17A669H"/>
    <s v="DIBENEDETTO LUIGI"/>
    <s v="615 - Altre famiglie produttrici"/>
    <s v="012 - COLTIVAZIONE DI COLTURE PERMANENTI"/>
    <s v="086 - ITALIA"/>
    <n v="1072"/>
    <m/>
    <m/>
    <m/>
    <m/>
    <m/>
    <m/>
    <m/>
    <n v="0"/>
    <n v="202504"/>
    <s v="ARCHIVIATA"/>
    <x v="1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703"/>
    <s v="95"/>
    <s v="Versamento giornaliero di importo elevato per la causale ed il soggetto"/>
    <d v="2025-05-01T00:00:00"/>
    <n v="53850"/>
    <n v="192"/>
    <s v="053850_192"/>
    <s v="Discovery Day"/>
    <s v="Mai valutato"/>
    <m/>
    <s v="Vari (30/04/2025)"/>
    <n v="1923300180351"/>
    <n v="20250430"/>
    <x v="1"/>
    <m/>
    <x v="0"/>
    <s v="A     - Avere"/>
    <n v="177163.9"/>
    <n v="0"/>
    <n v="4365602"/>
    <n v="2514190731"/>
    <s v="TRE P. ABBIGLIAMENTO S.R.L."/>
    <s v="430 - Imprese produttive"/>
    <s v="141 - CONFEZIONE DI ARTICOLI DI ABBIGLIAMENTO (ESCLUSO ABBIGLIAMENTO IN PELLICCIA)"/>
    <s v="086 - ITALIA"/>
    <n v="1066"/>
    <m/>
    <m/>
    <m/>
    <m/>
    <m/>
    <m/>
    <m/>
    <n v="0"/>
    <n v="202504"/>
    <s v="ARCHIVIATA DA RPR"/>
    <x v="1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700"/>
    <s v="95"/>
    <s v="Versamento giornaliero di importo elevato per la causale ed il soggetto"/>
    <d v="2025-05-01T00:00:00"/>
    <n v="53850"/>
    <n v="116"/>
    <s v="053850_116"/>
    <s v="Discovery Day"/>
    <s v="Mai valutato"/>
    <m/>
    <n v="202504307939491"/>
    <n v="2343300010453"/>
    <n v="20250430"/>
    <x v="2"/>
    <m/>
    <x v="0"/>
    <s v="A     - Avere"/>
    <n v="88848.8"/>
    <n v="88848.8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93"/>
    <s v="95"/>
    <s v="Versamento giornaliero di importo elevato per la causale ed il soggetto"/>
    <d v="2025-05-01T00:00:00"/>
    <n v="53850"/>
    <n v="110"/>
    <s v="053850_110"/>
    <s v="Discovery Day"/>
    <s v="Mai valutato"/>
    <m/>
    <n v="202504307940222"/>
    <n v="1103306285126"/>
    <n v="20250430"/>
    <x v="3"/>
    <m/>
    <x v="0"/>
    <s v="A     - Avere"/>
    <n v="100000"/>
    <n v="0"/>
    <n v="522021"/>
    <s v="DBNDNC63C05A669B"/>
    <s v="DIBENEDETTO DOMENICO"/>
    <s v="615 - Altre famiglie produttrici"/>
    <s v="012 - COLTIVAZIONE DI COLTURE PERMANENTI"/>
    <s v="086 - ITALIA"/>
    <n v="1928"/>
    <m/>
    <m/>
    <m/>
    <m/>
    <m/>
    <m/>
    <m/>
    <n v="0"/>
    <n v="202504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689"/>
    <s v="95"/>
    <s v="Versamento giornaliero di importo elevato per la causale ed il soggetto"/>
    <d v="2025-05-01T00:00:00"/>
    <n v="53850"/>
    <n v="104"/>
    <s v="053850_104"/>
    <s v="Discovery Day"/>
    <s v="Mai valutato"/>
    <m/>
    <n v="202504307940137"/>
    <n v="1043301449156"/>
    <n v="20250430"/>
    <x v="1"/>
    <m/>
    <x v="0"/>
    <s v="A     - Avere"/>
    <n v="145165.1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4"/>
    <s v="ARCHIVIATA"/>
    <x v="1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687"/>
    <s v="95"/>
    <s v="Versamento giornaliero di importo elevato per la causale ed il soggetto"/>
    <d v="2025-05-01T00:00:00"/>
    <n v="53850"/>
    <n v="161"/>
    <s v="053850_161"/>
    <s v="Discovery Day"/>
    <s v="Mai valutato"/>
    <m/>
    <s v="Vari (30/04/2025)"/>
    <n v="1613300029653"/>
    <n v="20250430"/>
    <x v="0"/>
    <m/>
    <x v="0"/>
    <s v="A     - Avere"/>
    <n v="270019.89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4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84"/>
    <s v="95"/>
    <s v="Versamento giornaliero di importo elevato per la causale ed il soggetto"/>
    <d v="2025-05-01T00:00:00"/>
    <n v="53850"/>
    <n v="125"/>
    <s v="053850_125"/>
    <s v="Discovery Day"/>
    <s v="Mai valutato"/>
    <m/>
    <n v="202504307940285"/>
    <n v="1473300005289"/>
    <n v="20250430"/>
    <x v="1"/>
    <m/>
    <x v="0"/>
    <s v="A     - Avere"/>
    <n v="133800"/>
    <n v="0"/>
    <n v="4507156"/>
    <s v="LTZRSL51E64B963D"/>
    <s v="LETIZIA CENTONE ROSALIA"/>
    <s v="600 - Famiglie consumatrici"/>
    <m/>
    <s v="086 - ITALIA"/>
    <m/>
    <m/>
    <m/>
    <m/>
    <m/>
    <m/>
    <m/>
    <m/>
    <n v="0"/>
    <n v="202504"/>
    <s v="ARCHIVIATA DA RPR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679"/>
    <s v="95"/>
    <s v="Versamento giornaliero di importo elevato per la causale ed il soggetto"/>
    <d v="2025-05-01T00:00:00"/>
    <n v="53850"/>
    <n v="128"/>
    <s v="053850_128"/>
    <s v="Discovery Day"/>
    <s v="Mai valutato"/>
    <m/>
    <s v="Vari (30/04/2025)"/>
    <n v="1283300001665"/>
    <n v="20250430"/>
    <x v="0"/>
    <m/>
    <x v="0"/>
    <s v="A     - Avere"/>
    <n v="292793.88"/>
    <n v="598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4"/>
    <s v="ARCHIVIATA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677"/>
    <s v="95"/>
    <s v="Versamento giornaliero di importo elevato per la causale ed il soggetto"/>
    <d v="2025-05-01T00:00:00"/>
    <n v="53850"/>
    <n v="110"/>
    <s v="053850_110"/>
    <s v="Discovery Day"/>
    <s v="Mai valutato"/>
    <m/>
    <n v="202504307940222"/>
    <n v="1103306285126"/>
    <n v="20250430"/>
    <x v="3"/>
    <m/>
    <x v="0"/>
    <s v="A     - Avere"/>
    <n v="100000"/>
    <n v="0"/>
    <n v="541812"/>
    <s v="DBNGCH53R11A669J"/>
    <s v="DIBENEDETTO GIOACCHINO"/>
    <s v="615 - Altre famiglie produttrici"/>
    <s v="012 - COLTIVAZIONE DI COLTURE PERMANENTI"/>
    <s v="086 - ITALIA"/>
    <n v="1928"/>
    <m/>
    <m/>
    <m/>
    <m/>
    <m/>
    <m/>
    <m/>
    <n v="0"/>
    <n v="202504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671"/>
    <s v="95"/>
    <s v="Versamento giornaliero di importo elevato per la causale ed il soggetto"/>
    <d v="2025-05-01T00:00:00"/>
    <n v="53850"/>
    <n v="174"/>
    <s v="053850_174"/>
    <s v="Discovery Day"/>
    <s v="Mai valutato"/>
    <m/>
    <n v="202504307940506"/>
    <n v="1743302880504"/>
    <n v="20250430"/>
    <x v="3"/>
    <m/>
    <x v="0"/>
    <s v="A     - Avere"/>
    <n v="250000"/>
    <n v="0"/>
    <n v="4993511"/>
    <s v="MZZNGL81M27B619S"/>
    <s v="MAZZILLI ANGELO"/>
    <s v="615 - Altre famiglie produttrici"/>
    <s v="620 - PRODUZIONE DI SOFTWARE, CONSULENZA INFORMATICA E ATTIVITÀ CONNESSE"/>
    <s v="086 - ITALIA"/>
    <n v="720"/>
    <m/>
    <m/>
    <m/>
    <m/>
    <m/>
    <m/>
    <m/>
    <n v="0"/>
    <n v="202504"/>
    <s v="ARCHIVIATA DA RPR"/>
    <x v="1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670"/>
    <s v="95"/>
    <s v="Versamento giornaliero di importo elevato per la causale ed il soggetto"/>
    <d v="2025-05-01T00:00:00"/>
    <n v="53850"/>
    <n v="108"/>
    <s v="053850_108"/>
    <s v="Discovery Day"/>
    <s v="Mai valutato"/>
    <m/>
    <s v="Vari (30/04/2025)"/>
    <n v="1083300011180"/>
    <n v="20250430"/>
    <x v="1"/>
    <m/>
    <x v="0"/>
    <s v="A     - Avere"/>
    <n v="115206.55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s v="ARCHIVIATA DA RPR"/>
    <x v="1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68"/>
    <s v="95"/>
    <s v="Versamento giornaliero di importo elevato per la causale ed il soggetto"/>
    <d v="2025-05-01T00:00:00"/>
    <n v="53850"/>
    <n v="171"/>
    <s v="053850_171"/>
    <s v="Discovery Day"/>
    <s v="Mai valutato"/>
    <m/>
    <s v="Vari (30/04/2025)"/>
    <n v="1713302214147"/>
    <n v="20250430"/>
    <x v="2"/>
    <m/>
    <x v="0"/>
    <s v="A     - Avere"/>
    <n v="148915"/>
    <n v="14891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656"/>
    <s v="95"/>
    <s v="Versamento giornaliero di importo elevato per la causale ed il soggetto"/>
    <d v="2025-04-30T00:00:00"/>
    <n v="53850"/>
    <n v="103"/>
    <s v="053850_103"/>
    <s v="Discovery Day"/>
    <s v="Mai valutato"/>
    <m/>
    <n v="202504297934722"/>
    <n v="1033306986082"/>
    <n v="20250429"/>
    <x v="4"/>
    <m/>
    <x v="0"/>
    <s v="A     - Avere"/>
    <n v="141200"/>
    <n v="0"/>
    <n v="4055669"/>
    <s v="TCCMRA71T42E155A"/>
    <s v="TUCCI MARIA"/>
    <s v="600 - Famiglie consumatrici"/>
    <m/>
    <s v="086 - ITALIA"/>
    <m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652"/>
    <s v="95"/>
    <s v="Versamento giornaliero di importo elevato per la causale ed il soggetto"/>
    <d v="2025-04-30T00:00:00"/>
    <n v="53850"/>
    <n v="157"/>
    <s v="053850_157"/>
    <s v="Discovery Day"/>
    <s v="Mai valutato"/>
    <m/>
    <n v="202504297934960"/>
    <n v="1573300003602"/>
    <n v="20250429"/>
    <x v="4"/>
    <m/>
    <x v="0"/>
    <s v="A     - Avere"/>
    <n v="100736.21"/>
    <n v="0"/>
    <n v="3723388"/>
    <n v="3720260714"/>
    <s v="LIQUIDAZIONE GIUDIZIALE F.T.V. S.R.L."/>
    <s v="501 - Istituzioni ed enti con finalita' di assistenza, beneficenza, istruzione, culturali, sindacali, politiche, sportive, ricreative e simili"/>
    <m/>
    <s v="086 - ITALIA"/>
    <m/>
    <m/>
    <m/>
    <m/>
    <m/>
    <m/>
    <m/>
    <m/>
    <n v="0"/>
    <n v="202504"/>
    <s v="ARCHIVIATA"/>
    <x v="1"/>
    <n v="1"/>
    <m/>
    <m/>
    <n v="0"/>
    <n v="999"/>
    <n v="501"/>
    <n v="501999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647"/>
    <s v="95"/>
    <s v="Versamento giornaliero di importo elevato per la causale ed il soggetto"/>
    <d v="2025-04-30T00:00:00"/>
    <n v="53850"/>
    <n v="103"/>
    <s v="053850_103"/>
    <s v="Discovery Day"/>
    <s v="Mai valutato"/>
    <m/>
    <n v="202504297934722"/>
    <n v="1033306986082"/>
    <n v="20250429"/>
    <x v="4"/>
    <m/>
    <x v="0"/>
    <s v="A     - Avere"/>
    <n v="141200"/>
    <n v="0"/>
    <n v="87603"/>
    <s v="LDDRSO42L49E155P"/>
    <s v="LADDAGA ROSA"/>
    <s v="600 - Famiglie consumatrici"/>
    <m/>
    <s v="086 - ITALIA"/>
    <n v="1657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642"/>
    <s v="95"/>
    <s v="Versamento giornaliero di importo elevato per la causale ed il soggetto"/>
    <d v="2025-04-30T00:00:00"/>
    <n v="53850"/>
    <n v="103"/>
    <s v="053850_103"/>
    <s v="Discovery Day"/>
    <s v="Mai valutato"/>
    <m/>
    <n v="202504297934722"/>
    <n v="1033306986082"/>
    <n v="20250429"/>
    <x v="4"/>
    <m/>
    <x v="0"/>
    <s v="A     - Avere"/>
    <n v="141200"/>
    <n v="0"/>
    <n v="557564"/>
    <s v="TCCFMN66H47E155I"/>
    <s v="TUCCI FILOMENA"/>
    <s v="600 - Famiglie consumatrici"/>
    <m/>
    <s v="086 - ITALIA"/>
    <n v="515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640"/>
    <s v="95"/>
    <s v="Versamento giornaliero di importo elevato per la causale ed il soggetto"/>
    <d v="2025-04-30T00:00:00"/>
    <n v="53850"/>
    <n v="171"/>
    <s v="053850_171"/>
    <s v="Discovery Day"/>
    <s v="Mai valutato"/>
    <m/>
    <s v="Vari (29/04/2025)"/>
    <n v="1713305728950"/>
    <n v="20250429"/>
    <x v="2"/>
    <m/>
    <x v="0"/>
    <s v="A     - Avere"/>
    <n v="143475"/>
    <n v="14347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639"/>
    <s v="95"/>
    <s v="Versamento giornaliero di importo elevato per la causale ed il soggetto"/>
    <d v="2025-04-30T00:00:00"/>
    <n v="53850"/>
    <n v="175"/>
    <s v="053850_175"/>
    <s v="Discovery Day"/>
    <s v="Mai valutato"/>
    <m/>
    <n v="202504297935046"/>
    <n v="1753302203350"/>
    <n v="20250429"/>
    <x v="3"/>
    <m/>
    <x v="0"/>
    <s v="A     - Avere"/>
    <n v="111000"/>
    <n v="0"/>
    <n v="4844007"/>
    <n v="1296320771"/>
    <s v="STELLA COSTRUZIONI S.R.L."/>
    <s v="430 - Imprese produttive"/>
    <s v="412 - COSTRUZIONE DI EDIFICI RESIDENZIALI E NON RESIDENZIALI"/>
    <s v="086 - ITALIA"/>
    <n v="936"/>
    <m/>
    <m/>
    <m/>
    <m/>
    <m/>
    <m/>
    <m/>
    <n v="0"/>
    <n v="202504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630"/>
    <s v="95"/>
    <s v="Versamento giornaliero di importo elevato per la causale ed il soggetto"/>
    <d v="2025-04-30T00:00:00"/>
    <n v="53850"/>
    <n v="141"/>
    <s v="053850_141"/>
    <s v="Discovery Day"/>
    <s v="Mai valutato"/>
    <m/>
    <s v="Vari (29/04/2025)"/>
    <n v="1413300002755"/>
    <n v="20250429"/>
    <x v="0"/>
    <m/>
    <x v="0"/>
    <s v="A     - Avere"/>
    <n v="94971.3"/>
    <n v="15170"/>
    <n v="4018687"/>
    <s v="CLLLRD50H04E506J"/>
    <s v="CILLO ALFREDO"/>
    <s v="615 - Altre famiglie produttrici"/>
    <s v="691 - ATTIVITÀ DEGLI STUDI LEGALI"/>
    <s v="086 - ITALIA"/>
    <n v="862"/>
    <m/>
    <m/>
    <m/>
    <m/>
    <m/>
    <m/>
    <m/>
    <n v="0"/>
    <n v="202504"/>
    <s v="ARCHIVIATA"/>
    <x v="1"/>
    <n v="1"/>
    <n v="4018687"/>
    <n v="1"/>
    <n v="1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24"/>
    <s v="95"/>
    <s v="Versamento giornaliero di importo elevato per la causale ed il soggetto"/>
    <d v="2025-04-30T00:00:00"/>
    <n v="53850"/>
    <n v="103"/>
    <s v="053850_103"/>
    <s v="Discovery Day"/>
    <s v="Mai valutato"/>
    <m/>
    <n v="202504297934722"/>
    <n v="1033306986082"/>
    <n v="20250429"/>
    <x v="4"/>
    <m/>
    <x v="0"/>
    <s v="A     - Avere"/>
    <n v="141200"/>
    <n v="0"/>
    <n v="4041365"/>
    <s v="TCCGPP74M66E155X"/>
    <s v="TUCCI GIUSEPPINA"/>
    <s v="600 - Famiglie consumatrici"/>
    <m/>
    <s v="086 - ITALIA"/>
    <m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619"/>
    <s v="95"/>
    <s v="Versamento giornaliero di importo elevato per la causale ed il soggetto"/>
    <d v="2025-04-30T00:00:00"/>
    <n v="53850"/>
    <n v="103"/>
    <s v="053850_103"/>
    <s v="Discovery Day"/>
    <s v="Mai valutato"/>
    <m/>
    <n v="202504297934722"/>
    <n v="1033306986082"/>
    <n v="20250429"/>
    <x v="4"/>
    <m/>
    <x v="0"/>
    <s v="A     - Avere"/>
    <n v="141200"/>
    <n v="0"/>
    <n v="606758"/>
    <s v="TCCGRZ65C62E155O"/>
    <s v="TUCCI GRAZIA"/>
    <s v="600 - Famiglie consumatrici"/>
    <m/>
    <s v="086 - ITALIA"/>
    <n v="1224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616"/>
    <s v="95"/>
    <s v="Versamento giornaliero di importo elevato per la causale ed il soggetto"/>
    <d v="2025-04-30T00:00:00"/>
    <n v="53850"/>
    <n v="141"/>
    <s v="053850_141"/>
    <s v="Discovery Day"/>
    <s v="Mai valutato"/>
    <m/>
    <n v="202504297934899"/>
    <n v="1413300000129"/>
    <n v="20250429"/>
    <x v="3"/>
    <m/>
    <x v="0"/>
    <s v="A     - Avere"/>
    <n v="168000"/>
    <n v="0"/>
    <n v="4183509"/>
    <s v="GLBMHL70H04E506L"/>
    <s v="GILIBERTI MICHELE"/>
    <s v="615 - Altre famiglie produttrici"/>
    <s v="749 - ALTRE ATTIVITÀ PROFESSIONALI, SCIENTIFICHE E TECNICHE NCA"/>
    <s v="086 - ITALIA"/>
    <n v="862"/>
    <m/>
    <m/>
    <m/>
    <m/>
    <m/>
    <m/>
    <m/>
    <n v="0"/>
    <n v="202504"/>
    <s v="ARCHIVIATA DA RPR"/>
    <x v="1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614"/>
    <s v="95"/>
    <s v="Versamento giornaliero di importo elevato per la causale ed il soggetto"/>
    <d v="2025-04-30T00:00:00"/>
    <n v="53850"/>
    <n v="102"/>
    <s v="053850_102"/>
    <s v="Discovery Day"/>
    <s v="Mai valutato"/>
    <m/>
    <s v="Vari (29/04/2025)"/>
    <n v="1023308723724"/>
    <n v="20250429"/>
    <x v="0"/>
    <m/>
    <x v="0"/>
    <s v="A     - Avere"/>
    <n v="304550"/>
    <n v="4250"/>
    <n v="4892368"/>
    <n v="8073540729"/>
    <s v="STUDIO NOTARILE STIGLIANO"/>
    <s v="491 - Quasi societa' non finanziarie altre - Unita' o societa' con piu' di 5 e meno di 20 addetti"/>
    <s v="691 - ATTIVITÀ DEGLI STUDI LEGALI"/>
    <s v="086 - ITALIA"/>
    <n v="1443"/>
    <m/>
    <m/>
    <m/>
    <m/>
    <m/>
    <m/>
    <m/>
    <n v="0"/>
    <n v="202504"/>
    <s v="ARCHIVIATA DA RPR"/>
    <x v="1"/>
    <n v="1"/>
    <m/>
    <m/>
    <n v="1"/>
    <n v="999"/>
    <n v="491"/>
    <n v="491999"/>
    <m/>
    <n v="1"/>
    <x v="4"/>
    <n v="98000"/>
    <n v="98368.7"/>
    <n v="98737.4"/>
    <n v="99106.1"/>
    <n v="99955"/>
    <n v="101044"/>
    <n v="102133"/>
    <n v="103273.1"/>
    <n v="104515.4"/>
    <n v="105757.7"/>
    <n v="107000"/>
    <n v="109400"/>
    <n v="111800"/>
    <n v="114200"/>
    <n v="118800"/>
    <n v="124500"/>
    <n v="130200"/>
    <n v="151054.99999999991"/>
    <n v="202220.00000000009"/>
    <n v="253384.99999999991"/>
    <n v="3045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10"/>
    <s v="95"/>
    <s v="Versamento giornaliero di importo elevato per la causale ed il soggetto"/>
    <d v="2025-04-30T00:00:00"/>
    <n v="53850"/>
    <n v="114"/>
    <s v="053850_114"/>
    <s v="Discovery Day"/>
    <s v="Mai valutato"/>
    <m/>
    <n v="202504297934801"/>
    <n v="1143306280621"/>
    <n v="20250429"/>
    <x v="5"/>
    <m/>
    <x v="0"/>
    <s v="A     - Avere"/>
    <n v="55650"/>
    <n v="5565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1"/>
    <n v="1"/>
    <n v="4658875"/>
    <n v="1"/>
    <n v="0"/>
    <n v="477"/>
    <n v="492"/>
    <n v="492477"/>
    <s v="Classe di rischio 5"/>
    <m/>
    <x v="5"/>
    <n v="55650"/>
    <n v="56502"/>
    <n v="57354"/>
    <n v="58206"/>
    <n v="59098"/>
    <n v="60010"/>
    <n v="60922"/>
    <n v="61827"/>
    <n v="62718"/>
    <n v="63609"/>
    <n v="64500"/>
    <n v="66288"/>
    <n v="68076"/>
    <n v="69864"/>
    <n v="70482"/>
    <n v="70515"/>
    <n v="70548"/>
    <n v="70590"/>
    <n v="70650"/>
    <n v="70710"/>
    <n v="707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00"/>
    <s v="95"/>
    <s v="Versamento giornaliero di importo elevato per la causale ed il soggetto"/>
    <d v="2025-04-29T00:00:00"/>
    <n v="53850"/>
    <n v="102"/>
    <s v="053850_102"/>
    <s v="Discovery Day"/>
    <s v="Mai valutato"/>
    <m/>
    <s v="Vari (28/04/2025)"/>
    <n v="1023300660520"/>
    <n v="20250428"/>
    <x v="0"/>
    <m/>
    <x v="0"/>
    <s v="A     - Avere"/>
    <n v="104142"/>
    <n v="4883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s v="IN CARICO AL GESTORE"/>
    <x v="0"/>
    <n v="1"/>
    <n v="66052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93"/>
    <s v="95"/>
    <s v="Versamento giornaliero di importo elevato per la causale ed il soggetto"/>
    <d v="2025-04-29T00:00:00"/>
    <n v="53850"/>
    <n v="267"/>
    <s v="053850_267"/>
    <s v="Discovery Day"/>
    <s v="Mai valutato"/>
    <m/>
    <n v="202504287931837"/>
    <n v="2673300003600"/>
    <n v="20250428"/>
    <x v="5"/>
    <m/>
    <x v="0"/>
    <s v="A     - Avere"/>
    <n v="115000"/>
    <n v="115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s v="ARCHIVIATA"/>
    <x v="1"/>
    <n v="1"/>
    <n v="1705101"/>
    <n v="1"/>
    <n v="0"/>
    <n v="999"/>
    <n v="492"/>
    <n v="492999"/>
    <m/>
    <n v="1"/>
    <x v="4"/>
    <n v="98000"/>
    <n v="98368.7"/>
    <n v="98737.4"/>
    <n v="99106.1"/>
    <n v="99955"/>
    <n v="101044"/>
    <n v="102133"/>
    <n v="103273.1"/>
    <n v="104515.4"/>
    <n v="105757.7"/>
    <n v="107000"/>
    <n v="109400"/>
    <n v="111800"/>
    <n v="114200"/>
    <n v="118800"/>
    <n v="124500"/>
    <n v="130200"/>
    <n v="151054.99999999991"/>
    <n v="202220.00000000009"/>
    <n v="253384.99999999991"/>
    <n v="30455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587"/>
    <s v="95"/>
    <s v="Versamento giornaliero di importo elevato per la causale ed il soggetto"/>
    <d v="2025-04-29T00:00:00"/>
    <n v="53850"/>
    <n v="171"/>
    <s v="053850_171"/>
    <s v="Discovery Day"/>
    <s v="Mai valutato"/>
    <m/>
    <s v="Vari (28/04/2025)"/>
    <n v="1713305728950"/>
    <n v="20250428"/>
    <x v="2"/>
    <m/>
    <x v="0"/>
    <s v="A     - Avere"/>
    <n v="318875.83"/>
    <n v="318875.8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583"/>
    <s v="95"/>
    <s v="Versamento giornaliero di importo elevato per la causale ed il soggetto"/>
    <d v="2025-04-29T00:00:00"/>
    <n v="53850"/>
    <n v="182"/>
    <s v="053850_182"/>
    <s v="Discovery Day"/>
    <s v="Mai valutato"/>
    <m/>
    <s v="Vari (28/04/2025)"/>
    <n v="1823300169301"/>
    <n v="20250428"/>
    <x v="2"/>
    <m/>
    <x v="0"/>
    <s v="A     - Avere"/>
    <n v="45865"/>
    <n v="4586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s v="ARCHIVIATA"/>
    <x v="1"/>
    <n v="1"/>
    <n v="4284957"/>
    <n v="1"/>
    <n v="0"/>
    <n v="920"/>
    <n v="615"/>
    <n v="615920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82"/>
    <s v="95"/>
    <s v="Versamento giornaliero di importo elevato per la causale ed il soggetto"/>
    <d v="2025-04-29T00:00:00"/>
    <n v="53850"/>
    <n v="116"/>
    <s v="053850_116"/>
    <s v="Discovery Day"/>
    <s v="Mai valutato"/>
    <m/>
    <n v="202504287931022"/>
    <n v="2343300010453"/>
    <n v="20250428"/>
    <x v="2"/>
    <m/>
    <x v="0"/>
    <s v="A     - Avere"/>
    <n v="91109.1"/>
    <n v="91109.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78"/>
    <s v="95"/>
    <s v="Versamento giornaliero di importo elevato per la causale ed il soggetto"/>
    <d v="2025-04-29T00:00:00"/>
    <n v="53850"/>
    <n v="171"/>
    <s v="053850_171"/>
    <s v="Discovery Day"/>
    <s v="Mai valutato"/>
    <m/>
    <s v="Vari (28/04/2025)"/>
    <n v="1713302214147"/>
    <n v="20250428"/>
    <x v="2"/>
    <m/>
    <x v="0"/>
    <s v="A     - Avere"/>
    <n v="125250.24000000001"/>
    <n v="125250.24000000001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75"/>
    <s v="95"/>
    <s v="Versamento giornaliero di importo elevato per la causale ed il soggetto"/>
    <d v="2025-04-29T00:00:00"/>
    <n v="53850"/>
    <n v="128"/>
    <s v="053850_128"/>
    <s v="Discovery Day"/>
    <s v="Mai valutato"/>
    <m/>
    <s v="Vari (28/04/2025)"/>
    <n v="1283300001665"/>
    <n v="20250428"/>
    <x v="0"/>
    <m/>
    <x v="0"/>
    <s v="A     - Avere"/>
    <n v="117381.44"/>
    <n v="207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4"/>
    <s v="ARCHIVIATA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71"/>
    <s v="95"/>
    <s v="Versamento giornaliero di importo elevato per la causale ed il soggetto"/>
    <d v="2025-04-29T00:00:00"/>
    <n v="53850"/>
    <n v="116"/>
    <s v="053850_116"/>
    <s v="Discovery Day"/>
    <s v="Mai valutato"/>
    <m/>
    <s v="Vari (28/04/2025)"/>
    <n v="1163307623465"/>
    <n v="20250428"/>
    <x v="0"/>
    <m/>
    <x v="0"/>
    <s v="A     - Avere"/>
    <n v="140000"/>
    <n v="0"/>
    <n v="3738297"/>
    <n v="8684570727"/>
    <s v="NOVAGORA' S.R.L."/>
    <s v="430 - Imprese produttive"/>
    <s v="412 - COSTRUZIONE DI EDIFICI RESIDENZIALI E NON RESIDENZIALI"/>
    <s v="086 - ITALIA"/>
    <n v="739"/>
    <m/>
    <m/>
    <m/>
    <m/>
    <m/>
    <m/>
    <m/>
    <n v="0"/>
    <n v="202504"/>
    <s v="IN VALUTAZIONE RPR"/>
    <x v="0"/>
    <n v="1"/>
    <m/>
    <m/>
    <n v="1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50"/>
    <s v="95"/>
    <s v="Versamento giornaliero di importo elevato per la causale ed il soggetto"/>
    <d v="2025-04-29T00:00:00"/>
    <n v="53850"/>
    <n v="170"/>
    <s v="053850_170"/>
    <s v="Discovery Day"/>
    <s v="Mai valutato"/>
    <m/>
    <n v="202504287931605"/>
    <n v="1703306290965"/>
    <n v="20250428"/>
    <x v="3"/>
    <m/>
    <x v="0"/>
    <s v="A     - Avere"/>
    <n v="172400"/>
    <n v="0"/>
    <n v="3734846"/>
    <n v="8512530729"/>
    <s v="AC COSTRUZIONI SRL"/>
    <s v="430 - Imprese produttive"/>
    <s v="412 - COSTRUZIONE DI EDIFICI RESIDENZIALI E NON RESIDENZIALI"/>
    <s v="086 - ITALIA"/>
    <n v="1920"/>
    <m/>
    <m/>
    <m/>
    <m/>
    <m/>
    <m/>
    <m/>
    <n v="0"/>
    <n v="202504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549"/>
    <s v="95"/>
    <s v="Versamento giornaliero di importo elevato per la causale ed il soggetto"/>
    <d v="2025-04-29T00:00:00"/>
    <n v="53850"/>
    <n v="129"/>
    <s v="053850_129"/>
    <s v="Discovery Day"/>
    <s v="Mai valutato"/>
    <m/>
    <n v="202504287931405"/>
    <n v="2343300010453"/>
    <n v="20250428"/>
    <x v="1"/>
    <m/>
    <x v="0"/>
    <s v="A     - Avere"/>
    <n v="89149.25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48"/>
    <s v="95"/>
    <s v="Versamento giornaliero di importo elevato per la causale ed il soggetto"/>
    <d v="2025-04-29T00:00:00"/>
    <n v="53850"/>
    <n v="161"/>
    <s v="053850_161"/>
    <s v="Discovery Day"/>
    <s v="Mai valutato"/>
    <m/>
    <s v="Vari (28/04/2025)"/>
    <n v="1613300029653"/>
    <n v="20250428"/>
    <x v="0"/>
    <m/>
    <x v="0"/>
    <s v="A     - Avere"/>
    <n v="79891.56"/>
    <n v="101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4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47"/>
    <s v="95"/>
    <s v="Versamento giornaliero di importo elevato per la causale ed il soggetto"/>
    <d v="2025-04-29T00:00:00"/>
    <n v="53850"/>
    <n v="175"/>
    <s v="053850_175"/>
    <s v="Discovery Day"/>
    <s v="Mai valutato"/>
    <m/>
    <s v="Vari (28/04/2025)"/>
    <n v="1753302203127"/>
    <n v="20250428"/>
    <x v="0"/>
    <m/>
    <x v="0"/>
    <s v="A     - Avere"/>
    <n v="115615.55"/>
    <n v="47710"/>
    <n v="4160138"/>
    <n v="484200779"/>
    <s v="DE.RA.DO. SRL"/>
    <s v="430 - Imprese produttive"/>
    <s v="031 - PESCA"/>
    <s v="086 - ITALIA"/>
    <n v="739"/>
    <m/>
    <m/>
    <m/>
    <m/>
    <m/>
    <m/>
    <m/>
    <n v="0"/>
    <n v="202504"/>
    <s v="IN VALUTAZIONE RPR"/>
    <x v="0"/>
    <n v="1"/>
    <n v="4160138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41"/>
    <s v="95"/>
    <s v="Versamento giornaliero di importo elevato per la causale ed il soggetto"/>
    <d v="2025-04-25T00:00:00"/>
    <n v="53850"/>
    <n v="109"/>
    <s v="053850_109"/>
    <s v="Discovery Day"/>
    <s v="Mai valutato"/>
    <m/>
    <s v="Vari (24/04/2025)"/>
    <n v="1093306677188"/>
    <n v="20250424"/>
    <x v="3"/>
    <m/>
    <x v="0"/>
    <s v="A     - Avere"/>
    <n v="224800"/>
    <n v="0"/>
    <n v="3724794"/>
    <n v="6790530726"/>
    <s v="SOGEDILE S.R.L."/>
    <s v="430 - Imprese produttive"/>
    <s v="412 - COSTRUZIONE DI EDIFICI RESIDENZIALI E NON RESIDENZIALI"/>
    <s v="086 - ITALIA"/>
    <n v="502"/>
    <m/>
    <m/>
    <m/>
    <m/>
    <m/>
    <m/>
    <m/>
    <n v="0"/>
    <n v="202504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39"/>
    <s v="95"/>
    <s v="Versamento giornaliero di importo elevato per la causale ed il soggetto"/>
    <d v="2025-04-25T00:00:00"/>
    <n v="53850"/>
    <n v="108"/>
    <s v="053850_108"/>
    <s v="Discovery Day"/>
    <s v="Mai valutato"/>
    <m/>
    <s v="Vari (24/04/2025)"/>
    <n v="1083300011180"/>
    <n v="20250424"/>
    <x v="0"/>
    <m/>
    <x v="0"/>
    <s v="A     - Avere"/>
    <n v="170925.18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s v="ARCHIVIATA DA RPR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38"/>
    <s v="95"/>
    <s v="Versamento giornaliero di importo elevato per la causale ed il soggetto"/>
    <d v="2025-04-25T00:00:00"/>
    <n v="53850"/>
    <n v="171"/>
    <s v="053850_171"/>
    <s v="Discovery Day"/>
    <s v="Mai valutato"/>
    <m/>
    <s v="Vari (24/04/2025)"/>
    <n v="1713302214147"/>
    <n v="20250424"/>
    <x v="2"/>
    <m/>
    <x v="0"/>
    <s v="A     - Avere"/>
    <n v="219015"/>
    <n v="21901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13"/>
    <s v="95"/>
    <s v="Versamento giornaliero di importo elevato per la causale ed il soggetto"/>
    <d v="2025-04-25T00:00:00"/>
    <n v="53850"/>
    <n v="116"/>
    <s v="053850_116"/>
    <s v="Discovery Day"/>
    <s v="Mai valutato"/>
    <m/>
    <n v="202504247924393"/>
    <n v="2343300010453"/>
    <n v="20250424"/>
    <x v="2"/>
    <m/>
    <x v="0"/>
    <s v="A     - Avere"/>
    <n v="181575.3"/>
    <n v="181575.3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509"/>
    <s v="95"/>
    <s v="Versamento giornaliero di importo elevato per la causale ed il soggetto"/>
    <d v="2025-04-25T00:00:00"/>
    <n v="53850"/>
    <n v="171"/>
    <s v="053850_171"/>
    <s v="Discovery Day"/>
    <s v="Mai valutato"/>
    <m/>
    <s v="Vari (24/04/2025)"/>
    <n v="1713305728950"/>
    <n v="20250424"/>
    <x v="2"/>
    <m/>
    <x v="0"/>
    <s v="A     - Avere"/>
    <n v="515709.15"/>
    <n v="515709.1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98"/>
    <s v="95"/>
    <s v="Versamento giornaliero di importo elevato per la causale ed il soggetto"/>
    <d v="2025-04-24T00:00:00"/>
    <n v="53850"/>
    <n v="116"/>
    <s v="053850_116"/>
    <s v="Discovery Day"/>
    <s v="Mai valutato"/>
    <m/>
    <n v="202504237921281"/>
    <n v="2343300010453"/>
    <n v="20250423"/>
    <x v="2"/>
    <m/>
    <x v="0"/>
    <s v="A     - Avere"/>
    <n v="192737.85"/>
    <n v="192737.8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494"/>
    <s v="95"/>
    <s v="Versamento giornaliero di importo elevato per la causale ed il soggetto"/>
    <d v="2025-04-24T00:00:00"/>
    <n v="53850"/>
    <n v="171"/>
    <s v="053850_171"/>
    <s v="Discovery Day"/>
    <s v="Mai valutato"/>
    <m/>
    <s v="Vari (23/04/2025)"/>
    <n v="1713305728950"/>
    <n v="20250423"/>
    <x v="2"/>
    <m/>
    <x v="0"/>
    <s v="A     - Avere"/>
    <n v="205860"/>
    <n v="20586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491"/>
    <s v="95"/>
    <s v="Versamento giornaliero di importo elevato per la causale ed il soggetto"/>
    <d v="2025-04-24T00:00:00"/>
    <n v="53850"/>
    <n v="108"/>
    <s v="053850_108"/>
    <s v="Discovery Day"/>
    <s v="Mai valutato"/>
    <m/>
    <s v="Vari (23/04/2025)"/>
    <n v="1083306291105"/>
    <n v="20250423"/>
    <x v="0"/>
    <m/>
    <x v="0"/>
    <s v="A     - Avere"/>
    <n v="134580.47"/>
    <n v="118883.4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s v="ARCHIVIATA"/>
    <x v="1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486"/>
    <s v="95"/>
    <s v="Versamento giornaliero di importo elevato per la causale ed il soggetto"/>
    <d v="2025-04-24T00:00:00"/>
    <n v="53850"/>
    <n v="108"/>
    <s v="053850_108"/>
    <s v="Discovery Day"/>
    <s v="Mai valutato"/>
    <m/>
    <s v="Vari (23/04/2025)"/>
    <n v="1083300011180"/>
    <n v="20250423"/>
    <x v="0"/>
    <m/>
    <x v="0"/>
    <s v="A     - Avere"/>
    <n v="108046.93"/>
    <n v="105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s v="ARCHIVIATA DA RPR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84"/>
    <s v="95"/>
    <s v="Versamento giornaliero di importo elevato per la causale ed il soggetto"/>
    <d v="2025-04-24T00:00:00"/>
    <n v="53850"/>
    <n v="268"/>
    <s v="053850_268"/>
    <s v="Discovery Day"/>
    <s v="Mai valutato"/>
    <m/>
    <n v="202504237921843"/>
    <n v="2683300010911"/>
    <n v="20250423"/>
    <x v="1"/>
    <m/>
    <x v="0"/>
    <s v="A     - Avere"/>
    <n v="150500"/>
    <n v="0"/>
    <n v="3743523"/>
    <s v="SRNSRN66M50F537P"/>
    <s v="SORIANO SABRINA"/>
    <s v="600 - Famiglie consumatrici"/>
    <m/>
    <s v="086 - ITALIA"/>
    <n v="1757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82"/>
    <s v="95"/>
    <s v="Versamento giornaliero di importo elevato per la causale ed il soggetto"/>
    <d v="2025-04-24T00:00:00"/>
    <n v="53850"/>
    <n v="196"/>
    <s v="053850_196"/>
    <s v="Discovery Day"/>
    <s v="Mai valutato"/>
    <m/>
    <n v="202504237921785"/>
    <n v="1963302350399"/>
    <n v="20250423"/>
    <x v="1"/>
    <m/>
    <x v="0"/>
    <s v="A     - Avere"/>
    <n v="137474.39000000001"/>
    <n v="0"/>
    <n v="4054312"/>
    <s v="LNGNNZ78C13B619K"/>
    <s v="LUONGO NUNZIO"/>
    <s v="615 - Altre famiglie produttrici"/>
    <s v="012 - COLTIVAZIONE DI COLTURE PERMANENTI"/>
    <s v="086 - ITALIA"/>
    <n v="1911"/>
    <m/>
    <m/>
    <m/>
    <m/>
    <m/>
    <m/>
    <m/>
    <n v="0"/>
    <n v="202504"/>
    <s v="ARCHIVIATA"/>
    <x v="1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81"/>
    <s v="95"/>
    <s v="Versamento giornaliero di importo elevato per la causale ed il soggetto"/>
    <d v="2025-04-24T00:00:00"/>
    <n v="53850"/>
    <n v="121"/>
    <s v="053850_121"/>
    <s v="Discovery Day"/>
    <s v="Mai valutato"/>
    <m/>
    <s v="Vari (23/04/2025)"/>
    <n v="1213300002600"/>
    <n v="20250423"/>
    <x v="0"/>
    <m/>
    <x v="0"/>
    <s v="A     - Avere"/>
    <n v="641011.26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s v="IN CARICO AL RESPONSABILE"/>
    <x v="0"/>
    <n v="1"/>
    <m/>
    <m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66"/>
    <s v="95"/>
    <s v="Versamento giornaliero di importo elevato per la causale ed il soggetto"/>
    <d v="2025-04-23T00:00:00"/>
    <n v="53850"/>
    <n v="128"/>
    <s v="053850_128"/>
    <s v="Discovery Day"/>
    <s v="Mai valutato"/>
    <m/>
    <s v="Vari (22/04/2025)"/>
    <n v="1093306672844"/>
    <n v="20250422"/>
    <x v="0"/>
    <m/>
    <x v="0"/>
    <s v="A     - Avere"/>
    <n v="90324.160000000003"/>
    <n v="1600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s v="ARCHIVIATA"/>
    <x v="1"/>
    <n v="1"/>
    <n v="440311"/>
    <n v="1"/>
    <n v="1"/>
    <n v="451"/>
    <n v="430"/>
    <n v="430451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62"/>
    <s v="95"/>
    <s v="Versamento giornaliero di importo elevato per la causale ed il soggetto"/>
    <d v="2025-04-23T00:00:00"/>
    <n v="53850"/>
    <n v="165"/>
    <s v="053850_165"/>
    <s v="Discovery Day"/>
    <s v="Mai valutato"/>
    <m/>
    <n v="202504227918373"/>
    <n v="1653300628564"/>
    <n v="20250422"/>
    <x v="1"/>
    <m/>
    <x v="0"/>
    <s v="A     - Avere"/>
    <n v="236000"/>
    <n v="0"/>
    <n v="4798342"/>
    <n v="2195870718"/>
    <s v="MASTROPASQUA INTERNATIONAL - S.P.A."/>
    <s v="430 - Imprese produttive"/>
    <s v="011 - COLTIVAZIONE DI COLTURE AGRICOLE NON PERMANENTI"/>
    <s v="086 - ITALIA"/>
    <n v="870"/>
    <m/>
    <m/>
    <m/>
    <m/>
    <m/>
    <m/>
    <m/>
    <n v="0"/>
    <n v="202504"/>
    <s v="ARCHIVIATA DA RPR"/>
    <x v="1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57"/>
    <s v="95"/>
    <s v="Versamento giornaliero di importo elevato per la causale ed il soggetto"/>
    <d v="2025-04-23T00:00:00"/>
    <n v="53850"/>
    <n v="114"/>
    <s v="053850_114"/>
    <s v="Discovery Day"/>
    <s v="Mai valutato"/>
    <m/>
    <s v="Vari (22/04/2025)"/>
    <n v="1143306280621"/>
    <n v="20250422"/>
    <x v="5"/>
    <m/>
    <x v="0"/>
    <s v="A     - Avere"/>
    <n v="61530"/>
    <n v="6153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1"/>
    <n v="1"/>
    <n v="4658875"/>
    <n v="1"/>
    <n v="0"/>
    <n v="477"/>
    <n v="492"/>
    <n v="492477"/>
    <s v="Classe di rischio 5"/>
    <m/>
    <x v="5"/>
    <n v="55650"/>
    <n v="56502"/>
    <n v="57354"/>
    <n v="58206"/>
    <n v="59098"/>
    <n v="60010"/>
    <n v="60922"/>
    <n v="61827"/>
    <n v="62718"/>
    <n v="63609"/>
    <n v="64500"/>
    <n v="66288"/>
    <n v="68076"/>
    <n v="69864"/>
    <n v="70482"/>
    <n v="70515"/>
    <n v="70548"/>
    <n v="70590"/>
    <n v="70650"/>
    <n v="70710"/>
    <n v="7077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455"/>
    <s v="95"/>
    <s v="Versamento giornaliero di importo elevato per la causale ed il soggetto"/>
    <d v="2025-04-23T00:00:00"/>
    <n v="53850"/>
    <n v="121"/>
    <s v="053850_121"/>
    <s v="Discovery Day"/>
    <s v="Mai valutato"/>
    <m/>
    <n v="202504227918223"/>
    <n v="1733300001396"/>
    <n v="20250422"/>
    <x v="3"/>
    <m/>
    <x v="0"/>
    <s v="A     - Avere"/>
    <n v="227000"/>
    <n v="0"/>
    <n v="4287458"/>
    <s v="MNLCML82L66H643P"/>
    <s v="MENELAO CARMELA"/>
    <s v="600 - Famiglie consumatrici"/>
    <m/>
    <s v="086 - ITALIA"/>
    <n v="1530"/>
    <m/>
    <m/>
    <m/>
    <m/>
    <m/>
    <m/>
    <m/>
    <n v="0"/>
    <n v="202504"/>
    <s v="ARCHIVIATA DA RPR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450"/>
    <s v="95"/>
    <s v="Versamento giornaliero di importo elevato per la causale ed il soggetto"/>
    <d v="2025-04-23T00:00:00"/>
    <n v="53850"/>
    <n v="182"/>
    <s v="053850_182"/>
    <s v="Discovery Day"/>
    <s v="Mai valutato"/>
    <m/>
    <n v="202504227918470"/>
    <n v="1823300174370"/>
    <n v="20250422"/>
    <x v="3"/>
    <m/>
    <x v="0"/>
    <s v="A     - Avere"/>
    <n v="300000"/>
    <n v="0"/>
    <n v="4981499"/>
    <n v="80221830583"/>
    <s v="IMMOBILIARE PATRIZIA S.R.L."/>
    <s v="430 - Imprese produttive"/>
    <s v="682 - AFFITTO E GESTIONE DI IMMOBILI DI PROPRIETÀ O IN LEASING "/>
    <s v="086 - ITALIA"/>
    <n v="1101"/>
    <m/>
    <m/>
    <m/>
    <m/>
    <m/>
    <m/>
    <m/>
    <n v="0"/>
    <n v="202504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449"/>
    <s v="95"/>
    <s v="Versamento giornaliero di importo elevato per la causale ed il soggetto"/>
    <d v="2025-04-23T00:00:00"/>
    <n v="53850"/>
    <n v="102"/>
    <s v="053850_102"/>
    <s v="Discovery Day"/>
    <s v="Mai valutato"/>
    <m/>
    <s v="Vari (22/04/2025)"/>
    <n v="1023300660520"/>
    <n v="20250422"/>
    <x v="0"/>
    <m/>
    <x v="0"/>
    <s v="A     - Avere"/>
    <n v="193321.85"/>
    <n v="4977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s v="IN CARICO AL GESTORE"/>
    <x v="0"/>
    <n v="1"/>
    <n v="66052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445"/>
    <s v="95"/>
    <s v="Versamento giornaliero di importo elevato per la causale ed il soggetto"/>
    <d v="2025-04-23T00:00:00"/>
    <n v="53850"/>
    <n v="121"/>
    <s v="053850_121"/>
    <s v="Discovery Day"/>
    <s v="Mai valutato"/>
    <m/>
    <n v="202504227918223"/>
    <n v="1733300001396"/>
    <n v="20250422"/>
    <x v="3"/>
    <m/>
    <x v="0"/>
    <s v="A     - Avere"/>
    <n v="227000"/>
    <n v="0"/>
    <n v="4144053"/>
    <s v="DDIFNC80A27Z112W"/>
    <s v="DIDIO FRANCESCO"/>
    <s v="615 - Altre famiglie produttrici"/>
    <s v="012 - COLTIVAZIONE DI COLTURE PERMANENTI"/>
    <s v="086 - ITALIA"/>
    <n v="1530"/>
    <m/>
    <m/>
    <m/>
    <m/>
    <m/>
    <m/>
    <m/>
    <n v="0"/>
    <n v="202504"/>
    <s v="ARCHIVIATA DA RPR"/>
    <x v="1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38"/>
    <s v="95"/>
    <s v="Versamento giornaliero di importo elevato per la causale ed il soggetto"/>
    <d v="2025-04-23T00:00:00"/>
    <n v="53850"/>
    <n v="128"/>
    <s v="053850_128"/>
    <s v="Discovery Day"/>
    <s v="Mai valutato"/>
    <m/>
    <s v="Vari (22/04/2025)"/>
    <n v="1283300001665"/>
    <n v="20250422"/>
    <x v="0"/>
    <m/>
    <x v="0"/>
    <s v="A     - Avere"/>
    <n v="162810.71"/>
    <n v="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4"/>
    <s v="ARCHIVIATA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35"/>
    <s v="95"/>
    <s v="Versamento giornaliero di importo elevato per la causale ed il soggetto"/>
    <d v="2025-04-23T00:00:00"/>
    <n v="53850"/>
    <n v="267"/>
    <s v="053850_267"/>
    <s v="Discovery Day"/>
    <s v="Mai valutato"/>
    <m/>
    <n v="202504227918583"/>
    <n v="2673300003600"/>
    <n v="20250422"/>
    <x v="5"/>
    <m/>
    <x v="0"/>
    <s v="A     - Avere"/>
    <n v="134000"/>
    <n v="134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s v="ARCHIVIATA"/>
    <x v="1"/>
    <n v="1"/>
    <n v="1705101"/>
    <n v="1"/>
    <n v="0"/>
    <n v="999"/>
    <n v="492"/>
    <n v="492999"/>
    <m/>
    <n v="1"/>
    <x v="4"/>
    <n v="98000"/>
    <n v="98368.7"/>
    <n v="98737.4"/>
    <n v="99106.1"/>
    <n v="99955"/>
    <n v="101044"/>
    <n v="102133"/>
    <n v="103273.1"/>
    <n v="104515.4"/>
    <n v="105757.7"/>
    <n v="107000"/>
    <n v="109400"/>
    <n v="111800"/>
    <n v="114200"/>
    <n v="118800"/>
    <n v="124500"/>
    <n v="130200"/>
    <n v="151054.99999999991"/>
    <n v="202220.00000000009"/>
    <n v="253384.99999999991"/>
    <n v="30455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424"/>
    <s v="95"/>
    <s v="Versamento giornaliero di importo elevato per la causale ed il soggetto"/>
    <d v="2025-04-23T00:00:00"/>
    <n v="53850"/>
    <n v="175"/>
    <s v="053850_175"/>
    <s v="Discovery Day"/>
    <s v="Mai valutato"/>
    <m/>
    <s v="Vari (22/04/2025)"/>
    <n v="1753302203127"/>
    <n v="20250422"/>
    <x v="0"/>
    <m/>
    <x v="0"/>
    <s v="A     - Avere"/>
    <n v="108027.24"/>
    <n v="25145"/>
    <n v="4160138"/>
    <n v="484200779"/>
    <s v="DE.RA.DO. SRL"/>
    <s v="430 - Imprese produttive"/>
    <s v="031 - PESCA"/>
    <s v="086 - ITALIA"/>
    <n v="739"/>
    <m/>
    <m/>
    <m/>
    <m/>
    <m/>
    <m/>
    <m/>
    <n v="0"/>
    <n v="202504"/>
    <s v="IN VALUTAZIONE RPR"/>
    <x v="0"/>
    <n v="1"/>
    <n v="4160138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10"/>
    <s v="95"/>
    <s v="Versamento giornaliero di importo elevato per la causale ed il soggetto"/>
    <d v="2025-04-19T00:00:00"/>
    <n v="53850"/>
    <n v="171"/>
    <s v="053850_171"/>
    <s v="Discovery Day"/>
    <s v="Mai valutato"/>
    <m/>
    <s v="Vari (18/04/2025)"/>
    <n v="1713305728950"/>
    <n v="20250418"/>
    <x v="2"/>
    <m/>
    <x v="0"/>
    <s v="A     - Avere"/>
    <n v="356959.45"/>
    <n v="356959.4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409"/>
    <s v="95"/>
    <s v="Versamento giornaliero di importo elevato per la causale ed il soggetto"/>
    <d v="2025-04-19T00:00:00"/>
    <n v="53850"/>
    <n v="164"/>
    <s v="053850_164"/>
    <s v="Discovery Day"/>
    <s v="Mai valutato"/>
    <m/>
    <n v="202504187910080"/>
    <n v="1643300370890"/>
    <n v="20250418"/>
    <x v="3"/>
    <m/>
    <x v="0"/>
    <s v="A     - Avere"/>
    <n v="130000"/>
    <n v="0"/>
    <n v="810024"/>
    <s v="VNZMHL37R01A339J"/>
    <s v="VENEZIANI MICHELE"/>
    <s v="600 - Famiglie consumatrici"/>
    <m/>
    <s v="086 - ITALIA"/>
    <n v="793"/>
    <m/>
    <m/>
    <m/>
    <m/>
    <m/>
    <m/>
    <m/>
    <n v="0"/>
    <n v="202504"/>
    <s v="IN CARICO AL GESTORE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405"/>
    <s v="95"/>
    <s v="Versamento giornaliero di importo elevato per la causale ed il soggetto"/>
    <d v="2025-04-19T00:00:00"/>
    <n v="53850"/>
    <n v="103"/>
    <s v="053850_103"/>
    <s v="Discovery Day"/>
    <s v="Mai valutato"/>
    <m/>
    <s v="Vari (18/04/2025)"/>
    <n v="1033306971100"/>
    <n v="20250418"/>
    <x v="0"/>
    <m/>
    <x v="0"/>
    <s v="A     - Avere"/>
    <n v="160000"/>
    <n v="0"/>
    <n v="557455"/>
    <s v="CPPPLA74S46E155M"/>
    <s v="CAPPIELLO PAOLA"/>
    <s v="600 - Famiglie consumatrici"/>
    <m/>
    <s v="086 - ITALIA"/>
    <n v="1916"/>
    <m/>
    <m/>
    <m/>
    <m/>
    <m/>
    <m/>
    <m/>
    <n v="0"/>
    <n v="202504"/>
    <s v="IN VALUTAZIONE RPR"/>
    <x v="0"/>
    <n v="1"/>
    <m/>
    <m/>
    <n v="1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403"/>
    <s v="95"/>
    <s v="Versamento giornaliero di importo elevato per la causale ed il soggetto"/>
    <d v="2025-04-19T00:00:00"/>
    <n v="53850"/>
    <n v="171"/>
    <s v="053850_171"/>
    <s v="Discovery Day"/>
    <s v="Mai valutato"/>
    <m/>
    <s v="Vari (18/04/2025)"/>
    <n v="1713302214147"/>
    <n v="20250418"/>
    <x v="2"/>
    <m/>
    <x v="0"/>
    <s v="A     - Avere"/>
    <n v="147260.07"/>
    <n v="147260.07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399"/>
    <s v="95"/>
    <s v="Versamento giornaliero di importo elevato per la causale ed il soggetto"/>
    <d v="2025-04-19T00:00:00"/>
    <n v="53850"/>
    <n v="104"/>
    <s v="053850_104"/>
    <s v="Discovery Day"/>
    <s v="Mai valutato"/>
    <m/>
    <s v="Vari (18/04/2025)"/>
    <n v="1043309509217"/>
    <n v="20250418"/>
    <x v="2"/>
    <m/>
    <x v="0"/>
    <s v="A     - Avere"/>
    <n v="121800"/>
    <n v="121800"/>
    <n v="4323562"/>
    <s v="LTTMNT80D67C983T"/>
    <s v="LOTITO MARIANTONELLA"/>
    <s v="615 - Altre famiglie produttrici"/>
    <s v="472 - COMMERCIO AL DETTAGLIO DI PRODOTTI ALIMENTARI, BEVANDE E TABACCO IN ESERCIZI SPECIALIZZATI"/>
    <s v="086 - ITALIA"/>
    <n v="1401"/>
    <m/>
    <m/>
    <m/>
    <m/>
    <m/>
    <m/>
    <m/>
    <n v="0"/>
    <n v="202504"/>
    <s v="ARCHIVIATA"/>
    <x v="1"/>
    <n v="1"/>
    <n v="4323562"/>
    <n v="1"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98"/>
    <s v="95"/>
    <s v="Versamento giornaliero di importo elevato per la causale ed il soggetto"/>
    <d v="2025-04-19T00:00:00"/>
    <n v="53850"/>
    <n v="103"/>
    <s v="053850_103"/>
    <s v="Discovery Day"/>
    <s v="Mai valutato"/>
    <m/>
    <s v="Vari (18/04/2025)"/>
    <n v="1033306971100"/>
    <n v="20250418"/>
    <x v="0"/>
    <m/>
    <x v="0"/>
    <s v="A     - Avere"/>
    <n v="160000"/>
    <n v="0"/>
    <n v="615551"/>
    <s v="SNTGNN68B13E155B"/>
    <s v="SANTARSIERO GIOVANNI"/>
    <s v="615 - Altre famiglie produttrici"/>
    <s v="433 - COMPLETAMENTO E FINITURA DI EDIFICI"/>
    <s v="086 - ITALIA"/>
    <n v="1916"/>
    <m/>
    <m/>
    <m/>
    <m/>
    <m/>
    <m/>
    <m/>
    <n v="0"/>
    <n v="202504"/>
    <s v="IN VALUTAZIONE RPR"/>
    <x v="0"/>
    <n v="1"/>
    <m/>
    <m/>
    <n v="1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94"/>
    <s v="95"/>
    <s v="Versamento giornaliero di importo elevato per la causale ed il soggetto"/>
    <d v="2025-04-19T00:00:00"/>
    <n v="53850"/>
    <n v="161"/>
    <s v="053850_161"/>
    <s v="Discovery Day"/>
    <s v="Mai valutato"/>
    <m/>
    <s v="Vari (18/04/2025)"/>
    <n v="1613300029653"/>
    <n v="20250418"/>
    <x v="0"/>
    <m/>
    <x v="0"/>
    <s v="A     - Avere"/>
    <n v="79937.08"/>
    <n v="50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4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93"/>
    <s v="95"/>
    <s v="Versamento giornaliero di importo elevato per la causale ed il soggetto"/>
    <d v="2025-04-19T00:00:00"/>
    <n v="53850"/>
    <n v="164"/>
    <s v="053850_164"/>
    <s v="Discovery Day"/>
    <s v="Mai valutato"/>
    <m/>
    <n v="202504187910080"/>
    <n v="1643300370890"/>
    <n v="20250418"/>
    <x v="3"/>
    <m/>
    <x v="0"/>
    <s v="A     - Avere"/>
    <n v="130000"/>
    <n v="0"/>
    <n v="811351"/>
    <s v="PLLNNT38H65A339W"/>
    <s v="PALLOZZI ANTONIETTA"/>
    <s v="600 - Famiglie consumatrici"/>
    <m/>
    <s v="086 - ITALIA"/>
    <m/>
    <m/>
    <m/>
    <m/>
    <m/>
    <m/>
    <m/>
    <m/>
    <n v="0"/>
    <n v="202504"/>
    <s v="ARCHIVIATA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389"/>
    <s v="95"/>
    <s v="Versamento giornaliero di importo elevato per la causale ed il soggetto"/>
    <d v="2025-04-19T00:00:00"/>
    <n v="53850"/>
    <n v="103"/>
    <s v="053850_103"/>
    <s v="Discovery Day"/>
    <s v="Mai valutato"/>
    <m/>
    <n v="202504187909880"/>
    <n v="1033306976386"/>
    <n v="20250418"/>
    <x v="4"/>
    <m/>
    <x v="0"/>
    <s v="A     - Avere"/>
    <n v="103334"/>
    <n v="0"/>
    <n v="609867"/>
    <s v="CLNDNC71C04E155L"/>
    <s v="COLONNA DOMENICO"/>
    <s v="600 - Famiglie consumatrici"/>
    <m/>
    <s v="086 - ITALIA"/>
    <n v="407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84"/>
    <s v="95"/>
    <s v="Versamento giornaliero di importo elevato per la causale ed il soggetto"/>
    <d v="2025-04-19T00:00:00"/>
    <n v="53850"/>
    <n v="121"/>
    <s v="053850_121"/>
    <s v="Discovery Day"/>
    <s v="Mai valutato"/>
    <m/>
    <s v="Vari (18/04/2025)"/>
    <n v="1213300002600"/>
    <n v="20250418"/>
    <x v="0"/>
    <m/>
    <x v="0"/>
    <s v="A     - Avere"/>
    <n v="899373.62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s v="IN CARICO AL RESPONSABILE"/>
    <x v="0"/>
    <n v="1"/>
    <m/>
    <m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359"/>
    <s v="95"/>
    <s v="Versamento giornaliero di importo elevato per la causale ed il soggetto"/>
    <d v="2025-04-18T00:00:00"/>
    <n v="53850"/>
    <n v="109"/>
    <s v="053850_109"/>
    <s v="Discovery Day"/>
    <s v="Mai valutato"/>
    <m/>
    <n v="202504177908002"/>
    <n v="1093306677535"/>
    <n v="20250417"/>
    <x v="3"/>
    <m/>
    <x v="0"/>
    <s v="A     - Avere"/>
    <n v="100000"/>
    <n v="0"/>
    <n v="3706791"/>
    <s v="TTNLRD60B25A662B"/>
    <s v="ATTANASIO LEONARDO"/>
    <s v="615 - Altre famiglie produttrici"/>
    <s v="692 - CONTABILITÀ, CONTROLLO E REVISIONE CONTABILE, CONSULENZA IN MATERIA FISCALE E DEL LAVORO"/>
    <s v="086 - ITALIA"/>
    <n v="1925"/>
    <m/>
    <m/>
    <m/>
    <m/>
    <m/>
    <m/>
    <m/>
    <n v="0"/>
    <n v="202504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58"/>
    <s v="95"/>
    <s v="Versamento giornaliero di importo elevato per la causale ed il soggetto"/>
    <d v="2025-04-18T00:00:00"/>
    <n v="53850"/>
    <n v="174"/>
    <s v="053850_174"/>
    <s v="Discovery Day"/>
    <s v="Mai valutato"/>
    <m/>
    <n v="202504177908183"/>
    <n v="1743302881185"/>
    <n v="20250417"/>
    <x v="3"/>
    <m/>
    <x v="0"/>
    <s v="A     - Avere"/>
    <n v="40000"/>
    <n v="0"/>
    <n v="4485506"/>
    <s v="NNNVCN76B07A662C"/>
    <s v="IANNONE VINCENZO"/>
    <s v="615 - Altre famiglie produttrici"/>
    <s v="477 - COMMERCIO AL DETTAGLIO DI ALTRI PRODOTTI IN ESERCIZI SPECIALIZZATI"/>
    <s v="086 - ITALIA"/>
    <n v="448"/>
    <m/>
    <m/>
    <m/>
    <m/>
    <m/>
    <m/>
    <m/>
    <n v="0"/>
    <n v="202504"/>
    <s v="ARCHIVIATA"/>
    <x v="1"/>
    <n v="1"/>
    <m/>
    <m/>
    <n v="0"/>
    <n v="477"/>
    <n v="615"/>
    <n v="615477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31"/>
    <s v="95"/>
    <s v="Versamento giornaliero di importo elevato per la causale ed il soggetto"/>
    <d v="2025-04-17T00:00:00"/>
    <n v="53850"/>
    <n v="116"/>
    <s v="053850_116"/>
    <s v="Discovery Day"/>
    <s v="Mai valutato"/>
    <m/>
    <n v="202504167904761"/>
    <n v="2343300010453"/>
    <n v="20250416"/>
    <x v="2"/>
    <m/>
    <x v="0"/>
    <s v="A     - Avere"/>
    <n v="160463.5"/>
    <n v="160463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25"/>
    <s v="95"/>
    <s v="Versamento giornaliero di importo elevato per la causale ed il soggetto"/>
    <d v="2025-04-17T00:00:00"/>
    <n v="53850"/>
    <n v="105"/>
    <s v="053850_105"/>
    <s v="Discovery Day"/>
    <s v="Mai valutato"/>
    <m/>
    <n v="202504167904959"/>
    <n v="1053306290053"/>
    <n v="20250416"/>
    <x v="4"/>
    <m/>
    <x v="0"/>
    <s v="A     - Avere"/>
    <n v="100000"/>
    <n v="0"/>
    <n v="55359"/>
    <n v="296600729"/>
    <s v="PAOLO SCOPPIO E FIGLIO AUTOLINEE S.R.L."/>
    <s v="430 - Imprese produttive"/>
    <s v="493 - ALTRI TRASPORTI TERRESTRI DI PASSEGGERI"/>
    <s v="086 - ITALIA"/>
    <n v="1058"/>
    <m/>
    <m/>
    <m/>
    <m/>
    <m/>
    <m/>
    <m/>
    <n v="0"/>
    <n v="202504"/>
    <s v="ARCHIVIATA"/>
    <x v="1"/>
    <n v="1"/>
    <m/>
    <m/>
    <n v="0"/>
    <n v="493"/>
    <n v="430"/>
    <n v="43049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21"/>
    <s v="95"/>
    <s v="Versamento giornaliero di importo elevato per la causale ed il soggetto"/>
    <d v="2025-04-17T00:00:00"/>
    <n v="53850"/>
    <n v="171"/>
    <s v="053850_171"/>
    <s v="Discovery Day"/>
    <s v="Mai valutato"/>
    <m/>
    <s v="Vari (16/04/2025)"/>
    <n v="1713305728950"/>
    <n v="20250416"/>
    <x v="2"/>
    <m/>
    <x v="0"/>
    <s v="A     - Avere"/>
    <n v="415961.05"/>
    <n v="415961.0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320"/>
    <s v="95"/>
    <s v="Versamento giornaliero di importo elevato per la causale ed il soggetto"/>
    <d v="2025-04-17T00:00:00"/>
    <n v="53850"/>
    <n v="103"/>
    <s v="053850_103"/>
    <s v="Discovery Day"/>
    <s v="Mai valutato"/>
    <m/>
    <n v="202504167904939"/>
    <n v="1033306986061"/>
    <n v="20250416"/>
    <x v="3"/>
    <m/>
    <x v="0"/>
    <s v="A     - Avere"/>
    <n v="145000"/>
    <n v="0"/>
    <n v="3743240"/>
    <n v="7980630722"/>
    <s v="PULIART SOCIETA' A RESPONSABILITA' LIMITATA"/>
    <s v="492 - Quasi societa' non finanziarie altre - Unita' o societa' con meno di 20 addetti"/>
    <s v="812 - ATTIVITÀ DI PULIZIA E DISINFESTAZIONE"/>
    <s v="086 - ITALIA"/>
    <n v="995"/>
    <m/>
    <m/>
    <m/>
    <m/>
    <m/>
    <m/>
    <m/>
    <n v="0"/>
    <n v="202504"/>
    <s v="IN VALUTAZIONE RPR"/>
    <x v="0"/>
    <n v="1"/>
    <m/>
    <m/>
    <n v="0"/>
    <n v="999"/>
    <n v="492"/>
    <n v="492999"/>
    <m/>
    <n v="1"/>
    <x v="4"/>
    <n v="98000"/>
    <n v="98368.7"/>
    <n v="98737.4"/>
    <n v="99106.1"/>
    <n v="99955"/>
    <n v="101044"/>
    <n v="102133"/>
    <n v="103273.1"/>
    <n v="104515.4"/>
    <n v="105757.7"/>
    <n v="107000"/>
    <n v="109400"/>
    <n v="111800"/>
    <n v="114200"/>
    <n v="118800"/>
    <n v="124500"/>
    <n v="130200"/>
    <n v="151054.99999999991"/>
    <n v="202220.00000000009"/>
    <n v="253384.99999999991"/>
    <n v="30455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315"/>
    <s v="95"/>
    <s v="Versamento giornaliero di importo elevato per la causale ed il soggetto"/>
    <d v="2025-04-17T00:00:00"/>
    <n v="53850"/>
    <n v="171"/>
    <s v="053850_171"/>
    <s v="Discovery Day"/>
    <s v="Mai valutato"/>
    <m/>
    <s v="Vari (16/04/2025)"/>
    <n v="1713302214147"/>
    <n v="20250416"/>
    <x v="2"/>
    <m/>
    <x v="0"/>
    <s v="A     - Avere"/>
    <n v="158650"/>
    <n v="158650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09"/>
    <s v="95"/>
    <s v="Versamento giornaliero di importo elevato per la causale ed il soggetto"/>
    <d v="2025-04-17T00:00:00"/>
    <n v="53850"/>
    <n v="196"/>
    <s v="053850_196"/>
    <s v="Discovery Day"/>
    <s v="Mai valutato"/>
    <m/>
    <n v="202504167905259"/>
    <n v="1963302351587"/>
    <n v="20250416"/>
    <x v="1"/>
    <m/>
    <x v="0"/>
    <s v="A     - Avere"/>
    <n v="120923.23"/>
    <n v="0"/>
    <n v="4007031"/>
    <s v="LNGLRC69E23C514Q"/>
    <s v="LUONGO ALBERICO"/>
    <s v="615 - Altre famiglie produttrici"/>
    <s v="011 - COLTIVAZIONE DI COLTURE AGRICOLE NON PERMANENTI"/>
    <s v="086 - ITALIA"/>
    <n v="1911"/>
    <m/>
    <m/>
    <m/>
    <m/>
    <m/>
    <m/>
    <m/>
    <n v="0"/>
    <n v="202504"/>
    <s v="ARCHIVIATA"/>
    <x v="1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95"/>
    <s v="95"/>
    <s v="Versamento giornaliero di importo elevato per la causale ed il soggetto"/>
    <d v="2025-04-16T00:00:00"/>
    <n v="53850"/>
    <n v="153"/>
    <s v="053850_153"/>
    <s v="Discovery Day"/>
    <s v="Mai valutato"/>
    <m/>
    <n v="202504157901519"/>
    <n v="1533300660019"/>
    <n v="20250415"/>
    <x v="3"/>
    <m/>
    <x v="0"/>
    <s v="A     - Avere"/>
    <n v="166416.67000000001"/>
    <n v="0"/>
    <n v="4178674"/>
    <s v="SRNMSL43P65M130E"/>
    <s v="SARNO MARIA SILVANA"/>
    <s v="600 - Famiglie consumatrici"/>
    <m/>
    <s v="086 - ITALIA"/>
    <n v="1051"/>
    <m/>
    <m/>
    <m/>
    <m/>
    <m/>
    <m/>
    <m/>
    <n v="0"/>
    <n v="202504"/>
    <s v="ARCHIVIATA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294"/>
    <s v="95"/>
    <s v="Versamento giornaliero di importo elevato per la causale ed il soggetto"/>
    <d v="2025-04-16T00:00:00"/>
    <n v="53850"/>
    <n v="216"/>
    <s v="053850_216"/>
    <s v="Discovery Day"/>
    <s v="Mai valutato"/>
    <m/>
    <n v="202504157901680"/>
    <n v="2163300011173"/>
    <n v="20250415"/>
    <x v="3"/>
    <m/>
    <x v="0"/>
    <s v="A     - Avere"/>
    <n v="150000"/>
    <n v="0"/>
    <n v="4548289"/>
    <s v="MTTGPP76D60E058L"/>
    <s v="MATTIUCCI GIUSEPPINA"/>
    <s v="600 - Famiglie consumatrici"/>
    <m/>
    <s v="086 - ITALIA"/>
    <n v="1465"/>
    <m/>
    <m/>
    <m/>
    <m/>
    <m/>
    <m/>
    <m/>
    <n v="0"/>
    <n v="202504"/>
    <s v="ARCHIVIATA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290"/>
    <s v="95"/>
    <s v="Versamento giornaliero di importo elevato per la causale ed il soggetto"/>
    <d v="2025-04-16T00:00:00"/>
    <n v="53850"/>
    <n v="153"/>
    <s v="053850_153"/>
    <s v="Discovery Day"/>
    <s v="Mai valutato"/>
    <m/>
    <n v="202504157901519"/>
    <n v="1533300660019"/>
    <n v="20250415"/>
    <x v="3"/>
    <m/>
    <x v="0"/>
    <s v="A     - Avere"/>
    <n v="166416.67000000001"/>
    <n v="0"/>
    <n v="4178676"/>
    <s v="RSSNTN66R01F839Z"/>
    <s v="RUSSO ANTONIO"/>
    <s v="600 - Famiglie consumatrici"/>
    <m/>
    <s v="086 - ITALIA"/>
    <n v="1051"/>
    <m/>
    <m/>
    <m/>
    <m/>
    <m/>
    <m/>
    <m/>
    <n v="0"/>
    <n v="202504"/>
    <s v="ARCHIVIATA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282"/>
    <s v="95"/>
    <s v="Versamento giornaliero di importo elevato per la causale ed il soggetto"/>
    <d v="2025-04-16T00:00:00"/>
    <n v="53850"/>
    <n v="171"/>
    <s v="053850_171"/>
    <s v="Discovery Day"/>
    <s v="Mai valutato"/>
    <m/>
    <s v="Vari (15/04/2025)"/>
    <n v="1713305728950"/>
    <n v="20250415"/>
    <x v="2"/>
    <m/>
    <x v="0"/>
    <s v="A     - Avere"/>
    <n v="210542.65"/>
    <n v="210542.6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277"/>
    <s v="95"/>
    <s v="Versamento giornaliero di importo elevato per la causale ed il soggetto"/>
    <d v="2025-04-16T00:00:00"/>
    <n v="53850"/>
    <n v="102"/>
    <s v="053850_102"/>
    <s v="Discovery Day"/>
    <s v="Mai valutato"/>
    <m/>
    <s v="Vari (15/04/2025)"/>
    <n v="1023300660520"/>
    <n v="20250415"/>
    <x v="0"/>
    <m/>
    <x v="0"/>
    <s v="A     - Avere"/>
    <n v="139257.79999999999"/>
    <n v="374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s v="IN CARICO AL GESTORE"/>
    <x v="0"/>
    <n v="1"/>
    <n v="66052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69"/>
    <s v="95"/>
    <s v="Versamento giornaliero di importo elevato per la causale ed il soggetto"/>
    <d v="2025-04-16T00:00:00"/>
    <n v="53850"/>
    <n v="161"/>
    <s v="053850_161"/>
    <s v="Discovery Day"/>
    <s v="Mai valutato"/>
    <m/>
    <s v="Vari (15/04/2025)"/>
    <n v="1613300029653"/>
    <n v="20250415"/>
    <x v="0"/>
    <m/>
    <x v="0"/>
    <s v="A     - Avere"/>
    <n v="148758.49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4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263"/>
    <s v="95"/>
    <s v="Versamento giornaliero di importo elevato per la causale ed il soggetto"/>
    <d v="2025-04-15T00:00:00"/>
    <n v="53850"/>
    <n v="102"/>
    <s v="053850_102"/>
    <s v="Discovery Day"/>
    <s v="Mai valutato"/>
    <m/>
    <n v="202504147897558"/>
    <n v="1023306273120"/>
    <n v="20250414"/>
    <x v="1"/>
    <m/>
    <x v="0"/>
    <s v="A     - Avere"/>
    <n v="105000"/>
    <n v="0"/>
    <n v="5530"/>
    <s v="PRTMRT68E14A662L"/>
    <s v="PREITE UMBERTO"/>
    <s v="600 - Famiglie consumatrici"/>
    <m/>
    <s v="086 - ITALIA"/>
    <n v="1606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51"/>
    <s v="95"/>
    <s v="Versamento giornaliero di importo elevato per la causale ed il soggetto"/>
    <d v="2025-04-15T00:00:00"/>
    <n v="53850"/>
    <n v="182"/>
    <s v="053850_182"/>
    <s v="Discovery Day"/>
    <s v="Mai valutato"/>
    <m/>
    <s v="Vari (14/04/2025)"/>
    <n v="1823300169301"/>
    <n v="20250414"/>
    <x v="2"/>
    <m/>
    <x v="0"/>
    <s v="A     - Avere"/>
    <n v="40010"/>
    <n v="4001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s v="ARCHIVIATA"/>
    <x v="1"/>
    <n v="1"/>
    <n v="4284957"/>
    <n v="1"/>
    <n v="0"/>
    <n v="920"/>
    <n v="615"/>
    <n v="615920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249"/>
    <s v="95"/>
    <s v="Versamento giornaliero di importo elevato per la causale ed il soggetto"/>
    <d v="2025-04-15T00:00:00"/>
    <n v="53850"/>
    <n v="195"/>
    <s v="053850_195"/>
    <s v="Discovery Day"/>
    <s v="Mai valutato"/>
    <m/>
    <n v="202504147898010"/>
    <n v="1953300026450"/>
    <n v="20250414"/>
    <x v="1"/>
    <m/>
    <x v="0"/>
    <s v="A     - Avere"/>
    <n v="100000"/>
    <n v="0"/>
    <n v="3109917"/>
    <s v="FRNNNZ57M15G252Z"/>
    <s v="FRONZA NUNZIO"/>
    <s v="615 - Altre famiglie produttrici"/>
    <s v="012 - COLTIVAZIONE DI COLTURE PERMANENTI"/>
    <s v="086 - ITALIA"/>
    <n v="938"/>
    <m/>
    <m/>
    <m/>
    <m/>
    <m/>
    <m/>
    <m/>
    <n v="0"/>
    <n v="202504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243"/>
    <s v="95"/>
    <s v="Versamento giornaliero di importo elevato per la causale ed il soggetto"/>
    <d v="2025-04-15T00:00:00"/>
    <n v="53850"/>
    <n v="102"/>
    <s v="053850_102"/>
    <s v="Discovery Day"/>
    <s v="Mai valutato"/>
    <m/>
    <s v="Vari (14/04/2025)"/>
    <n v="1023300660520"/>
    <n v="20250414"/>
    <x v="0"/>
    <m/>
    <x v="0"/>
    <s v="A     - Avere"/>
    <n v="172920.5"/>
    <n v="2749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s v="IN CARICO AL GESTORE"/>
    <x v="0"/>
    <n v="1"/>
    <n v="66052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41"/>
    <s v="95"/>
    <s v="Versamento giornaliero di importo elevato per la causale ed il soggetto"/>
    <d v="2025-04-15T00:00:00"/>
    <n v="53850"/>
    <n v="116"/>
    <s v="053850_116"/>
    <s v="Discovery Day"/>
    <s v="Mai valutato"/>
    <m/>
    <n v="202504147897411"/>
    <n v="2343300010453"/>
    <n v="20250414"/>
    <x v="2"/>
    <m/>
    <x v="0"/>
    <s v="A     - Avere"/>
    <n v="177964.1"/>
    <n v="177964.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238"/>
    <s v="95"/>
    <s v="Versamento giornaliero di importo elevato per la causale ed il soggetto"/>
    <d v="2025-04-15T00:00:00"/>
    <n v="53850"/>
    <n v="108"/>
    <s v="053850_108"/>
    <s v="Discovery Day"/>
    <s v="Mai valutato"/>
    <m/>
    <s v="Vari (14/04/2025)"/>
    <n v="1083306291105"/>
    <n v="20250414"/>
    <x v="0"/>
    <m/>
    <x v="0"/>
    <s v="A     - Avere"/>
    <n v="141489.49"/>
    <n v="41638.40000000000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s v="ARCHIVIATA"/>
    <x v="1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29"/>
    <s v="95"/>
    <s v="Versamento giornaliero di importo elevato per la causale ed il soggetto"/>
    <d v="2025-04-15T00:00:00"/>
    <n v="53850"/>
    <n v="114"/>
    <s v="053850_114"/>
    <s v="Discovery Day"/>
    <s v="Mai valutato"/>
    <m/>
    <n v="202504147897685"/>
    <n v="1143306280621"/>
    <n v="20250414"/>
    <x v="5"/>
    <m/>
    <x v="0"/>
    <s v="A     - Avere"/>
    <n v="64500"/>
    <n v="645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1"/>
    <n v="1"/>
    <n v="4658875"/>
    <n v="1"/>
    <n v="0"/>
    <n v="477"/>
    <n v="492"/>
    <n v="492477"/>
    <s v="Classe di rischio 5"/>
    <m/>
    <x v="5"/>
    <n v="55650"/>
    <n v="56502"/>
    <n v="57354"/>
    <n v="58206"/>
    <n v="59098"/>
    <n v="60010"/>
    <n v="60922"/>
    <n v="61827"/>
    <n v="62718"/>
    <n v="63609"/>
    <n v="64500"/>
    <n v="66288"/>
    <n v="68076"/>
    <n v="69864"/>
    <n v="70482"/>
    <n v="70515"/>
    <n v="70548"/>
    <n v="70590"/>
    <n v="70650"/>
    <n v="70710"/>
    <n v="7077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228"/>
    <s v="95"/>
    <s v="Versamento giornaliero di importo elevato per la causale ed il soggetto"/>
    <d v="2025-04-15T00:00:00"/>
    <n v="53850"/>
    <n v="287"/>
    <s v="053850_287"/>
    <s v="Discovery Day"/>
    <s v="Mai valutato"/>
    <m/>
    <s v="Vari (14/04/2025)"/>
    <n v="2873300001853"/>
    <n v="20250414"/>
    <x v="0"/>
    <m/>
    <x v="0"/>
    <s v="A     - Avere"/>
    <n v="153301.1"/>
    <n v="7857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s v="ARCHIVIATA DA RPR"/>
    <x v="1"/>
    <n v="1"/>
    <n v="3722213"/>
    <n v="1"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16"/>
    <s v="95"/>
    <s v="Versamento giornaliero di importo elevato per la causale ed il soggetto"/>
    <d v="2025-04-15T00:00:00"/>
    <n v="53850"/>
    <n v="102"/>
    <s v="053850_102"/>
    <s v="Discovery Day"/>
    <s v="Mai valutato"/>
    <m/>
    <n v="202504147897540"/>
    <n v="1023305098640"/>
    <n v="20250414"/>
    <x v="3"/>
    <m/>
    <x v="0"/>
    <s v="A     - Avere"/>
    <n v="500000"/>
    <n v="0"/>
    <n v="509864"/>
    <n v="4312790720"/>
    <s v="I.M.E.R. SOCIETA' A RESPONSABILITA' LIMITATA"/>
    <s v="430 - Imprese produttive"/>
    <s v="203 - FABBRICAZIONE DI PITTURE, VERNICI E SMALTI, INCHIOSTRI DA STAMPA E ADESIVI SINTETICI (MASTICI)"/>
    <s v="086 - ITALIA"/>
    <n v="979"/>
    <m/>
    <m/>
    <m/>
    <m/>
    <m/>
    <m/>
    <m/>
    <n v="0"/>
    <n v="202504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212"/>
    <s v="95"/>
    <s v="Versamento giornaliero di importo elevato per la causale ed il soggetto"/>
    <d v="2025-04-15T00:00:00"/>
    <n v="53850"/>
    <n v="273"/>
    <s v="053850_273"/>
    <s v="Discovery Day"/>
    <s v="Mai valutato"/>
    <m/>
    <n v="202504147898124"/>
    <n v="2733300003257"/>
    <n v="20250414"/>
    <x v="3"/>
    <m/>
    <x v="0"/>
    <s v="A     - Avere"/>
    <n v="110000"/>
    <n v="0"/>
    <n v="1672098"/>
    <s v="FBRMRT60R31I148O"/>
    <s v="FABRIZIO UMBERTO ANTONIO"/>
    <s v="614 - Artigiani"/>
    <s v="494 - TRASPORTO DI MERCI SU STRADA E SERVIZI DI TRASLOCO"/>
    <s v="086 - ITALIA"/>
    <n v="1801"/>
    <m/>
    <m/>
    <m/>
    <m/>
    <m/>
    <m/>
    <m/>
    <n v="0"/>
    <n v="202504"/>
    <s v="ARCHIVIATA DA RPR"/>
    <x v="1"/>
    <n v="1"/>
    <m/>
    <m/>
    <n v="0"/>
    <n v="999"/>
    <n v="614"/>
    <n v="614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495"/>
    <s v="95"/>
    <s v="Versamento giornaliero di importo elevato per la causale ed il soggetto"/>
    <d v="2025-04-12T00:00:00"/>
    <n v="53850"/>
    <n v="171"/>
    <s v="053850_171"/>
    <s v="Discovery Day"/>
    <s v="Mai valutato"/>
    <m/>
    <s v="Vari (11/04/2025)"/>
    <n v="1713302214147"/>
    <n v="20250411"/>
    <x v="2"/>
    <m/>
    <x v="0"/>
    <s v="A     - Avere"/>
    <n v="154416.32999999999"/>
    <n v="154416.32999999999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492"/>
    <s v="95"/>
    <s v="Versamento giornaliero di importo elevato per la causale ed il soggetto"/>
    <d v="2025-04-12T00:00:00"/>
    <n v="53850"/>
    <n v="102"/>
    <s v="053850_102"/>
    <s v="Discovery Day"/>
    <s v="Mai valutato"/>
    <m/>
    <n v="202504117889567"/>
    <n v="1023305550270"/>
    <n v="20250411"/>
    <x v="3"/>
    <m/>
    <x v="0"/>
    <s v="A     - Avere"/>
    <n v="159670"/>
    <n v="0"/>
    <n v="555027"/>
    <n v="4594700728"/>
    <s v="MARROCCOLI COSTRUZIONI SRL"/>
    <s v="430 - Imprese produttive"/>
    <s v="412 - COSTRUZIONE DI EDIFICI RESIDENZIALI E NON RESIDENZIALI"/>
    <s v="086 - ITALIA"/>
    <n v="1203"/>
    <m/>
    <m/>
    <m/>
    <m/>
    <m/>
    <m/>
    <m/>
    <n v="0"/>
    <n v="202504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491"/>
    <s v="95"/>
    <s v="Versamento giornaliero di importo elevato per la causale ed il soggetto"/>
    <d v="2025-04-12T00:00:00"/>
    <n v="53850"/>
    <n v="121"/>
    <s v="053850_121"/>
    <s v="Discovery Day"/>
    <s v="Mai valutato"/>
    <m/>
    <s v="Vari (11/04/2025)"/>
    <n v="1213300002600"/>
    <n v="20250411"/>
    <x v="0"/>
    <m/>
    <x v="0"/>
    <s v="A     - Avere"/>
    <n v="606194.87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s v="IN CARICO AL RESPONSABILE"/>
    <x v="0"/>
    <n v="1"/>
    <m/>
    <m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88"/>
    <s v="95"/>
    <s v="Versamento giornaliero di importo elevato per la causale ed il soggetto"/>
    <d v="2025-04-12T00:00:00"/>
    <n v="53850"/>
    <n v="102"/>
    <s v="053850_102"/>
    <s v="Discovery Day"/>
    <s v="Mai valutato"/>
    <m/>
    <s v="Vari (11/04/2025)"/>
    <n v="1023300372420"/>
    <n v="20250411"/>
    <x v="0"/>
    <m/>
    <x v="0"/>
    <s v="A     - Avere"/>
    <n v="104000"/>
    <n v="0"/>
    <n v="37242"/>
    <s v="CRNDNC48B18A225U"/>
    <s v="CORNACCHIA DOMENICO"/>
    <s v="614 - Artigiani"/>
    <s v="412 - COSTRUZIONE DI EDIFICI RESIDENZIALI E NON RESIDENZIALI"/>
    <s v="086 - ITALIA"/>
    <n v="1274"/>
    <m/>
    <m/>
    <m/>
    <m/>
    <m/>
    <m/>
    <m/>
    <n v="0"/>
    <n v="202504"/>
    <s v="IN VALUTAZIONE RPR"/>
    <x v="0"/>
    <n v="1"/>
    <m/>
    <m/>
    <n v="1"/>
    <n v="999"/>
    <n v="614"/>
    <n v="614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485"/>
    <s v="95"/>
    <s v="Versamento giornaliero di importo elevato per la causale ed il soggetto"/>
    <d v="2025-04-12T00:00:00"/>
    <n v="53850"/>
    <n v="171"/>
    <s v="053850_171"/>
    <s v="Discovery Day"/>
    <s v="Mai valutato"/>
    <m/>
    <s v="Vari (11/04/2025)"/>
    <n v="1713305728950"/>
    <n v="20250411"/>
    <x v="2"/>
    <m/>
    <x v="0"/>
    <s v="A     - Avere"/>
    <n v="399787.64"/>
    <n v="399787.64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482"/>
    <s v="95"/>
    <s v="Versamento giornaliero di importo elevato per la causale ed il soggetto"/>
    <d v="2025-04-12T00:00:00"/>
    <n v="53850"/>
    <n v="102"/>
    <s v="053850_102"/>
    <s v="Discovery Day"/>
    <s v="Mai valutato"/>
    <m/>
    <n v="202504117889550"/>
    <n v="1023300055260"/>
    <n v="20250411"/>
    <x v="3"/>
    <m/>
    <x v="0"/>
    <s v="A     - Avere"/>
    <n v="100000"/>
    <n v="0"/>
    <n v="5526"/>
    <s v="PRTNCL73B22F052C"/>
    <s v="PREITE NICOLA"/>
    <s v="615 - Altre famiglie produttrici"/>
    <s v="691 - ATTIVITÀ DEGLI STUDI LEGALI"/>
    <s v="086 - ITALIA"/>
    <n v="1443"/>
    <m/>
    <m/>
    <m/>
    <m/>
    <m/>
    <m/>
    <m/>
    <n v="0"/>
    <n v="202504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481"/>
    <s v="95"/>
    <s v="Versamento giornaliero di importo elevato per la causale ed il soggetto"/>
    <d v="2025-04-12T00:00:00"/>
    <n v="53850"/>
    <n v="102"/>
    <s v="053850_102"/>
    <s v="Discovery Day"/>
    <s v="Mai valutato"/>
    <m/>
    <n v="202504117889574"/>
    <n v="1023302249416"/>
    <n v="20250411"/>
    <x v="3"/>
    <m/>
    <x v="0"/>
    <s v="A     - Avere"/>
    <n v="129345"/>
    <n v="0"/>
    <n v="445647"/>
    <s v="PPNDNC76P24A225Q"/>
    <s v="PAPANGELO DOMENICO"/>
    <s v="600 - Famiglie consumatrici"/>
    <m/>
    <s v="086 - ITALIA"/>
    <n v="1431"/>
    <m/>
    <m/>
    <m/>
    <m/>
    <m/>
    <m/>
    <m/>
    <n v="0"/>
    <n v="202504"/>
    <s v="ARCHIVIATA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68"/>
    <s v="95"/>
    <s v="Versamento giornaliero di importo elevato per la causale ed il soggetto"/>
    <d v="2025-04-11T00:00:00"/>
    <n v="53850"/>
    <n v="174"/>
    <s v="053850_174"/>
    <s v="Discovery Day"/>
    <s v="Mai valutato"/>
    <m/>
    <n v="202504107886423"/>
    <n v="1743302877381"/>
    <n v="20250410"/>
    <x v="3"/>
    <m/>
    <x v="0"/>
    <s v="A     - Avere"/>
    <n v="415377.23"/>
    <n v="0"/>
    <n v="4071858"/>
    <s v="RMNNGL62E13F376R"/>
    <s v="RAIMONDI ANGELO"/>
    <s v="600 - Famiglie consumatrici"/>
    <m/>
    <s v="086 - ITALIA"/>
    <n v="448"/>
    <m/>
    <m/>
    <m/>
    <m/>
    <m/>
    <m/>
    <m/>
    <n v="0"/>
    <n v="202504"/>
    <s v="ARCHIVIATA DA RPR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62"/>
    <s v="95"/>
    <s v="Versamento giornaliero di importo elevato per la causale ed il soggetto"/>
    <d v="2025-04-11T00:00:00"/>
    <n v="53850"/>
    <n v="104"/>
    <s v="053850_104"/>
    <s v="Discovery Day"/>
    <s v="Mai valutato"/>
    <m/>
    <s v="Vari (10/04/2025)"/>
    <n v="1043304173550"/>
    <n v="20250410"/>
    <x v="0"/>
    <m/>
    <x v="0"/>
    <s v="A     - Avere"/>
    <n v="88865.89"/>
    <n v="100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4"/>
    <s v="ARCHIVIATA DA RPR"/>
    <x v="1"/>
    <n v="1"/>
    <n v="417355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50"/>
    <s v="95"/>
    <s v="Versamento giornaliero di importo elevato per la causale ed il soggetto"/>
    <d v="2025-04-11T00:00:00"/>
    <n v="53850"/>
    <n v="102"/>
    <s v="053850_102"/>
    <s v="Discovery Day"/>
    <s v="Mai valutato"/>
    <m/>
    <s v="Vari (10/04/2025)"/>
    <n v="1023300660520"/>
    <n v="20250410"/>
    <x v="0"/>
    <m/>
    <x v="0"/>
    <s v="A     - Avere"/>
    <n v="120919"/>
    <n v="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s v="IN CARICO AL GESTORE"/>
    <x v="0"/>
    <n v="1"/>
    <n v="66052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45"/>
    <s v="95"/>
    <s v="Versamento giornaliero di importo elevato per la causale ed il soggetto"/>
    <d v="2025-04-11T00:00:00"/>
    <n v="53850"/>
    <n v="174"/>
    <s v="053850_174"/>
    <s v="Discovery Day"/>
    <s v="Mai valutato"/>
    <m/>
    <n v="202504107886424"/>
    <n v="1743302879024"/>
    <n v="20250410"/>
    <x v="3"/>
    <m/>
    <x v="0"/>
    <s v="A     - Avere"/>
    <n v="165377.23000000001"/>
    <n v="0"/>
    <n v="4675710"/>
    <s v="RMNMRN91P07D508U"/>
    <s v="RAIMONDI MARINO"/>
    <s v="600 - Famiglie consumatrici"/>
    <m/>
    <s v="086 - ITALIA"/>
    <n v="1106"/>
    <m/>
    <m/>
    <m/>
    <m/>
    <m/>
    <m/>
    <m/>
    <n v="0"/>
    <n v="202504"/>
    <s v="ARCHIVIATA DA RPR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443"/>
    <s v="95"/>
    <s v="Versamento giornaliero di importo elevato per la causale ed il soggetto"/>
    <d v="2025-04-11T00:00:00"/>
    <n v="53850"/>
    <n v="174"/>
    <s v="053850_174"/>
    <s v="Discovery Day"/>
    <s v="Mai valutato"/>
    <m/>
    <n v="202504107886423"/>
    <n v="1743302877381"/>
    <n v="20250410"/>
    <x v="3"/>
    <m/>
    <x v="0"/>
    <s v="A     - Avere"/>
    <n v="415377.23"/>
    <n v="0"/>
    <n v="559545"/>
    <s v="LAOPRZ66P65F376K"/>
    <s v="ALO' PORZIA"/>
    <s v="600 - Famiglie consumatrici"/>
    <m/>
    <s v="086 - ITALIA"/>
    <n v="1106"/>
    <m/>
    <m/>
    <m/>
    <m/>
    <m/>
    <m/>
    <m/>
    <n v="0"/>
    <n v="202504"/>
    <s v="ARCHIVIATA DA RPR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40"/>
    <s v="95"/>
    <s v="Versamento giornaliero di importo elevato per la causale ed il soggetto"/>
    <d v="2025-04-11T00:00:00"/>
    <n v="53850"/>
    <n v="153"/>
    <s v="053850_153"/>
    <s v="Discovery Day"/>
    <s v="Mai valutato"/>
    <m/>
    <n v="202504107886353"/>
    <n v="1533300662905"/>
    <n v="20250410"/>
    <x v="1"/>
    <m/>
    <x v="0"/>
    <s v="A     - Avere"/>
    <n v="110193.28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4"/>
    <s v="ARCHIVIATA"/>
    <x v="1"/>
    <n v="1"/>
    <m/>
    <m/>
    <n v="0"/>
    <n v="236"/>
    <n v="430"/>
    <n v="430236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436"/>
    <s v="95"/>
    <s v="Versamento giornaliero di importo elevato per la causale ed il soggetto"/>
    <d v="2025-04-10T00:00:00"/>
    <n v="53850"/>
    <n v="141"/>
    <s v="053850_141"/>
    <s v="Discovery Day"/>
    <s v="Mai valutato"/>
    <m/>
    <n v="202504097883203"/>
    <n v="1413300000129"/>
    <n v="20250409"/>
    <x v="4"/>
    <m/>
    <x v="0"/>
    <s v="A     - Avere"/>
    <n v="90000"/>
    <n v="0"/>
    <n v="4183509"/>
    <s v="GLBMHL70H04E506L"/>
    <s v="GILIBERTI MICHELE"/>
    <s v="615 - Altre famiglie produttrici"/>
    <s v="749 - ALTRE ATTIVITÀ PROFESSIONALI, SCIENTIFICHE E TECNICHE NCA"/>
    <s v="086 - ITALIA"/>
    <n v="862"/>
    <m/>
    <m/>
    <m/>
    <m/>
    <m/>
    <m/>
    <m/>
    <n v="0"/>
    <n v="202504"/>
    <s v="ARCHIVIATA DA RPR"/>
    <x v="1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33"/>
    <s v="95"/>
    <s v="Versamento giornaliero di importo elevato per la causale ed il soggetto"/>
    <d v="2025-04-10T00:00:00"/>
    <n v="53850"/>
    <n v="171"/>
    <s v="053850_171"/>
    <s v="Discovery Day"/>
    <s v="Mai valutato"/>
    <m/>
    <s v="Vari (09/04/2025)"/>
    <n v="1713302214147"/>
    <n v="20250409"/>
    <x v="2"/>
    <m/>
    <x v="0"/>
    <s v="A     - Avere"/>
    <n v="180470"/>
    <n v="180470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423"/>
    <s v="95"/>
    <s v="Versamento giornaliero di importo elevato per la causale ed il soggetto"/>
    <d v="2025-04-10T00:00:00"/>
    <n v="53850"/>
    <n v="111"/>
    <s v="053850_111"/>
    <s v="Discovery Day"/>
    <s v="Mai valutato"/>
    <m/>
    <n v="202504097883130"/>
    <n v="1113300676200"/>
    <n v="20250409"/>
    <x v="6"/>
    <m/>
    <x v="0"/>
    <s v="A     - Avere"/>
    <n v="100000"/>
    <n v="0"/>
    <n v="67620"/>
    <s v="DDMPTR53E03F052S"/>
    <s v="ADDAMIANO PIETRO"/>
    <s v="615 - Altre famiglie produttrici"/>
    <s v="011 - COLTIVAZIONE DI COLTURE AGRICOLE NON PERMANENTI"/>
    <s v="086 - ITALIA"/>
    <n v="593"/>
    <m/>
    <m/>
    <m/>
    <m/>
    <m/>
    <m/>
    <m/>
    <n v="0"/>
    <n v="202504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416"/>
    <s v="95"/>
    <s v="Versamento giornaliero di importo elevato per la causale ed il soggetto"/>
    <d v="2025-04-10T00:00:00"/>
    <n v="53850"/>
    <n v="109"/>
    <s v="053850_109"/>
    <s v="Discovery Day"/>
    <s v="Mai valutato"/>
    <m/>
    <n v="202504097883116"/>
    <n v="1093300014490"/>
    <n v="20250409"/>
    <x v="3"/>
    <m/>
    <x v="0"/>
    <s v="A     - Avere"/>
    <n v="200000"/>
    <n v="0"/>
    <n v="1449"/>
    <s v="LRSNTN40A08A662Y"/>
    <s v="LORUSSO ANTONIO"/>
    <s v="600 - Famiglie consumatrici"/>
    <m/>
    <s v="086 - ITALIA"/>
    <n v="743"/>
    <m/>
    <m/>
    <m/>
    <m/>
    <m/>
    <m/>
    <m/>
    <n v="0"/>
    <n v="202504"/>
    <s v="ARCHIVIATA"/>
    <x v="1"/>
    <n v="1"/>
    <n v="1449"/>
    <n v="1"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411"/>
    <s v="95"/>
    <s v="Versamento giornaliero di importo elevato per la causale ed il soggetto"/>
    <d v="2025-04-10T00:00:00"/>
    <n v="53850"/>
    <n v="171"/>
    <s v="053850_171"/>
    <s v="Discovery Day"/>
    <s v="Mai valutato"/>
    <m/>
    <s v="Vari (09/04/2025)"/>
    <n v="1713305728950"/>
    <n v="20250409"/>
    <x v="2"/>
    <m/>
    <x v="0"/>
    <s v="A     - Avere"/>
    <n v="397640"/>
    <n v="39764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03"/>
    <s v="95"/>
    <s v="Versamento giornaliero di importo elevato per la causale ed il soggetto"/>
    <d v="2025-04-10T00:00:00"/>
    <n v="53850"/>
    <n v="192"/>
    <s v="053850_192"/>
    <s v="Discovery Day"/>
    <s v="Mai valutato"/>
    <m/>
    <n v="202504097883334"/>
    <n v="1923300183207"/>
    <n v="20250409"/>
    <x v="3"/>
    <m/>
    <x v="0"/>
    <s v="A     - Avere"/>
    <n v="96798.05"/>
    <n v="0"/>
    <n v="461447"/>
    <s v="DGSGPP76C20A662C"/>
    <s v="DIGIESI GIUSEPPE"/>
    <s v="615 - Altre famiglie produttrici"/>
    <s v="691 - ATTIVITÀ DEGLI STUDI LEGALI"/>
    <s v="086 - ITALIA"/>
    <n v="481"/>
    <m/>
    <m/>
    <m/>
    <m/>
    <m/>
    <m/>
    <m/>
    <n v="0"/>
    <n v="202504"/>
    <s v="ARCHIVIATA"/>
    <x v="1"/>
    <n v="1"/>
    <n v="461447"/>
    <n v="1"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402"/>
    <s v="95"/>
    <s v="Versamento giornaliero di importo elevato per la causale ed il soggetto"/>
    <d v="2025-04-10T00:00:00"/>
    <n v="53850"/>
    <n v="195"/>
    <s v="053850_195"/>
    <s v="Discovery Day"/>
    <s v="Mai valutato"/>
    <m/>
    <n v="202504097883353"/>
    <n v="1943300006708"/>
    <n v="20250409"/>
    <x v="3"/>
    <m/>
    <x v="0"/>
    <s v="A     - Avere"/>
    <n v="110000"/>
    <n v="0"/>
    <n v="3040676"/>
    <s v="BRNGPP64P17G251N"/>
    <s v="BERNARDI GIUSEPPE"/>
    <s v="600 - Famiglie consumatrici"/>
    <m/>
    <s v="086 - ITALIA"/>
    <n v="1463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00"/>
    <s v="95"/>
    <s v="Versamento giornaliero di importo elevato per la causale ed il soggetto"/>
    <d v="2025-04-10T00:00:00"/>
    <n v="53850"/>
    <n v="116"/>
    <s v="053850_116"/>
    <s v="Discovery Day"/>
    <s v="Mai valutato"/>
    <m/>
    <n v="202504097882968"/>
    <n v="2343300010453"/>
    <n v="20250409"/>
    <x v="2"/>
    <m/>
    <x v="0"/>
    <s v="A     - Avere"/>
    <n v="140674.45000000001"/>
    <n v="140674.4500000000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399"/>
    <s v="95"/>
    <s v="Versamento giornaliero di importo elevato per la causale ed il soggetto"/>
    <d v="2025-04-10T00:00:00"/>
    <n v="53850"/>
    <n v="170"/>
    <s v="053850_170"/>
    <s v="Discovery Day"/>
    <s v="Mai valutato"/>
    <m/>
    <n v="202504097883281"/>
    <n v="1703306290965"/>
    <n v="20250409"/>
    <x v="6"/>
    <m/>
    <x v="0"/>
    <s v="A     - Avere"/>
    <n v="156800"/>
    <n v="0"/>
    <n v="3734846"/>
    <n v="8512530729"/>
    <s v="AC COSTRUZIONI SRL"/>
    <s v="430 - Imprese produttive"/>
    <s v="412 - COSTRUZIONE DI EDIFICI RESIDENZIALI E NON RESIDENZIALI"/>
    <s v="086 - ITALIA"/>
    <n v="1920"/>
    <m/>
    <m/>
    <m/>
    <m/>
    <m/>
    <m/>
    <m/>
    <n v="0"/>
    <n v="202504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390"/>
    <s v="95"/>
    <s v="Versamento giornaliero di importo elevato per la causale ed il soggetto"/>
    <d v="2025-04-09T00:00:00"/>
    <n v="53850"/>
    <n v="286"/>
    <s v="053850_286"/>
    <s v="Discovery Day"/>
    <s v="Mai valutato"/>
    <m/>
    <n v="202504087880490"/>
    <n v="2863300002887"/>
    <n v="20250408"/>
    <x v="3"/>
    <m/>
    <x v="0"/>
    <s v="A     - Avere"/>
    <n v="120000"/>
    <n v="0"/>
    <n v="1686888"/>
    <n v="2639450697"/>
    <s v="LIDO S.R.L."/>
    <s v="430 - Imprese produttive"/>
    <s v="681 - COMPRAVENDITA DI BENI IMMOBILI EFFETTUATA SU BENI PROPRI"/>
    <s v="086 - ITALIA"/>
    <n v="1841"/>
    <m/>
    <m/>
    <m/>
    <m/>
    <m/>
    <m/>
    <m/>
    <n v="0"/>
    <n v="202504"/>
    <s v="ARCHIVIATA"/>
    <x v="1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78"/>
    <s v="95"/>
    <s v="Versamento giornaliero di importo elevato per la causale ed il soggetto"/>
    <d v="2025-04-09T00:00:00"/>
    <n v="53850"/>
    <n v="171"/>
    <s v="053850_171"/>
    <s v="Discovery Day"/>
    <s v="Mai valutato"/>
    <m/>
    <s v="Vari (08/04/2025)"/>
    <n v="1713305728950"/>
    <n v="20250408"/>
    <x v="2"/>
    <m/>
    <x v="0"/>
    <s v="A     - Avere"/>
    <n v="202735"/>
    <n v="20273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376"/>
    <s v="95"/>
    <s v="Versamento giornaliero di importo elevato per la causale ed il soggetto"/>
    <d v="2025-04-09T00:00:00"/>
    <n v="53850"/>
    <n v="267"/>
    <s v="053850_267"/>
    <s v="Discovery Day"/>
    <s v="Mai valutato"/>
    <m/>
    <n v="202504087880428"/>
    <n v="2673300003600"/>
    <n v="20250408"/>
    <x v="5"/>
    <m/>
    <x v="0"/>
    <s v="A     - Avere"/>
    <n v="107000"/>
    <n v="107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s v="ARCHIVIATA"/>
    <x v="1"/>
    <n v="1"/>
    <n v="1705101"/>
    <n v="1"/>
    <n v="0"/>
    <n v="999"/>
    <n v="492"/>
    <n v="492999"/>
    <m/>
    <n v="1"/>
    <x v="4"/>
    <n v="98000"/>
    <n v="98368.7"/>
    <n v="98737.4"/>
    <n v="99106.1"/>
    <n v="99955"/>
    <n v="101044"/>
    <n v="102133"/>
    <n v="103273.1"/>
    <n v="104515.4"/>
    <n v="105757.7"/>
    <n v="107000"/>
    <n v="109400"/>
    <n v="111800"/>
    <n v="114200"/>
    <n v="118800"/>
    <n v="124500"/>
    <n v="130200"/>
    <n v="151054.99999999991"/>
    <n v="202220.00000000009"/>
    <n v="253384.99999999991"/>
    <n v="30455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372"/>
    <s v="95"/>
    <s v="Versamento giornaliero di importo elevato per la causale ed il soggetto"/>
    <d v="2025-04-09T00:00:00"/>
    <n v="53850"/>
    <n v="116"/>
    <s v="053850_116"/>
    <s v="Discovery Day"/>
    <s v="Mai valutato"/>
    <m/>
    <n v="202504087879941"/>
    <n v="2343300010453"/>
    <n v="20250408"/>
    <x v="2"/>
    <m/>
    <x v="0"/>
    <s v="A     - Avere"/>
    <n v="171133.95"/>
    <n v="171133.9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370"/>
    <s v="95"/>
    <s v="Versamento giornaliero di importo elevato per la causale ed il soggetto"/>
    <d v="2025-04-09T00:00:00"/>
    <n v="53850"/>
    <n v="182"/>
    <s v="053850_182"/>
    <s v="Discovery Day"/>
    <s v="Mai valutato"/>
    <m/>
    <n v="202504087880332"/>
    <n v="1823300168510"/>
    <n v="20250408"/>
    <x v="3"/>
    <m/>
    <x v="0"/>
    <s v="A     - Avere"/>
    <n v="155000"/>
    <n v="0"/>
    <n v="3186190"/>
    <s v="SNTMRA48C67L049L"/>
    <s v="SANTURINI MARIA"/>
    <s v="600 - Famiglie consumatrici"/>
    <m/>
    <s v="086 - ITALIA"/>
    <n v="614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357"/>
    <s v="95"/>
    <s v="Versamento giornaliero di importo elevato per la causale ed il soggetto"/>
    <d v="2025-04-08T00:00:00"/>
    <n v="53850"/>
    <n v="118"/>
    <s v="053850_118"/>
    <s v="Discovery Day"/>
    <s v="Mai valutato"/>
    <m/>
    <n v="202504077877018"/>
    <n v="1183306281257"/>
    <n v="20250407"/>
    <x v="6"/>
    <m/>
    <x v="0"/>
    <s v="A     - Avere"/>
    <n v="130000"/>
    <n v="0"/>
    <n v="4903828"/>
    <s v="NZZDNC73T48A225O"/>
    <s v="NUZZI DOMENICA"/>
    <s v="600 - Famiglie consumatrici"/>
    <m/>
    <s v="086 - ITALIA"/>
    <n v="632"/>
    <m/>
    <m/>
    <m/>
    <m/>
    <m/>
    <m/>
    <m/>
    <n v="0"/>
    <n v="202504"/>
    <s v="IN CARICO AL GESTORE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355"/>
    <s v="95"/>
    <s v="Versamento giornaliero di importo elevato per la causale ed il soggetto"/>
    <d v="2025-04-08T00:00:00"/>
    <n v="53850"/>
    <n v="118"/>
    <s v="053850_118"/>
    <s v="Discovery Day"/>
    <s v="Mai valutato"/>
    <m/>
    <n v="202504077877019"/>
    <n v="1183306280338"/>
    <n v="20250407"/>
    <x v="6"/>
    <m/>
    <x v="0"/>
    <s v="A     - Avere"/>
    <n v="130000"/>
    <n v="0"/>
    <n v="4979859"/>
    <n v="8669660725"/>
    <s v="ELLECI IMPIANTI S.R.L."/>
    <s v="430 - Imprese produttive"/>
    <s v="432 - INSTALLAZIONE DI IMPIANTI ELETTRICI, IDRAULICI ED ALTRI LAVORI DI COSTRUZIONE E INSTALLAZIONE"/>
    <s v="086 - ITALIA"/>
    <n v="979"/>
    <m/>
    <m/>
    <m/>
    <m/>
    <m/>
    <m/>
    <m/>
    <n v="0"/>
    <n v="202504"/>
    <s v="ARCHIVIATA"/>
    <x v="1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352"/>
    <s v="95"/>
    <s v="Versamento giornaliero di importo elevato per la causale ed il soggetto"/>
    <d v="2025-04-08T00:00:00"/>
    <n v="53850"/>
    <n v="102"/>
    <s v="053850_102"/>
    <s v="Discovery Day"/>
    <s v="Mai valutato"/>
    <m/>
    <s v="Vari (07/04/2025)"/>
    <n v="1023300660520"/>
    <n v="20250407"/>
    <x v="0"/>
    <m/>
    <x v="0"/>
    <s v="A     - Avere"/>
    <n v="169736"/>
    <n v="3383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s v="IN CARICO AL GESTORE"/>
    <x v="0"/>
    <n v="1"/>
    <n v="66052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351"/>
    <s v="95"/>
    <s v="Versamento giornaliero di importo elevato per la causale ed il soggetto"/>
    <d v="2025-04-08T00:00:00"/>
    <n v="53850"/>
    <n v="287"/>
    <s v="053850_287"/>
    <s v="Discovery Day"/>
    <s v="Mai valutato"/>
    <m/>
    <s v="Vari (07/04/2025)"/>
    <n v="2873300001853"/>
    <n v="20250407"/>
    <x v="0"/>
    <m/>
    <x v="0"/>
    <s v="A     - Avere"/>
    <n v="138072.9"/>
    <n v="7925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s v="ARCHIVIATA DA RPR"/>
    <x v="1"/>
    <n v="1"/>
    <n v="3722213"/>
    <n v="1"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348"/>
    <s v="95"/>
    <s v="Versamento giornaliero di importo elevato per la causale ed il soggetto"/>
    <d v="2025-04-08T00:00:00"/>
    <n v="53850"/>
    <n v="108"/>
    <s v="053850_108"/>
    <s v="Discovery Day"/>
    <s v="Mai valutato"/>
    <m/>
    <s v="Vari (07/04/2025)"/>
    <n v="1083306291105"/>
    <n v="20250407"/>
    <x v="0"/>
    <m/>
    <x v="0"/>
    <s v="A     - Avere"/>
    <n v="128778.83"/>
    <n v="34129.6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s v="ARCHIVIATA"/>
    <x v="1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43"/>
    <s v="95"/>
    <s v="Versamento giornaliero di importo elevato per la causale ed il soggetto"/>
    <d v="2025-04-08T00:00:00"/>
    <n v="53850"/>
    <n v="182"/>
    <s v="053850_182"/>
    <s v="Discovery Day"/>
    <s v="Mai valutato"/>
    <m/>
    <s v="Vari (07/04/2025)"/>
    <n v="1823300169301"/>
    <n v="20250407"/>
    <x v="2"/>
    <m/>
    <x v="0"/>
    <s v="A     - Avere"/>
    <n v="37615"/>
    <n v="3761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s v="ARCHIVIATA"/>
    <x v="1"/>
    <n v="1"/>
    <n v="4284957"/>
    <n v="1"/>
    <n v="0"/>
    <n v="920"/>
    <n v="615"/>
    <n v="615920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26"/>
    <s v="95"/>
    <s v="Versamento giornaliero di importo elevato per la causale ed il soggetto"/>
    <d v="2025-04-08T00:00:00"/>
    <n v="53850"/>
    <n v="103"/>
    <s v="053850_103"/>
    <s v="Discovery Day"/>
    <s v="Mai valutato"/>
    <m/>
    <n v="202504077876891"/>
    <n v="1033306978389"/>
    <n v="20250407"/>
    <x v="1"/>
    <m/>
    <x v="0"/>
    <s v="A     - Avere"/>
    <n v="440000"/>
    <n v="0"/>
    <n v="4912146"/>
    <n v="8078930727"/>
    <s v="ESTIA SOCIETA' A RESPONSABILITA' LIMITATA"/>
    <s v="430 - Imprese produttive"/>
    <s v="412 - COSTRUZIONE DI EDIFICI RESIDENZIALI E NON RESIDENZIALI"/>
    <s v="086 - ITALIA"/>
    <n v="739"/>
    <m/>
    <m/>
    <m/>
    <m/>
    <m/>
    <m/>
    <m/>
    <n v="0"/>
    <n v="202504"/>
    <s v="ARCHIVIATA DA RPR"/>
    <x v="1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23"/>
    <s v="95"/>
    <s v="Versamento giornaliero di importo elevato per la causale ed il soggetto"/>
    <d v="2025-04-08T00:00:00"/>
    <n v="53850"/>
    <n v="161"/>
    <s v="053850_161"/>
    <s v="Discovery Day"/>
    <s v="Mai valutato"/>
    <m/>
    <s v="Vari (07/04/2025)"/>
    <n v="1613300029653"/>
    <n v="20250407"/>
    <x v="0"/>
    <m/>
    <x v="0"/>
    <s v="A     - Avere"/>
    <n v="98360.01"/>
    <n v="75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4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316"/>
    <s v="95"/>
    <s v="Versamento giornaliero di importo elevato per la causale ed il soggetto"/>
    <d v="2025-04-08T00:00:00"/>
    <n v="53850"/>
    <n v="103"/>
    <s v="053850_103"/>
    <s v="Discovery Day"/>
    <s v="Mai valutato"/>
    <m/>
    <n v="202504077876917"/>
    <n v="1033300114330"/>
    <n v="20250407"/>
    <x v="6"/>
    <m/>
    <x v="0"/>
    <s v="A     - Avere"/>
    <n v="100000"/>
    <n v="0"/>
    <n v="11433"/>
    <s v="RGSNTN73E30A225P"/>
    <s v="RAGUSO ANTONIO"/>
    <s v="615 - Altre famiglie produttrici"/>
    <s v="012 - COLTIVAZIONE DI COLTURE PERMANENTI"/>
    <s v="086 - ITALIA"/>
    <n v="1175"/>
    <m/>
    <m/>
    <m/>
    <m/>
    <m/>
    <m/>
    <m/>
    <n v="0"/>
    <n v="202504"/>
    <s v="ARCHIVIATA"/>
    <x v="1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00"/>
    <s v="95"/>
    <s v="Versamento giornaliero di importo elevato per la causale ed il soggetto"/>
    <d v="2025-04-05T00:00:00"/>
    <n v="53850"/>
    <n v="171"/>
    <s v="053850_171"/>
    <s v="Discovery Day"/>
    <s v="Mai valutato"/>
    <m/>
    <s v="Vari (04/04/2025)"/>
    <n v="1713305728950"/>
    <n v="20250404"/>
    <x v="2"/>
    <m/>
    <x v="0"/>
    <s v="A     - Avere"/>
    <n v="303602.48"/>
    <n v="303602.48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298"/>
    <s v="95"/>
    <s v="Versamento giornaliero di importo elevato per la causale ed il soggetto"/>
    <d v="2025-04-05T00:00:00"/>
    <n v="53850"/>
    <n v="126"/>
    <s v="053850_126"/>
    <s v="Discovery Day"/>
    <s v="Mai valutato"/>
    <m/>
    <n v="202504047868976"/>
    <n v="1263300002892"/>
    <n v="20250404"/>
    <x v="1"/>
    <m/>
    <x v="0"/>
    <s v="A     - Avere"/>
    <n v="150000"/>
    <n v="0"/>
    <n v="4846590"/>
    <s v="MTTVRN74A70L219F"/>
    <s v="METTA VALERIA ANNA"/>
    <s v="600 - Famiglie consumatrici"/>
    <m/>
    <s v="086 - ITALIA"/>
    <n v="1241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296"/>
    <s v="95"/>
    <s v="Versamento giornaliero di importo elevato per la causale ed il soggetto"/>
    <d v="2025-04-05T00:00:00"/>
    <n v="53850"/>
    <n v="116"/>
    <s v="053850_116"/>
    <s v="Discovery Day"/>
    <s v="Mai valutato"/>
    <m/>
    <s v="Vari (04/04/2025)"/>
    <n v="1093306674353"/>
    <n v="20250404"/>
    <x v="0"/>
    <m/>
    <x v="0"/>
    <s v="A     - Avere"/>
    <n v="131630"/>
    <n v="0"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4"/>
    <s v="ARCHIVIATA"/>
    <x v="1"/>
    <n v="1"/>
    <m/>
    <m/>
    <n v="1"/>
    <n v="451"/>
    <n v="430"/>
    <n v="430451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289"/>
    <s v="95"/>
    <s v="Versamento giornaliero di importo elevato per la causale ed il soggetto"/>
    <d v="2025-04-05T00:00:00"/>
    <n v="53850"/>
    <n v="128"/>
    <s v="053850_128"/>
    <s v="Discovery Day"/>
    <s v="Mai valutato"/>
    <m/>
    <s v="Vari (04/04/2025)"/>
    <n v="1283300001665"/>
    <n v="20250404"/>
    <x v="0"/>
    <m/>
    <x v="0"/>
    <s v="A     - Avere"/>
    <n v="105722.96"/>
    <n v="303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4"/>
    <s v="ARCHIVIATA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84"/>
    <s v="95"/>
    <s v="Versamento giornaliero di importo elevato per la causale ed il soggetto"/>
    <d v="2025-04-05T00:00:00"/>
    <n v="53850"/>
    <n v="171"/>
    <s v="053850_171"/>
    <s v="Discovery Day"/>
    <s v="Mai valutato"/>
    <m/>
    <s v="Vari (04/04/2025)"/>
    <n v="1713302214147"/>
    <n v="20250404"/>
    <x v="2"/>
    <m/>
    <x v="0"/>
    <s v="A     - Avere"/>
    <n v="123439.35"/>
    <n v="123439.3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70"/>
    <s v="95"/>
    <s v="Versamento giornaliero di importo elevato per la causale ed il soggetto"/>
    <d v="2025-04-05T00:00:00"/>
    <n v="53850"/>
    <n v="126"/>
    <s v="053850_126"/>
    <s v="Discovery Day"/>
    <s v="Mai valutato"/>
    <m/>
    <n v="202504047868976"/>
    <n v="1263300002892"/>
    <n v="20250404"/>
    <x v="1"/>
    <m/>
    <x v="0"/>
    <s v="A     - Avere"/>
    <n v="150000"/>
    <n v="0"/>
    <n v="4846586"/>
    <s v="PTRFCR71H12B619G"/>
    <s v="PETRILLI FELICE ROBERTO"/>
    <s v="600 - Famiglie consumatrici"/>
    <m/>
    <s v="086 - ITALIA"/>
    <n v="1241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267"/>
    <s v="95"/>
    <s v="Versamento giornaliero di importo elevato per la causale ed il soggetto"/>
    <d v="2025-04-05T00:00:00"/>
    <n v="53850"/>
    <n v="175"/>
    <s v="053850_175"/>
    <s v="Discovery Day"/>
    <s v="Mai valutato"/>
    <m/>
    <s v="Vari (04/04/2025)"/>
    <n v="1753302201452"/>
    <n v="20250404"/>
    <x v="0"/>
    <m/>
    <x v="0"/>
    <s v="A     - Avere"/>
    <n v="102859"/>
    <n v="1600"/>
    <n v="4329968"/>
    <n v="1135000774"/>
    <s v="P. &amp; G. S.A.S. DI GIANNANTONIO JOLE GRAZIA E"/>
    <s v="280 - Mediatori, agenti e consulenti di assicurazione"/>
    <s v="662 - ATTIVITÀ AUSILIARIE DELLE ASSICURAZIONI E DEI FONDI PENSIONE"/>
    <s v="086 - ITALIA"/>
    <n v="1110"/>
    <m/>
    <m/>
    <m/>
    <m/>
    <m/>
    <m/>
    <m/>
    <n v="0"/>
    <n v="202504"/>
    <s v="ARCHIVIATA DA RPR"/>
    <x v="1"/>
    <n v="1"/>
    <n v="4329968"/>
    <n v="1"/>
    <n v="1"/>
    <n v="999"/>
    <n v="280"/>
    <n v="280999"/>
    <m/>
    <n v="1"/>
    <x v="4"/>
    <n v="98000"/>
    <n v="98368.7"/>
    <n v="98737.4"/>
    <n v="99106.1"/>
    <n v="99955"/>
    <n v="101044"/>
    <n v="102133"/>
    <n v="103273.1"/>
    <n v="104515.4"/>
    <n v="105757.7"/>
    <n v="107000"/>
    <n v="109400"/>
    <n v="111800"/>
    <n v="114200"/>
    <n v="118800"/>
    <n v="124500"/>
    <n v="130200"/>
    <n v="151054.99999999991"/>
    <n v="202220.00000000009"/>
    <n v="253384.99999999991"/>
    <n v="30455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40"/>
    <s v="95"/>
    <s v="Versamento giornaliero di importo elevato per la causale ed il soggetto"/>
    <d v="2025-04-04T00:00:00"/>
    <n v="53850"/>
    <n v="102"/>
    <s v="053850_102"/>
    <s v="Discovery Day"/>
    <s v="Mai valutato"/>
    <m/>
    <n v="202504037865978"/>
    <n v="1023308726262"/>
    <n v="20250403"/>
    <x v="4"/>
    <m/>
    <x v="0"/>
    <s v="A     - Avere"/>
    <n v="570000"/>
    <n v="0"/>
    <n v="4978870"/>
    <n v="8663550724"/>
    <s v="SOCIETA' AGRICOLA INNOVATIVA LOIUDICE S.R.L."/>
    <s v="430 - Imprese produttive"/>
    <s v="011 - COLTIVAZIONE DI COLTURE AGRICOLE NON PERMANENTI"/>
    <s v="086 - ITALIA"/>
    <n v="1203"/>
    <m/>
    <m/>
    <m/>
    <m/>
    <m/>
    <m/>
    <m/>
    <n v="0"/>
    <n v="202504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39"/>
    <s v="95"/>
    <s v="Versamento giornaliero di importo elevato per la causale ed il soggetto"/>
    <d v="2025-04-04T00:00:00"/>
    <n v="53850"/>
    <n v="102"/>
    <s v="053850_102"/>
    <s v="Discovery Day"/>
    <s v="Mai valutato"/>
    <m/>
    <n v="202504037865974"/>
    <n v="2263300012122"/>
    <n v="20250403"/>
    <x v="3"/>
    <m/>
    <x v="0"/>
    <s v="A     - Avere"/>
    <n v="102000"/>
    <n v="0"/>
    <n v="4171923"/>
    <s v="NRDNTN72R11A285I"/>
    <s v="NARDONE ANTONIO"/>
    <s v="600 - Famiglie consumatrici"/>
    <m/>
    <s v="086 - ITALIA"/>
    <n v="1267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38"/>
    <s v="95"/>
    <s v="Versamento giornaliero di importo elevato per la causale ed il soggetto"/>
    <d v="2025-04-04T00:00:00"/>
    <n v="53850"/>
    <n v="102"/>
    <s v="053850_102"/>
    <s v="Discovery Day"/>
    <s v="Mai valutato"/>
    <m/>
    <n v="202504037865974"/>
    <n v="2263300012122"/>
    <n v="20250403"/>
    <x v="3"/>
    <m/>
    <x v="0"/>
    <s v="A     - Avere"/>
    <n v="102000"/>
    <n v="0"/>
    <n v="4173227"/>
    <s v="DCRSLL71T46A669N"/>
    <s v="DE CARO SAMUELLA"/>
    <s v="600 - Famiglie consumatrici"/>
    <m/>
    <s v="086 - ITALIA"/>
    <n v="902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31"/>
    <s v="95"/>
    <s v="Versamento giornaliero di importo elevato per la causale ed il soggetto"/>
    <d v="2025-04-04T00:00:00"/>
    <n v="53850"/>
    <n v="181"/>
    <s v="053850_181"/>
    <s v="Discovery Day"/>
    <s v="Mai valutato"/>
    <m/>
    <n v="202504037866232"/>
    <n v="1813301028560"/>
    <n v="20250403"/>
    <x v="5"/>
    <m/>
    <x v="0"/>
    <s v="A     - Avere"/>
    <n v="47000"/>
    <n v="4700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4"/>
    <s v="ARCHIVIATA"/>
    <x v="1"/>
    <n v="1"/>
    <n v="454268"/>
    <n v="1"/>
    <n v="0"/>
    <n v="477"/>
    <n v="615"/>
    <n v="615477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226"/>
    <s v="95"/>
    <s v="Versamento giornaliero di importo elevato per la causale ed il soggetto"/>
    <d v="2025-04-03T00:00:00"/>
    <n v="53850"/>
    <n v="171"/>
    <s v="053850_171"/>
    <s v="Discovery Day"/>
    <s v="Mai valutato"/>
    <m/>
    <s v="Vari (02/04/2025)"/>
    <n v="1023308717844"/>
    <n v="20250402"/>
    <x v="0"/>
    <m/>
    <x v="0"/>
    <s v="A     - Avere"/>
    <n v="163950"/>
    <n v="3950"/>
    <n v="4201270"/>
    <s v="SCFLRT72E26F839C"/>
    <s v="SCAFARELLI ALBERTO"/>
    <s v="615 - Altre famiglie produttrici"/>
    <s v="691 - ATTIVITÀ DEGLI STUDI LEGALI"/>
    <s v="086 - ITALIA"/>
    <n v="1335"/>
    <m/>
    <m/>
    <m/>
    <m/>
    <m/>
    <m/>
    <m/>
    <n v="0"/>
    <n v="202504"/>
    <s v="ARCHIVIATA"/>
    <x v="1"/>
    <n v="1"/>
    <n v="4201270"/>
    <n v="1"/>
    <n v="1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223"/>
    <s v="95"/>
    <s v="Versamento giornaliero di importo elevato per la causale ed il soggetto"/>
    <d v="2025-04-03T00:00:00"/>
    <n v="53850"/>
    <n v="193"/>
    <s v="053850_193"/>
    <s v="Discovery Day"/>
    <s v="Mai valutato"/>
    <m/>
    <n v="202504027863342"/>
    <n v="1933300023909"/>
    <n v="20250402"/>
    <x v="3"/>
    <m/>
    <x v="0"/>
    <s v="A     - Avere"/>
    <n v="115000"/>
    <n v="0"/>
    <n v="3051208"/>
    <s v="MNGNMR47S43F784Q"/>
    <s v="MONGELLI ANNA MARIA"/>
    <s v="600 - Famiglie consumatrici"/>
    <m/>
    <s v="086 - ITALIA"/>
    <n v="838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18"/>
    <s v="95"/>
    <s v="Versamento giornaliero di importo elevato per la causale ed il soggetto"/>
    <d v="2025-04-03T00:00:00"/>
    <n v="53850"/>
    <n v="108"/>
    <s v="053850_108"/>
    <s v="Discovery Day"/>
    <s v="Mai valutato"/>
    <m/>
    <s v="Vari (02/04/2025)"/>
    <n v="1083306291105"/>
    <n v="20250402"/>
    <x v="0"/>
    <m/>
    <x v="0"/>
    <s v="A     - Avere"/>
    <n v="169780.22"/>
    <n v="150188.1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s v="ARCHIVIATA"/>
    <x v="1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217"/>
    <s v="95"/>
    <s v="Versamento giornaliero di importo elevato per la causale ed il soggetto"/>
    <d v="2025-04-03T00:00:00"/>
    <n v="53850"/>
    <n v="116"/>
    <s v="053850_116"/>
    <s v="Discovery Day"/>
    <s v="Mai valutato"/>
    <m/>
    <n v="202504027862913"/>
    <n v="2343300010453"/>
    <n v="20250402"/>
    <x v="2"/>
    <m/>
    <x v="0"/>
    <s v="A     - Avere"/>
    <n v="145499.5"/>
    <n v="145499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208"/>
    <s v="95"/>
    <s v="Versamento giornaliero di importo elevato per la causale ed il soggetto"/>
    <d v="2025-04-03T00:00:00"/>
    <n v="53850"/>
    <n v="193"/>
    <s v="053850_193"/>
    <s v="Discovery Day"/>
    <s v="Mai valutato"/>
    <m/>
    <n v="202504027863342"/>
    <n v="1933300023909"/>
    <n v="20250402"/>
    <x v="3"/>
    <m/>
    <x v="0"/>
    <s v="A     - Avere"/>
    <n v="115000"/>
    <n v="0"/>
    <n v="3051199"/>
    <s v="DCRFNC36B24F784D"/>
    <s v="DE CARLO FRANCESCO ANTONIO"/>
    <s v="600 - Famiglie consumatrici"/>
    <m/>
    <s v="086 - ITALIA"/>
    <n v="838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07"/>
    <s v="95"/>
    <s v="Versamento giornaliero di importo elevato per la causale ed il soggetto"/>
    <d v="2025-04-03T00:00:00"/>
    <n v="53850"/>
    <n v="171"/>
    <s v="053850_171"/>
    <s v="Discovery Day"/>
    <s v="Mai valutato"/>
    <m/>
    <s v="Vari (02/04/2025)"/>
    <n v="1713305728950"/>
    <n v="20250402"/>
    <x v="2"/>
    <m/>
    <x v="0"/>
    <s v="A     - Avere"/>
    <n v="369028.3"/>
    <n v="369028.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205"/>
    <s v="95"/>
    <s v="Versamento giornaliero di importo elevato per la causale ed il soggetto"/>
    <d v="2025-04-03T00:00:00"/>
    <n v="53850"/>
    <n v="171"/>
    <s v="053850_171"/>
    <s v="Discovery Day"/>
    <s v="Mai valutato"/>
    <m/>
    <s v="Vari (02/04/2025)"/>
    <n v="1713302214147"/>
    <n v="20250402"/>
    <x v="2"/>
    <m/>
    <x v="0"/>
    <s v="A     - Avere"/>
    <n v="145260"/>
    <n v="14526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181"/>
    <s v="95"/>
    <s v="Versamento giornaliero di importo elevato per la causale ed il soggetto"/>
    <d v="2025-04-02T00:00:00"/>
    <n v="53850"/>
    <n v="171"/>
    <s v="053850_171"/>
    <s v="Discovery Day"/>
    <s v="Mai valutato"/>
    <m/>
    <s v="Vari (01/04/2025)"/>
    <n v="1713305728950"/>
    <n v="20250401"/>
    <x v="0"/>
    <m/>
    <x v="0"/>
    <s v="A     - Avere"/>
    <n v="224517.49"/>
    <n v="218237.49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1"/>
    <n v="1"/>
    <n v="572895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180"/>
    <s v="95"/>
    <s v="Versamento giornaliero di importo elevato per la causale ed il soggetto"/>
    <d v="2025-04-02T00:00:00"/>
    <n v="53850"/>
    <n v="102"/>
    <s v="053850_102"/>
    <s v="Discovery Day"/>
    <s v="Mai valutato"/>
    <m/>
    <s v="Vari (01/04/2025)"/>
    <n v="1023308722503"/>
    <n v="20250401"/>
    <x v="2"/>
    <m/>
    <x v="0"/>
    <s v="A     - Avere"/>
    <n v="58490"/>
    <n v="5849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1"/>
    <n v="1"/>
    <n v="413650"/>
    <n v="1"/>
    <n v="0"/>
    <n v="920"/>
    <n v="492"/>
    <n v="492920"/>
    <s v="Classe di rischio 5"/>
    <m/>
    <x v="5"/>
    <n v="55650"/>
    <n v="56502"/>
    <n v="57354"/>
    <n v="58206"/>
    <n v="59098"/>
    <n v="60010"/>
    <n v="60922"/>
    <n v="61827"/>
    <n v="62718"/>
    <n v="63609"/>
    <n v="64500"/>
    <n v="66288"/>
    <n v="68076"/>
    <n v="69864"/>
    <n v="70482"/>
    <n v="70515"/>
    <n v="70548"/>
    <n v="70590"/>
    <n v="70650"/>
    <n v="70710"/>
    <n v="7077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77"/>
    <s v="95"/>
    <s v="Versamento giornaliero di importo elevato per la causale ed il soggetto"/>
    <d v="2025-04-02T00:00:00"/>
    <n v="53850"/>
    <n v="108"/>
    <s v="053850_108"/>
    <s v="Discovery Day"/>
    <s v="Mai valutato"/>
    <m/>
    <s v="Vari (01/04/2025)"/>
    <n v="1083300011180"/>
    <n v="20250401"/>
    <x v="0"/>
    <m/>
    <x v="0"/>
    <s v="A     - Avere"/>
    <n v="281108.96999999997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s v="ARCHIVIATA DA RPR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176"/>
    <s v="95"/>
    <s v="Versamento giornaliero di importo elevato per la causale ed il soggetto"/>
    <d v="2025-04-02T00:00:00"/>
    <n v="53850"/>
    <n v="175"/>
    <s v="053850_175"/>
    <s v="Discovery Day"/>
    <s v="Mai valutato"/>
    <m/>
    <n v="202504017860265"/>
    <n v="1753305678410"/>
    <n v="20250401"/>
    <x v="3"/>
    <m/>
    <x v="0"/>
    <s v="A     - Avere"/>
    <n v="160000"/>
    <n v="0"/>
    <n v="567841"/>
    <s v="NCLVCN55T22F052Q"/>
    <s v="NICOLETTI VINCENZO"/>
    <s v="600 - Famiglie consumatrici"/>
    <m/>
    <s v="086 - ITALIA"/>
    <n v="1585"/>
    <m/>
    <m/>
    <m/>
    <m/>
    <m/>
    <m/>
    <m/>
    <n v="0"/>
    <n v="202504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165"/>
    <s v="95"/>
    <s v="Versamento giornaliero di importo elevato per la causale ed il soggetto"/>
    <d v="2025-04-02T00:00:00"/>
    <n v="53850"/>
    <n v="121"/>
    <s v="053850_121"/>
    <s v="Discovery Day"/>
    <s v="Mai valutato"/>
    <m/>
    <s v="Vari (01/04/2025)"/>
    <n v="1093300013190"/>
    <n v="20250401"/>
    <x v="0"/>
    <m/>
    <x v="0"/>
    <s v="A     - Avere"/>
    <n v="135956.74"/>
    <n v="0"/>
    <n v="1319"/>
    <n v="257660720"/>
    <s v="F. DIVELLA S.P.A."/>
    <s v="430 - Imprese produttive"/>
    <s v="107 - PRODUZIONE DI PRODOTTI DA FORNO E FARINACEI"/>
    <s v="086 - ITALIA"/>
    <n v="1696"/>
    <m/>
    <m/>
    <m/>
    <m/>
    <m/>
    <m/>
    <m/>
    <n v="0"/>
    <n v="202504"/>
    <s v="ARCHIVIATA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157"/>
    <s v="95"/>
    <s v="Versamento giornaliero di importo elevato per la causale ed il soggetto"/>
    <d v="2025-04-02T00:00:00"/>
    <n v="53850"/>
    <n v="102"/>
    <s v="053850_102"/>
    <s v="Discovery Day"/>
    <s v="Mai valutato"/>
    <m/>
    <n v="202504017860017"/>
    <n v="1023306165160"/>
    <n v="20250401"/>
    <x v="1"/>
    <m/>
    <x v="0"/>
    <s v="A     - Avere"/>
    <n v="100000"/>
    <n v="0"/>
    <n v="616516"/>
    <s v="SMNNTN59T13A225S"/>
    <s v="SIMONE ANTONIO"/>
    <s v="615 - Altre famiglie produttrici"/>
    <s v="692 - CONTABILITÀ, CONTROLLO E REVISIONE CONTABILE, CONSULENZA IN MATERIA FISCALE E DEL LAVORO"/>
    <s v="086 - ITALIA"/>
    <n v="1443"/>
    <m/>
    <m/>
    <m/>
    <m/>
    <m/>
    <m/>
    <m/>
    <n v="0"/>
    <n v="202504"/>
    <s v="ARCHIVIATA"/>
    <x v="1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549"/>
    <s v="95"/>
    <s v="Versamento giornaliero di importo elevato per la causale ed il soggetto"/>
    <d v="2025-05-31T00:00:00"/>
    <n v="53850"/>
    <n v="187"/>
    <s v="053850_187"/>
    <s v="Discovery Day"/>
    <s v="Mai valutato"/>
    <m/>
    <n v="202505308027709"/>
    <n v="1873300124079"/>
    <n v="20250530"/>
    <x v="3"/>
    <m/>
    <x v="0"/>
    <s v="A     - Avere"/>
    <n v="200000"/>
    <n v="0"/>
    <n v="4085572"/>
    <s v="RCGSVT67E01L049K"/>
    <s v="RACUGNO SALVATORE"/>
    <s v="600 - Famiglie consumatrici"/>
    <m/>
    <s v="086 - ITALIA"/>
    <n v="478"/>
    <m/>
    <m/>
    <m/>
    <m/>
    <m/>
    <m/>
    <m/>
    <n v="0"/>
    <n v="202505"/>
    <m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46"/>
    <s v="95"/>
    <s v="Versamento giornaliero di importo elevato per la causale ed il soggetto"/>
    <d v="2025-05-31T00:00:00"/>
    <n v="53850"/>
    <n v="141"/>
    <s v="053850_141"/>
    <s v="Discovery Day"/>
    <s v="Mai valutato"/>
    <m/>
    <s v="Vari (30/05/2025)"/>
    <n v="1413300004393"/>
    <n v="20250530"/>
    <x v="0"/>
    <m/>
    <x v="0"/>
    <s v="A     - Avere"/>
    <n v="87236.69"/>
    <n v="12890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s v="086 - ITALIA"/>
    <n v="862"/>
    <m/>
    <m/>
    <m/>
    <m/>
    <m/>
    <m/>
    <m/>
    <n v="0"/>
    <n v="202505"/>
    <s v="IN VALUTAZIONE RPR"/>
    <x v="0"/>
    <n v="1"/>
    <n v="3743595"/>
    <n v="1"/>
    <n v="1"/>
    <n v="999"/>
    <n v="501"/>
    <n v="501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45"/>
    <s v="95"/>
    <s v="Versamento giornaliero di importo elevato per la causale ed il soggetto"/>
    <d v="2025-05-31T00:00:00"/>
    <n v="53850"/>
    <n v="145"/>
    <s v="053850_145"/>
    <s v="Discovery Day"/>
    <s v="Mai valutato"/>
    <m/>
    <n v="202505308027480"/>
    <n v="1453300003755"/>
    <n v="20250530"/>
    <x v="3"/>
    <m/>
    <x v="0"/>
    <s v="A     - Avere"/>
    <n v="100000"/>
    <n v="0"/>
    <n v="4991602"/>
    <n v="80153690633"/>
    <s v="FALLIMENTO N. 99 2022 CENTRO ESTER ASSOCIAZIONE IN PARTECIPAZIONE"/>
    <s v="615 - Altre famiglie produttrici"/>
    <s v="85 - ISTRUZIONE"/>
    <s v="086 - ITALIA"/>
    <n v="1222"/>
    <m/>
    <m/>
    <m/>
    <m/>
    <m/>
    <m/>
    <m/>
    <n v="0"/>
    <n v="202505"/>
    <m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544"/>
    <s v="95"/>
    <s v="Versamento giornaliero di importo elevato per la causale ed il soggetto"/>
    <d v="2025-05-31T00:00:00"/>
    <n v="53850"/>
    <n v="267"/>
    <s v="053850_267"/>
    <s v="Discovery Day"/>
    <s v="Mai valutato"/>
    <m/>
    <n v="202505308027801"/>
    <n v="2673300000258"/>
    <n v="20250530"/>
    <x v="5"/>
    <m/>
    <x v="0"/>
    <s v="A     - Avere"/>
    <n v="244200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5"/>
    <s v="ARCHIVIATA"/>
    <x v="1"/>
    <n v="1"/>
    <n v="161672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43"/>
    <s v="95"/>
    <s v="Versamento giornaliero di importo elevato per la causale ed il soggetto"/>
    <d v="2025-05-31T00:00:00"/>
    <n v="53850"/>
    <n v="182"/>
    <s v="053850_182"/>
    <s v="Discovery Day"/>
    <s v="Mai valutato"/>
    <m/>
    <s v="Vari (30/05/2025)"/>
    <n v="1823300167815"/>
    <n v="20250530"/>
    <x v="0"/>
    <m/>
    <x v="0"/>
    <s v="A     - Avere"/>
    <n v="85050"/>
    <n v="5650"/>
    <n v="4113436"/>
    <n v="2356720736"/>
    <s v="MJ MOTOR'S SRL"/>
    <s v="430 - Imprese produttive"/>
    <s v="454 - COMMERCIO, MANUTENZIONE E RIPARAZIONE DI MOTOCICLI E RELATIVE PARTI ED ACCESSORI"/>
    <s v="086 - ITALIA"/>
    <n v="1627"/>
    <m/>
    <m/>
    <m/>
    <m/>
    <m/>
    <m/>
    <m/>
    <n v="0"/>
    <n v="202505"/>
    <s v="ARCHIVIATA DA RPR"/>
    <x v="1"/>
    <n v="1"/>
    <n v="4113436"/>
    <n v="1"/>
    <n v="1"/>
    <n v="454"/>
    <n v="430"/>
    <n v="430454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42"/>
    <s v="95"/>
    <s v="Versamento giornaliero di importo elevato per la causale ed il soggetto"/>
    <d v="2025-05-31T00:00:00"/>
    <n v="53850"/>
    <n v="128"/>
    <s v="053850_128"/>
    <s v="Discovery Day"/>
    <s v="Mai valutato"/>
    <m/>
    <s v="Vari (30/05/2025)"/>
    <n v="1283300001665"/>
    <n v="20250530"/>
    <x v="0"/>
    <m/>
    <x v="0"/>
    <s v="A     - Avere"/>
    <n v="483186.57"/>
    <n v="979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s v="ARCHIVIATA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38"/>
    <s v="95"/>
    <s v="Versamento giornaliero di importo elevato per la causale ed il soggetto"/>
    <d v="2025-05-31T00:00:00"/>
    <n v="53850"/>
    <n v="171"/>
    <s v="053850_171"/>
    <s v="Discovery Day"/>
    <s v="Mai valutato"/>
    <m/>
    <s v="Vari (30/05/2025)"/>
    <n v="1713302214147"/>
    <n v="20250530"/>
    <x v="2"/>
    <m/>
    <x v="0"/>
    <s v="A     - Avere"/>
    <n v="134143.07"/>
    <n v="134143.07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530"/>
    <s v="95"/>
    <s v="Versamento giornaliero di importo elevato per la causale ed il soggetto"/>
    <d v="2025-05-31T00:00:00"/>
    <n v="53850"/>
    <n v="171"/>
    <s v="053850_171"/>
    <s v="Discovery Day"/>
    <s v="Mai valutato"/>
    <m/>
    <s v="Vari (30/05/2025)"/>
    <n v="1713305728950"/>
    <n v="20250530"/>
    <x v="2"/>
    <m/>
    <x v="0"/>
    <s v="A     - Avere"/>
    <n v="369560.4"/>
    <n v="369560.4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526"/>
    <s v="95"/>
    <s v="Versamento giornaliero di importo elevato per la causale ed il soggetto"/>
    <d v="2025-05-31T00:00:00"/>
    <n v="53850"/>
    <n v="161"/>
    <s v="053850_161"/>
    <s v="Discovery Day"/>
    <s v="Mai valutato"/>
    <m/>
    <s v="Vari (30/05/2025)"/>
    <n v="1613300029653"/>
    <n v="20250530"/>
    <x v="0"/>
    <m/>
    <x v="0"/>
    <s v="A     - Avere"/>
    <n v="217448.27"/>
    <n v="61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24"/>
    <s v="95"/>
    <s v="Versamento giornaliero di importo elevato per la causale ed il soggetto"/>
    <d v="2025-05-31T00:00:00"/>
    <n v="53850"/>
    <n v="102"/>
    <s v="053850_102"/>
    <s v="Discovery Day"/>
    <s v="Mai valutato"/>
    <m/>
    <s v="Vari (30/05/2025)"/>
    <n v="1023308717655"/>
    <n v="20250530"/>
    <x v="0"/>
    <m/>
    <x v="0"/>
    <s v="A     - Avere"/>
    <n v="208564.6"/>
    <n v="11670"/>
    <n v="4226959"/>
    <n v="6150080726"/>
    <s v="INDUSTRIA MOLITORIA F.LLI MARTIMUCCI S.R.L."/>
    <s v="430 - Imprese produttive"/>
    <s v="106 - LAVORAZIONE DELLE GRANAGLIE, PRODUZIONE DI AMIDI E DI PRODOTTI AMIDACEI"/>
    <s v="086 - ITALIA"/>
    <n v="739"/>
    <m/>
    <m/>
    <m/>
    <m/>
    <m/>
    <m/>
    <m/>
    <n v="0"/>
    <n v="202505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513"/>
    <s v="95"/>
    <s v="Versamento giornaliero di importo elevato per la causale ed il soggetto"/>
    <d v="2025-05-31T00:00:00"/>
    <n v="53850"/>
    <n v="170"/>
    <s v="053850_170"/>
    <s v="Discovery Day"/>
    <s v="Mai valutato"/>
    <m/>
    <s v="Vari (30/05/2025)"/>
    <n v="1703306288421"/>
    <n v="20250530"/>
    <x v="0"/>
    <m/>
    <x v="0"/>
    <s v="A     - Avere"/>
    <n v="130913.59"/>
    <n v="0"/>
    <n v="4803929"/>
    <n v="4829870726"/>
    <s v="I NOBILI S.R.L."/>
    <s v="430 - Imprese produttive"/>
    <s v="251 - FABBRICAZIONE DI ELEMENTI DA COSTRUZIONE IN METALLO"/>
    <s v="086 - ITALIA"/>
    <n v="1696"/>
    <m/>
    <m/>
    <m/>
    <m/>
    <m/>
    <m/>
    <m/>
    <n v="0"/>
    <n v="202505"/>
    <m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511"/>
    <s v="95"/>
    <s v="Versamento giornaliero di importo elevato per la causale ed il soggetto"/>
    <d v="2025-05-31T00:00:00"/>
    <n v="53850"/>
    <n v="120"/>
    <s v="053850_120"/>
    <s v="Discovery Day"/>
    <s v="Mai valutato"/>
    <m/>
    <s v="Vari (30/05/2025)"/>
    <n v="1033306972385"/>
    <n v="20250530"/>
    <x v="0"/>
    <m/>
    <x v="0"/>
    <s v="A     - Avere"/>
    <n v="265131.34999999998"/>
    <n v="0"/>
    <n v="4419363"/>
    <n v="6616290729"/>
    <s v="EDIL CMC SOCIETA' A RESPONSABILITA' LIMITATA"/>
    <s v="430 - Imprese produttive"/>
    <s v="467 - COMMERCIO ALL'INGROSSO SPECIALIZZATO DI ALTRI PRODOTTI"/>
    <s v="086 - ITALIA"/>
    <n v="1274"/>
    <m/>
    <m/>
    <m/>
    <m/>
    <m/>
    <m/>
    <m/>
    <n v="0"/>
    <n v="202505"/>
    <m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96"/>
    <s v="95"/>
    <s v="Versamento giornaliero di importo elevato per la causale ed il soggetto"/>
    <d v="2025-05-30T00:00:00"/>
    <n v="53850"/>
    <n v="102"/>
    <s v="053850_102"/>
    <s v="Discovery Day"/>
    <s v="Mai valutato"/>
    <m/>
    <n v="202505298023327"/>
    <n v="1023306275332"/>
    <n v="20250529"/>
    <x v="3"/>
    <m/>
    <x v="0"/>
    <s v="A     - Avere"/>
    <n v="155000"/>
    <n v="0"/>
    <n v="71112"/>
    <s v="NCMGPP42S17A225V"/>
    <s v="INCAMPO GIUSEPPE"/>
    <s v="600 - Famiglie consumatrici"/>
    <m/>
    <s v="086 - ITALIA"/>
    <n v="841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487"/>
    <s v="95"/>
    <s v="Versamento giornaliero di importo elevato per la causale ed il soggetto"/>
    <d v="2025-05-30T00:00:00"/>
    <n v="53850"/>
    <n v="102"/>
    <s v="053850_102"/>
    <s v="Discovery Day"/>
    <s v="Mai valutato"/>
    <m/>
    <n v="202505298023327"/>
    <n v="1023306275332"/>
    <n v="20250529"/>
    <x v="3"/>
    <m/>
    <x v="0"/>
    <s v="A     - Avere"/>
    <n v="155000"/>
    <n v="0"/>
    <n v="71122"/>
    <s v="DFNNMR43R71A225X"/>
    <s v="DIFONZO ANNA MARIA GERONIMA"/>
    <s v="600 - Famiglie consumatrici"/>
    <m/>
    <s v="086 - ITALIA"/>
    <n v="515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462"/>
    <s v="95"/>
    <s v="Versamento giornaliero di importo elevato per la causale ed il soggetto"/>
    <d v="2025-05-30T00:00:00"/>
    <n v="53850"/>
    <n v="141"/>
    <s v="053850_141"/>
    <s v="Discovery Day"/>
    <s v="Mai valutato"/>
    <m/>
    <n v="202505298023489"/>
    <n v="1413300002371"/>
    <n v="20250529"/>
    <x v="1"/>
    <m/>
    <x v="0"/>
    <s v="A     - Avere"/>
    <n v="152340"/>
    <n v="0"/>
    <n v="4846049"/>
    <s v="VGNFNC64H01D862C"/>
    <s v="FALLIMENTO VIGNERI FRANCESCO"/>
    <s v="614 - Artigiani"/>
    <s v="412 - COSTRUZIONE DI EDIFICI RESIDENZIALI E NON RESIDENZIALI"/>
    <s v="086 - ITALIA"/>
    <n v="862"/>
    <m/>
    <m/>
    <m/>
    <m/>
    <m/>
    <m/>
    <m/>
    <n v="0"/>
    <n v="202505"/>
    <s v="IN VALUTAZIONE RPR"/>
    <x v="0"/>
    <n v="1"/>
    <m/>
    <m/>
    <n v="0"/>
    <n v="999"/>
    <n v="614"/>
    <n v="614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60"/>
    <s v="95"/>
    <s v="Versamento giornaliero di importo elevato per la causale ed il soggetto"/>
    <d v="2025-05-30T00:00:00"/>
    <n v="53850"/>
    <n v="118"/>
    <s v="053850_118"/>
    <s v="Discovery Day"/>
    <s v="Mai valutato"/>
    <m/>
    <n v="202505298023444"/>
    <n v="1183306281320"/>
    <n v="20250529"/>
    <x v="3"/>
    <m/>
    <x v="0"/>
    <s v="A     - Avere"/>
    <n v="122500"/>
    <n v="0"/>
    <n v="528885"/>
    <s v="CMMMRA50A57A225H"/>
    <s v="CAMMISA MARIA"/>
    <s v="600 - Famiglie consumatrici"/>
    <m/>
    <s v="086 - ITALIA"/>
    <n v="632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40"/>
    <s v="95"/>
    <s v="Versamento giornaliero di importo elevato per la causale ed il soggetto"/>
    <d v="2025-05-29T00:00:00"/>
    <n v="53850"/>
    <n v="171"/>
    <s v="053850_171"/>
    <s v="Discovery Day"/>
    <s v="Mai valutato"/>
    <m/>
    <s v="Vari (28/05/2025)"/>
    <n v="1713302214147"/>
    <n v="20250528"/>
    <x v="2"/>
    <m/>
    <x v="0"/>
    <s v="A     - Avere"/>
    <n v="152155.66"/>
    <n v="152155.66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26"/>
    <s v="95"/>
    <s v="Versamento giornaliero di importo elevato per la causale ed il soggetto"/>
    <d v="2025-05-29T00:00:00"/>
    <n v="53850"/>
    <n v="108"/>
    <s v="053850_108"/>
    <s v="Discovery Day"/>
    <s v="Mai valutato"/>
    <m/>
    <s v="Vari (28/05/2025)"/>
    <n v="1083300011180"/>
    <n v="20250528"/>
    <x v="0"/>
    <m/>
    <x v="0"/>
    <s v="A     - Avere"/>
    <n v="128808.06"/>
    <n v="120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s v="ARCHIVIATA DA RPR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24"/>
    <s v="95"/>
    <s v="Versamento giornaliero di importo elevato per la causale ed il soggetto"/>
    <d v="2025-05-29T00:00:00"/>
    <n v="53850"/>
    <n v="118"/>
    <s v="053850_118"/>
    <s v="Discovery Day"/>
    <s v="Mai valutato"/>
    <m/>
    <n v="202505288020196"/>
    <n v="1183302007820"/>
    <n v="20250528"/>
    <x v="3"/>
    <m/>
    <x v="0"/>
    <s v="A     - Avere"/>
    <n v="107500"/>
    <n v="0"/>
    <n v="200782"/>
    <s v="SQCGCM49T18A225Y"/>
    <s v="SQUICCIARINI GIACOMO"/>
    <s v="600 - Famiglie consumatrici"/>
    <m/>
    <s v="086 - ITALIA"/>
    <n v="724"/>
    <m/>
    <m/>
    <m/>
    <m/>
    <m/>
    <m/>
    <m/>
    <n v="0"/>
    <n v="202505"/>
    <s v="ARCHIVIATA DA RPR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14"/>
    <s v="95"/>
    <s v="Versamento giornaliero di importo elevato per la causale ed il soggetto"/>
    <d v="2025-05-29T00:00:00"/>
    <n v="53850"/>
    <n v="171"/>
    <s v="053850_171"/>
    <s v="Discovery Day"/>
    <s v="Mai valutato"/>
    <m/>
    <s v="Vari (28/05/2025)"/>
    <n v="1713305728950"/>
    <n v="20250528"/>
    <x v="2"/>
    <m/>
    <x v="0"/>
    <s v="A     - Avere"/>
    <n v="382821.7"/>
    <n v="382821.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412"/>
    <s v="95"/>
    <s v="Versamento giornaliero di importo elevato per la causale ed il soggetto"/>
    <d v="2025-05-29T00:00:00"/>
    <n v="53850"/>
    <n v="116"/>
    <s v="053850_116"/>
    <s v="Discovery Day"/>
    <s v="Mai valutato"/>
    <m/>
    <n v="202505288019941"/>
    <n v="2343300010453"/>
    <n v="20250528"/>
    <x v="2"/>
    <m/>
    <x v="0"/>
    <s v="A     - Avere"/>
    <n v="150161.29999999999"/>
    <n v="150161.29999999999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01"/>
    <s v="95"/>
    <s v="Versamento giornaliero di importo elevato per la causale ed il soggetto"/>
    <d v="2025-05-28T00:00:00"/>
    <n v="53850"/>
    <n v="108"/>
    <s v="053850_108"/>
    <s v="Discovery Day"/>
    <s v="Mai valutato"/>
    <m/>
    <s v="Vari (27/05/2025)"/>
    <n v="1083306291105"/>
    <n v="20250527"/>
    <x v="0"/>
    <m/>
    <x v="0"/>
    <s v="A     - Avere"/>
    <n v="146073.12"/>
    <n v="117952.0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1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95"/>
    <s v="95"/>
    <s v="Versamento giornaliero di importo elevato per la causale ed il soggetto"/>
    <d v="2025-05-28T00:00:00"/>
    <n v="53850"/>
    <n v="109"/>
    <s v="053850_109"/>
    <s v="Discovery Day"/>
    <s v="Mai valutato"/>
    <m/>
    <n v="202505278017110"/>
    <n v="2263300011992"/>
    <n v="20250527"/>
    <x v="3"/>
    <m/>
    <x v="0"/>
    <s v="A     - Avere"/>
    <n v="68166.679999999993"/>
    <n v="0"/>
    <n v="4847196"/>
    <s v="MNNPQL67E25A662Z"/>
    <s v="MININNI JANNUZZI PASQUALE"/>
    <s v="615 - Altre famiglie produttrici"/>
    <s v="477 - COMMERCIO AL DETTAGLIO DI ALTRI PRODOTTI IN ESERCIZI SPECIALIZZATI"/>
    <s v="086 - ITALIA"/>
    <n v="746"/>
    <m/>
    <m/>
    <m/>
    <m/>
    <m/>
    <m/>
    <m/>
    <n v="0"/>
    <n v="202505"/>
    <s v="ARCHIVIATA"/>
    <x v="1"/>
    <n v="1"/>
    <m/>
    <m/>
    <n v="0"/>
    <n v="477"/>
    <n v="615"/>
    <n v="615477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93"/>
    <s v="95"/>
    <s v="Versamento giornaliero di importo elevato per la causale ed il soggetto"/>
    <d v="2025-05-28T00:00:00"/>
    <n v="53850"/>
    <n v="141"/>
    <s v="053850_141"/>
    <s v="Discovery Day"/>
    <s v="Mai valutato"/>
    <m/>
    <s v="Vari (27/05/2025)"/>
    <n v="1413300004393"/>
    <n v="20250527"/>
    <x v="0"/>
    <m/>
    <x v="0"/>
    <s v="A     - Avere"/>
    <n v="101703.51"/>
    <n v="15615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s v="086 - ITALIA"/>
    <n v="862"/>
    <m/>
    <m/>
    <m/>
    <m/>
    <m/>
    <m/>
    <m/>
    <n v="0"/>
    <n v="202505"/>
    <s v="IN VALUTAZIONE RPR"/>
    <x v="0"/>
    <n v="1"/>
    <n v="3743595"/>
    <n v="1"/>
    <n v="1"/>
    <n v="999"/>
    <n v="501"/>
    <n v="501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92"/>
    <s v="95"/>
    <s v="Versamento giornaliero di importo elevato per la causale ed il soggetto"/>
    <d v="2025-05-28T00:00:00"/>
    <n v="53850"/>
    <n v="171"/>
    <s v="053850_171"/>
    <s v="Discovery Day"/>
    <s v="Mai valutato"/>
    <m/>
    <s v="Vari (27/05/2025)"/>
    <n v="1713305728950"/>
    <n v="20250527"/>
    <x v="2"/>
    <m/>
    <x v="0"/>
    <s v="A     - Avere"/>
    <n v="189945"/>
    <n v="18994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385"/>
    <s v="95"/>
    <s v="Versamento giornaliero di importo elevato per la causale ed il soggetto"/>
    <d v="2025-05-28T00:00:00"/>
    <n v="53850"/>
    <n v="175"/>
    <s v="053850_175"/>
    <s v="Discovery Day"/>
    <s v="Mai valutato"/>
    <m/>
    <s v="Vari (27/05/2025)"/>
    <n v="1753302203350"/>
    <n v="20250527"/>
    <x v="0"/>
    <m/>
    <x v="0"/>
    <s v="A     - Avere"/>
    <n v="221700"/>
    <n v="0"/>
    <n v="4844007"/>
    <n v="1296320771"/>
    <s v="STELLA COSTRUZIONI S.R.L."/>
    <s v="430 - Imprese produttive"/>
    <s v="412 - COSTRUZIONE DI EDIFICI RESIDENZIALI E NON RESIDENZIALI"/>
    <s v="086 - ITALIA"/>
    <n v="936"/>
    <m/>
    <m/>
    <m/>
    <m/>
    <m/>
    <m/>
    <m/>
    <n v="0"/>
    <n v="202505"/>
    <s v="IN VALUTAZIONE RPR"/>
    <x v="0"/>
    <n v="1"/>
    <m/>
    <m/>
    <n v="1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378"/>
    <s v="95"/>
    <s v="Versamento giornaliero di importo elevato per la causale ed il soggetto"/>
    <d v="2025-05-28T00:00:00"/>
    <n v="53850"/>
    <n v="270"/>
    <s v="053850_270"/>
    <s v="Discovery Day"/>
    <s v="Mai valutato"/>
    <m/>
    <n v="202505278017437"/>
    <n v="2703300000994"/>
    <n v="20250527"/>
    <x v="3"/>
    <m/>
    <x v="0"/>
    <s v="A     - Avere"/>
    <n v="164600"/>
    <n v="0"/>
    <n v="1625788"/>
    <s v="DGRLNS95R13C349Q"/>
    <s v="DI GREGORIO ALFONSO JUNIOR OSCAR"/>
    <s v="600 - Famiglie consumatrici"/>
    <m/>
    <s v="086 - ITALIA"/>
    <n v="1822"/>
    <m/>
    <m/>
    <m/>
    <m/>
    <m/>
    <m/>
    <m/>
    <n v="0"/>
    <n v="202505"/>
    <s v="IN CARICO AL GESTORE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377"/>
    <s v="95"/>
    <s v="Versamento giornaliero di importo elevato per la causale ed il soggetto"/>
    <d v="2025-05-28T00:00:00"/>
    <n v="53850"/>
    <n v="103"/>
    <s v="053850_103"/>
    <s v="Discovery Day"/>
    <s v="Mai valutato"/>
    <m/>
    <s v="Vari (27/05/2025)"/>
    <n v="1033306979706"/>
    <n v="20250527"/>
    <x v="0"/>
    <m/>
    <x v="0"/>
    <s v="A     - Avere"/>
    <n v="157000"/>
    <n v="0"/>
    <n v="4963589"/>
    <n v="8530200727"/>
    <s v="P.L.P. COSTRUZIONI S.R.L."/>
    <s v="430 - Imprese produttive"/>
    <s v="412 - COSTRUZIONE DI EDIFICI RESIDENZIALI E NON RESIDENZIALI"/>
    <s v="086 - ITALIA"/>
    <n v="1175"/>
    <m/>
    <m/>
    <m/>
    <m/>
    <m/>
    <m/>
    <m/>
    <n v="0"/>
    <n v="202505"/>
    <s v="IN VALUTAZIONE RPR"/>
    <x v="0"/>
    <n v="1"/>
    <m/>
    <m/>
    <n v="1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58"/>
    <s v="95"/>
    <s v="Versamento giornaliero di importo elevato per la causale ed il soggetto"/>
    <d v="2025-05-27T00:00:00"/>
    <n v="53850"/>
    <n v="116"/>
    <s v="053850_116"/>
    <s v="Discovery Day"/>
    <s v="Mai valutato"/>
    <m/>
    <s v="Vari (26/05/2025)"/>
    <n v="1163307623465"/>
    <n v="20250526"/>
    <x v="1"/>
    <m/>
    <x v="0"/>
    <s v="A     - Avere"/>
    <n v="100000"/>
    <n v="0"/>
    <n v="3738297"/>
    <n v="8684570727"/>
    <s v="NOVAGORA' S.R.L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51"/>
    <s v="95"/>
    <s v="Versamento giornaliero di importo elevato per la causale ed il soggetto"/>
    <d v="2025-05-27T00:00:00"/>
    <n v="53850"/>
    <n v="103"/>
    <s v="053850_103"/>
    <s v="Discovery Day"/>
    <s v="Mai valutato"/>
    <m/>
    <n v="202505268013775"/>
    <n v="1033306986134"/>
    <n v="20250526"/>
    <x v="5"/>
    <m/>
    <x v="0"/>
    <s v="A     - Avere"/>
    <n v="251379.54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5"/>
    <s v="IN CARICO AL GESTORE"/>
    <x v="0"/>
    <n v="1"/>
    <m/>
    <m/>
    <n v="0"/>
    <n v="477"/>
    <n v="615"/>
    <n v="615477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42"/>
    <s v="95"/>
    <s v="Versamento giornaliero di importo elevato per la causale ed il soggetto"/>
    <d v="2025-05-27T00:00:00"/>
    <n v="53850"/>
    <n v="128"/>
    <s v="053850_128"/>
    <s v="Discovery Day"/>
    <s v="Mai valutato"/>
    <m/>
    <s v="Vari (26/05/2025)"/>
    <n v="1093306674353"/>
    <n v="20250526"/>
    <x v="0"/>
    <m/>
    <x v="0"/>
    <s v="A     - Avere"/>
    <n v="139000"/>
    <n v="12500"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5"/>
    <s v="ARCHIVIATA"/>
    <x v="1"/>
    <n v="1"/>
    <n v="4916449"/>
    <n v="1"/>
    <n v="1"/>
    <n v="451"/>
    <n v="430"/>
    <n v="430451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339"/>
    <s v="95"/>
    <s v="Versamento giornaliero di importo elevato per la causale ed il soggetto"/>
    <d v="2025-05-27T00:00:00"/>
    <n v="53850"/>
    <n v="104"/>
    <s v="053850_104"/>
    <s v="Discovery Day"/>
    <s v="Mai valutato"/>
    <m/>
    <s v="Vari (26/05/2025)"/>
    <n v="1043309505529"/>
    <n v="20250526"/>
    <x v="0"/>
    <m/>
    <x v="0"/>
    <s v="A     - Avere"/>
    <n v="115125"/>
    <n v="65125"/>
    <n v="4222821"/>
    <n v="6131230721"/>
    <s v="LA SFORNATA S.R.L."/>
    <s v="430 - Imprese produttive"/>
    <s v="107 - PRODUZIONE DI PRODOTTI DA FORNO E FARINACEI"/>
    <s v="086 - ITALIA"/>
    <n v="727"/>
    <m/>
    <m/>
    <m/>
    <m/>
    <m/>
    <m/>
    <m/>
    <n v="0"/>
    <n v="202505"/>
    <s v="ARCHIVIATA DA RPR"/>
    <x v="1"/>
    <n v="1"/>
    <n v="4222821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36"/>
    <s v="95"/>
    <s v="Versamento giornaliero di importo elevato per la causale ed il soggetto"/>
    <d v="2025-05-27T00:00:00"/>
    <n v="53850"/>
    <n v="161"/>
    <s v="053850_161"/>
    <s v="Discovery Day"/>
    <s v="Mai valutato"/>
    <m/>
    <s v="Vari (26/05/2025)"/>
    <n v="1613300029653"/>
    <n v="20250526"/>
    <x v="0"/>
    <m/>
    <x v="0"/>
    <s v="A     - Avere"/>
    <n v="110891.36"/>
    <n v="52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334"/>
    <s v="95"/>
    <s v="Versamento giornaliero di importo elevato per la causale ed il soggetto"/>
    <d v="2025-05-27T00:00:00"/>
    <n v="53850"/>
    <n v="116"/>
    <s v="053850_116"/>
    <s v="Discovery Day"/>
    <s v="Mai valutato"/>
    <m/>
    <n v="202505268013600"/>
    <n v="2343300010453"/>
    <n v="20250526"/>
    <x v="2"/>
    <m/>
    <x v="0"/>
    <s v="A     - Avere"/>
    <n v="166465.5"/>
    <n v="166465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333"/>
    <s v="95"/>
    <s v="Versamento giornaliero di importo elevato per la causale ed il soggetto"/>
    <d v="2025-05-27T00:00:00"/>
    <n v="53850"/>
    <n v="267"/>
    <s v="053850_267"/>
    <s v="Discovery Day"/>
    <s v="Mai valutato"/>
    <m/>
    <s v="Vari (26/05/2025)"/>
    <n v="2673300003600"/>
    <n v="20250526"/>
    <x v="0"/>
    <m/>
    <x v="0"/>
    <s v="A     - Avere"/>
    <n v="98000"/>
    <n v="97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5"/>
    <s v="ARCHIVIATA"/>
    <x v="1"/>
    <n v="1"/>
    <n v="1705101"/>
    <n v="1"/>
    <n v="1"/>
    <n v="999"/>
    <n v="492"/>
    <n v="492999"/>
    <m/>
    <n v="1"/>
    <x v="4"/>
    <n v="98000"/>
    <n v="98368.7"/>
    <n v="98737.4"/>
    <n v="99106.1"/>
    <n v="99955"/>
    <n v="101044"/>
    <n v="102133"/>
    <n v="103273.1"/>
    <n v="104515.4"/>
    <n v="105757.7"/>
    <n v="107000"/>
    <n v="109400"/>
    <n v="111800"/>
    <n v="114200"/>
    <n v="118800"/>
    <n v="124500"/>
    <n v="130200"/>
    <n v="151054.99999999991"/>
    <n v="202220.00000000009"/>
    <n v="253384.99999999991"/>
    <n v="3045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30"/>
    <s v="95"/>
    <s v="Versamento giornaliero di importo elevato per la causale ed il soggetto"/>
    <d v="2025-05-27T00:00:00"/>
    <n v="53850"/>
    <n v="204"/>
    <s v="053850_204"/>
    <s v="Discovery Day"/>
    <s v="Mai valutato"/>
    <m/>
    <n v="202505268014195"/>
    <n v="2043300012892"/>
    <n v="20250526"/>
    <x v="3"/>
    <m/>
    <x v="0"/>
    <s v="A     - Avere"/>
    <n v="115000"/>
    <n v="0"/>
    <n v="4224840"/>
    <s v="DFBVCN54A21F498J"/>
    <s v="DI FABIO VINCENZO"/>
    <s v="600 - Famiglie consumatrici"/>
    <m/>
    <s v="086 - ITALIA"/>
    <n v="1843"/>
    <m/>
    <m/>
    <m/>
    <m/>
    <m/>
    <m/>
    <m/>
    <n v="0"/>
    <n v="202505"/>
    <s v="ARCHIVIATA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9"/>
    <s v="95"/>
    <s v="Versamento giornaliero di importo elevato per la causale ed il soggetto"/>
    <d v="2025-05-27T00:00:00"/>
    <n v="53850"/>
    <n v="175"/>
    <s v="053850_175"/>
    <s v="Discovery Day"/>
    <s v="Mai valutato"/>
    <m/>
    <s v="Vari (26/05/2025)"/>
    <n v="1753302203127"/>
    <n v="20250526"/>
    <x v="0"/>
    <m/>
    <x v="0"/>
    <s v="A     - Avere"/>
    <n v="107794.45"/>
    <n v="23340"/>
    <n v="4160138"/>
    <n v="484200779"/>
    <s v="DE.RA.DO. SRL"/>
    <s v="430 - Imprese produttive"/>
    <s v="031 - PESCA"/>
    <s v="086 - ITALIA"/>
    <n v="739"/>
    <m/>
    <m/>
    <m/>
    <m/>
    <m/>
    <m/>
    <m/>
    <n v="0"/>
    <n v="202505"/>
    <s v="IN VALUTAZIONE RPR"/>
    <x v="0"/>
    <n v="1"/>
    <n v="4160138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06"/>
    <s v="95"/>
    <s v="Versamento giornaliero di importo elevato per la causale ed il soggetto"/>
    <d v="2025-05-24T00:00:00"/>
    <n v="53850"/>
    <n v="171"/>
    <s v="053850_171"/>
    <s v="Discovery Day"/>
    <s v="Mai valutato"/>
    <m/>
    <s v="Vari (23/05/2025)"/>
    <n v="1713305728950"/>
    <n v="20250523"/>
    <x v="2"/>
    <m/>
    <x v="0"/>
    <s v="A     - Avere"/>
    <n v="407100.71"/>
    <n v="407100.71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301"/>
    <s v="95"/>
    <s v="Versamento giornaliero di importo elevato per la causale ed il soggetto"/>
    <d v="2025-05-24T00:00:00"/>
    <n v="53850"/>
    <n v="171"/>
    <s v="053850_171"/>
    <s v="Discovery Day"/>
    <s v="Mai valutato"/>
    <m/>
    <s v="Vari (23/05/2025)"/>
    <n v="1713302214147"/>
    <n v="20250523"/>
    <x v="2"/>
    <m/>
    <x v="0"/>
    <s v="A     - Avere"/>
    <n v="136923.22"/>
    <n v="136923.22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291"/>
    <s v="95"/>
    <s v="Versamento giornaliero di importo elevato per la causale ed il soggetto"/>
    <d v="2025-05-24T00:00:00"/>
    <n v="53850"/>
    <n v="121"/>
    <s v="053850_121"/>
    <s v="Discovery Day"/>
    <s v="Mai valutato"/>
    <m/>
    <n v="202505238006602"/>
    <n v="1213300002971"/>
    <n v="20250523"/>
    <x v="1"/>
    <m/>
    <x v="0"/>
    <s v="A     - Avere"/>
    <n v="219000"/>
    <n v="0"/>
    <n v="4859756"/>
    <n v="7229510727"/>
    <s v="ORGANIZZAZIONE DI PRODUTTORI PUGLIAVIVA - SO"/>
    <s v="430 - Imprese produttive"/>
    <s v="016 - ATTIVITÀ DI SUPPORTO ALL'AGRICOLTURA E ATTIVITÀ SUCCESSIVE ALLA RACCOLTA"/>
    <s v="086 - ITALIA"/>
    <n v="1058"/>
    <m/>
    <m/>
    <m/>
    <m/>
    <m/>
    <m/>
    <m/>
    <n v="0"/>
    <n v="202505"/>
    <s v="ARCHIVIATA DA RPR"/>
    <x v="1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89"/>
    <s v="95"/>
    <s v="Versamento giornaliero di importo elevato per la causale ed il soggetto"/>
    <d v="2025-05-24T00:00:00"/>
    <n v="53850"/>
    <n v="109"/>
    <s v="053850_109"/>
    <s v="Discovery Day"/>
    <s v="Mai valutato"/>
    <m/>
    <n v="202505238006556"/>
    <n v="1093306669450"/>
    <n v="20250523"/>
    <x v="3"/>
    <m/>
    <x v="0"/>
    <s v="A     - Avere"/>
    <n v="130000"/>
    <n v="0"/>
    <n v="4139883"/>
    <n v="5699390729"/>
    <s v="COGNETTI S.A.S. DI FUSCO TERESA"/>
    <s v="492 - Quasi societa' non finanziarie altre - Unita' o societa' con meno di 20 addetti"/>
    <s v="561 - RISTORANTI E ATTIVITÀ DI RISTORAZIONE MOBILE"/>
    <s v="086 - ITALIA"/>
    <n v="502"/>
    <m/>
    <m/>
    <m/>
    <m/>
    <m/>
    <m/>
    <m/>
    <n v="0"/>
    <n v="202505"/>
    <s v="ARCHIVIATA"/>
    <x v="1"/>
    <n v="1"/>
    <n v="4139883"/>
    <n v="1"/>
    <n v="0"/>
    <n v="561"/>
    <n v="492"/>
    <n v="492561"/>
    <s v="Classe di rischio 1"/>
    <m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84"/>
    <s v="95"/>
    <s v="Versamento giornaliero di importo elevato per la causale ed il soggetto"/>
    <d v="2025-05-24T00:00:00"/>
    <n v="53850"/>
    <n v="171"/>
    <s v="053850_171"/>
    <s v="Discovery Day"/>
    <s v="Mai valutato"/>
    <m/>
    <n v="202505238006731"/>
    <n v="1713302217289"/>
    <n v="20250523"/>
    <x v="3"/>
    <m/>
    <x v="0"/>
    <s v="A     - Avere"/>
    <n v="416591"/>
    <n v="0"/>
    <n v="435630"/>
    <s v="TRNDMN49R07A893H"/>
    <s v="TARANTINO DAMIANO"/>
    <s v="600 - Famiglie consumatrici"/>
    <m/>
    <s v="086 - ITALIA"/>
    <n v="815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78"/>
    <s v="95"/>
    <s v="Versamento giornaliero di importo elevato per la causale ed il soggetto"/>
    <d v="2025-05-24T00:00:00"/>
    <n v="53850"/>
    <n v="128"/>
    <s v="053850_128"/>
    <s v="Discovery Day"/>
    <s v="Mai valutato"/>
    <m/>
    <s v="Vari (23/05/2025)"/>
    <n v="1093306674353"/>
    <n v="20250523"/>
    <x v="0"/>
    <m/>
    <x v="0"/>
    <s v="A     - Avere"/>
    <n v="102870"/>
    <n v="20000"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5"/>
    <s v="ARCHIVIATA"/>
    <x v="1"/>
    <n v="1"/>
    <n v="4916449"/>
    <n v="1"/>
    <n v="1"/>
    <n v="451"/>
    <n v="430"/>
    <n v="430451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260"/>
    <s v="95"/>
    <s v="Versamento giornaliero di importo elevato per la causale ed il soggetto"/>
    <d v="2025-05-23T00:00:00"/>
    <n v="53850"/>
    <n v="106"/>
    <s v="053850_106"/>
    <s v="Discovery Day"/>
    <s v="Mai valutato"/>
    <m/>
    <n v="202505228003468"/>
    <n v="1063302769017"/>
    <n v="20250522"/>
    <x v="3"/>
    <m/>
    <x v="0"/>
    <s v="A     - Avere"/>
    <n v="200000"/>
    <n v="0"/>
    <n v="4178244"/>
    <n v="5966130725"/>
    <s v="S.A.P. COSTRUZIONI SRL"/>
    <s v="430 - Imprese produttive"/>
    <s v="412 - COSTRUZIONE DI EDIFICI RESIDENZIALI E NON RESIDENZIALI"/>
    <s v="086 - ITALIA"/>
    <n v="727"/>
    <m/>
    <m/>
    <m/>
    <m/>
    <m/>
    <m/>
    <m/>
    <n v="0"/>
    <n v="202505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243"/>
    <s v="95"/>
    <s v="Versamento giornaliero di importo elevato per la causale ed il soggetto"/>
    <d v="2025-05-23T00:00:00"/>
    <n v="53850"/>
    <n v="102"/>
    <s v="053850_102"/>
    <s v="Discovery Day"/>
    <s v="Mai valutato"/>
    <m/>
    <s v="Vari (22/05/2025)"/>
    <n v="1023308722503"/>
    <n v="20250522"/>
    <x v="2"/>
    <m/>
    <x v="0"/>
    <s v="A     - Avere"/>
    <n v="70570"/>
    <n v="705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1"/>
    <n v="1"/>
    <n v="413650"/>
    <n v="1"/>
    <n v="0"/>
    <n v="920"/>
    <n v="492"/>
    <n v="492920"/>
    <s v="Classe di rischio 5"/>
    <m/>
    <x v="5"/>
    <n v="55650"/>
    <n v="56502"/>
    <n v="57354"/>
    <n v="58206"/>
    <n v="59098"/>
    <n v="60010"/>
    <n v="60922"/>
    <n v="61827"/>
    <n v="62718"/>
    <n v="63609"/>
    <n v="64500"/>
    <n v="66288"/>
    <n v="68076"/>
    <n v="69864"/>
    <n v="70482"/>
    <n v="70515"/>
    <n v="70548"/>
    <n v="70590"/>
    <n v="70650"/>
    <n v="70710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231"/>
    <s v="95"/>
    <s v="Versamento giornaliero di importo elevato per la causale ed il soggetto"/>
    <d v="2025-05-22T00:00:00"/>
    <n v="53850"/>
    <n v="161"/>
    <s v="053850_161"/>
    <s v="Discovery Day"/>
    <s v="Mai valutato"/>
    <m/>
    <s v="Vari (21/05/2025)"/>
    <n v="1613300029653"/>
    <n v="20250521"/>
    <x v="0"/>
    <m/>
    <x v="0"/>
    <s v="A     - Avere"/>
    <n v="104738.68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221"/>
    <s v="95"/>
    <s v="Versamento giornaliero di importo elevato per la causale ed il soggetto"/>
    <d v="2025-05-22T00:00:00"/>
    <n v="53850"/>
    <n v="108"/>
    <s v="053850_108"/>
    <s v="Discovery Day"/>
    <s v="Mai valutato"/>
    <m/>
    <n v="202505218000783"/>
    <n v="1083305068340"/>
    <n v="20250521"/>
    <x v="3"/>
    <m/>
    <x v="0"/>
    <s v="A     - Avere"/>
    <n v="100000"/>
    <n v="0"/>
    <n v="506834"/>
    <s v="RCCDNC50C23F915D"/>
    <s v="RECCHIA DOMENICO"/>
    <s v="614 - Artigiani"/>
    <s v="412 - COSTRUZIONE DI EDIFICI RESIDENZIALI E NON RESIDENZIALI"/>
    <s v="086 - ITALIA"/>
    <n v="1118"/>
    <m/>
    <m/>
    <m/>
    <m/>
    <m/>
    <m/>
    <m/>
    <n v="0"/>
    <n v="202505"/>
    <s v="IN VALUTAZIONE RPR"/>
    <x v="0"/>
    <n v="1"/>
    <m/>
    <m/>
    <n v="0"/>
    <n v="999"/>
    <n v="614"/>
    <n v="614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220"/>
    <s v="95"/>
    <s v="Versamento giornaliero di importo elevato per la causale ed il soggetto"/>
    <d v="2025-05-22T00:00:00"/>
    <n v="53850"/>
    <n v="171"/>
    <s v="053850_171"/>
    <s v="Discovery Day"/>
    <s v="Mai valutato"/>
    <m/>
    <s v="Vari (21/05/2025)"/>
    <n v="1713305728950"/>
    <n v="20250521"/>
    <x v="2"/>
    <m/>
    <x v="0"/>
    <s v="A     - Avere"/>
    <n v="411980.15"/>
    <n v="411980.1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18"/>
    <s v="95"/>
    <s v="Versamento giornaliero di importo elevato per la causale ed il soggetto"/>
    <d v="2025-05-22T00:00:00"/>
    <n v="53850"/>
    <n v="116"/>
    <s v="053850_116"/>
    <s v="Discovery Day"/>
    <s v="Mai valutato"/>
    <m/>
    <n v="202505218000628"/>
    <n v="2343300010453"/>
    <n v="20250521"/>
    <x v="2"/>
    <m/>
    <x v="0"/>
    <s v="A     - Avere"/>
    <n v="153410.79999999999"/>
    <n v="153410.79999999999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216"/>
    <s v="95"/>
    <s v="Versamento giornaliero di importo elevato per la causale ed il soggetto"/>
    <d v="2025-05-22T00:00:00"/>
    <n v="53850"/>
    <n v="171"/>
    <s v="053850_171"/>
    <s v="Discovery Day"/>
    <s v="Mai valutato"/>
    <m/>
    <s v="Vari (21/05/2025)"/>
    <n v="1713302214147"/>
    <n v="20250521"/>
    <x v="2"/>
    <m/>
    <x v="0"/>
    <s v="A     - Avere"/>
    <n v="178460"/>
    <n v="17846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199"/>
    <s v="95"/>
    <s v="Versamento giornaliero di importo elevato per la causale ed il soggetto"/>
    <d v="2025-05-21T00:00:00"/>
    <n v="53850"/>
    <n v="131"/>
    <s v="053850_131"/>
    <s v="Discovery Day"/>
    <s v="Mai valutato"/>
    <m/>
    <n v="202505207997996"/>
    <n v="1313300001281"/>
    <n v="20250520"/>
    <x v="3"/>
    <m/>
    <x v="0"/>
    <s v="A     - Avere"/>
    <n v="130000"/>
    <n v="0"/>
    <n v="4053158"/>
    <s v="DNLLBT66S58Z133Q"/>
    <s v="DINELLA ELISABETTA"/>
    <s v="600 - Famiglie consumatrici"/>
    <m/>
    <s v="086 - ITALIA"/>
    <n v="826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95"/>
    <s v="95"/>
    <s v="Versamento giornaliero di importo elevato per la causale ed il soggetto"/>
    <d v="2025-05-21T00:00:00"/>
    <n v="53850"/>
    <n v="108"/>
    <s v="053850_108"/>
    <s v="Discovery Day"/>
    <s v="Mai valutato"/>
    <m/>
    <s v="Vari (20/05/2025)"/>
    <n v="1083306291105"/>
    <n v="20250520"/>
    <x v="0"/>
    <m/>
    <x v="0"/>
    <s v="A     - Avere"/>
    <n v="147771.42000000001"/>
    <n v="139798.04999999999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1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189"/>
    <s v="95"/>
    <s v="Versamento giornaliero di importo elevato per la causale ed il soggetto"/>
    <d v="2025-05-21T00:00:00"/>
    <n v="53850"/>
    <n v="120"/>
    <s v="053850_120"/>
    <s v="Discovery Day"/>
    <s v="Mai valutato"/>
    <m/>
    <n v="202505207997972"/>
    <n v="1203300004095"/>
    <n v="20250520"/>
    <x v="3"/>
    <m/>
    <x v="0"/>
    <s v="A     - Avere"/>
    <n v="150000"/>
    <n v="0"/>
    <n v="3734272"/>
    <s v="CCCCTA05S59A048S"/>
    <s v="CACCIOPPOLI CATIA"/>
    <s v="600 - Famiglie consumatrici"/>
    <m/>
    <s v="086 - ITALIA"/>
    <m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186"/>
    <s v="95"/>
    <s v="Versamento giornaliero di importo elevato per la causale ed il soggetto"/>
    <d v="2025-05-21T00:00:00"/>
    <n v="53850"/>
    <n v="120"/>
    <s v="053850_120"/>
    <s v="Discovery Day"/>
    <s v="Mai valutato"/>
    <m/>
    <n v="202505207997972"/>
    <n v="1203300004095"/>
    <n v="20250520"/>
    <x v="3"/>
    <m/>
    <x v="0"/>
    <s v="A     - Avere"/>
    <n v="150000"/>
    <n v="0"/>
    <n v="4890472"/>
    <s v="SPNMRZ69T41A048C"/>
    <s v="SAPONE MARZIA"/>
    <s v="600 - Famiglie consumatrici"/>
    <m/>
    <s v="086 - ITALIA"/>
    <n v="1640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182"/>
    <s v="95"/>
    <s v="Versamento giornaliero di importo elevato per la causale ed il soggetto"/>
    <d v="2025-05-21T00:00:00"/>
    <n v="53850"/>
    <n v="108"/>
    <s v="053850_108"/>
    <s v="Discovery Day"/>
    <s v="Mai valutato"/>
    <m/>
    <n v="202505207997906"/>
    <n v="1083300011180"/>
    <n v="20250520"/>
    <x v="1"/>
    <m/>
    <x v="0"/>
    <s v="A     - Avere"/>
    <n v="122693.54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s v="ARCHIVIATA DA RPR"/>
    <x v="1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81"/>
    <s v="95"/>
    <s v="Versamento giornaliero di importo elevato per la causale ed il soggetto"/>
    <d v="2025-05-21T00:00:00"/>
    <n v="53850"/>
    <n v="171"/>
    <s v="053850_171"/>
    <s v="Discovery Day"/>
    <s v="Mai valutato"/>
    <m/>
    <s v="Vari (20/05/2025)"/>
    <n v="1713305728950"/>
    <n v="20250520"/>
    <x v="2"/>
    <m/>
    <x v="0"/>
    <s v="A     - Avere"/>
    <n v="188863.68"/>
    <n v="188863.68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177"/>
    <s v="95"/>
    <s v="Versamento giornaliero di importo elevato per la causale ed il soggetto"/>
    <d v="2025-05-21T00:00:00"/>
    <n v="53850"/>
    <n v="131"/>
    <s v="053850_131"/>
    <s v="Discovery Day"/>
    <s v="Mai valutato"/>
    <m/>
    <n v="202505207997996"/>
    <n v="1313300001281"/>
    <n v="20250520"/>
    <x v="3"/>
    <m/>
    <x v="0"/>
    <s v="A     - Avere"/>
    <n v="130000"/>
    <n v="0"/>
    <n v="4053792"/>
    <s v="TLSPRN65M05A482Q"/>
    <s v="TELESCA PIETRO ANTONIO"/>
    <s v="600 - Famiglie consumatrici"/>
    <m/>
    <s v="086 - ITALIA"/>
    <n v="826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67"/>
    <s v="95"/>
    <s v="Versamento giornaliero di importo elevato per la causale ed il soggetto"/>
    <d v="2025-05-20T00:00:00"/>
    <n v="53850"/>
    <n v="102"/>
    <s v="053850_102"/>
    <s v="Discovery Day"/>
    <s v="Mai valutato"/>
    <m/>
    <n v="202505197994721"/>
    <n v="1033306969732"/>
    <n v="20250519"/>
    <x v="6"/>
    <m/>
    <x v="0"/>
    <s v="A     - Avere"/>
    <n v="125000"/>
    <n v="0"/>
    <n v="461958"/>
    <s v="MRMFNC67T15E155W"/>
    <s v="MORAMARCO FRANCESCO"/>
    <s v="600 - Famiglie consumatrici"/>
    <m/>
    <s v="086 - ITALIA"/>
    <n v="1912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164"/>
    <s v="95"/>
    <s v="Versamento giornaliero di importo elevato per la causale ed il soggetto"/>
    <d v="2025-05-20T00:00:00"/>
    <n v="53850"/>
    <n v="116"/>
    <s v="053850_116"/>
    <s v="Discovery Day"/>
    <s v="Mai valutato"/>
    <m/>
    <n v="202505197994592"/>
    <n v="2343300010453"/>
    <n v="20250519"/>
    <x v="2"/>
    <m/>
    <x v="0"/>
    <s v="A     - Avere"/>
    <n v="154339.85"/>
    <n v="154339.8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161"/>
    <s v="95"/>
    <s v="Versamento giornaliero di importo elevato per la causale ed il soggetto"/>
    <d v="2025-05-20T00:00:00"/>
    <n v="53850"/>
    <n v="102"/>
    <s v="053850_102"/>
    <s v="Discovery Day"/>
    <s v="Mai valutato"/>
    <m/>
    <n v="202505197994695"/>
    <n v="1023308725968"/>
    <n v="20250519"/>
    <x v="4"/>
    <m/>
    <x v="0"/>
    <s v="A     - Avere"/>
    <n v="230000"/>
    <n v="0"/>
    <n v="171922"/>
    <s v="NZZMDL53D45A225C"/>
    <s v="NUZZOLESE MADDALENA"/>
    <s v="600 - Famiglie consumatrici"/>
    <m/>
    <s v="086 - ITALIA"/>
    <n v="1648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158"/>
    <s v="95"/>
    <s v="Versamento giornaliero di importo elevato per la causale ed il soggetto"/>
    <d v="2025-05-20T00:00:00"/>
    <n v="53850"/>
    <n v="196"/>
    <s v="053850_196"/>
    <s v="Discovery Day"/>
    <s v="Mai valutato"/>
    <m/>
    <n v="202505197995160"/>
    <n v="1963302354823"/>
    <n v="20250519"/>
    <x v="1"/>
    <m/>
    <x v="0"/>
    <s v="A     - Avere"/>
    <n v="170000"/>
    <n v="0"/>
    <n v="4988260"/>
    <s v="DMDPTR85R24B619X"/>
    <s v="DI MODUGNO PIETRO"/>
    <s v="615 - Altre famiglie produttrici"/>
    <s v="012 - COLTIVAZIONE DI COLTURE PERMANENTI"/>
    <s v="086 - ITALIA"/>
    <n v="1453"/>
    <m/>
    <m/>
    <m/>
    <m/>
    <m/>
    <m/>
    <m/>
    <n v="0"/>
    <n v="202505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150"/>
    <s v="95"/>
    <s v="Versamento giornaliero di importo elevato per la causale ed il soggetto"/>
    <d v="2025-05-20T00:00:00"/>
    <n v="53850"/>
    <n v="167"/>
    <s v="053850_167"/>
    <s v="Discovery Day"/>
    <s v="Mai valutato"/>
    <m/>
    <n v="202505197995026"/>
    <n v="1033306971144"/>
    <n v="20250519"/>
    <x v="1"/>
    <m/>
    <x v="0"/>
    <s v="A     - Avere"/>
    <n v="103913.4"/>
    <n v="0"/>
    <n v="4216641"/>
    <n v="6103450729"/>
    <s v="DAGEL MANGIMI SRL"/>
    <s v="430 - Imprese produttive"/>
    <s v="109 - PRODUZIONE DI PRODOTTI PER L'ALIMENTAZIONE DEGLI ANIMALI"/>
    <s v="086 - ITALIA"/>
    <n v="1926"/>
    <m/>
    <m/>
    <m/>
    <m/>
    <m/>
    <m/>
    <m/>
    <n v="0"/>
    <n v="202505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47"/>
    <s v="95"/>
    <s v="Versamento giornaliero di importo elevato per la causale ed il soggetto"/>
    <d v="2025-05-20T00:00:00"/>
    <n v="53850"/>
    <n v="182"/>
    <s v="053850_182"/>
    <s v="Discovery Day"/>
    <s v="Mai valutato"/>
    <m/>
    <s v="Vari (19/05/2025)"/>
    <n v="1823300169301"/>
    <n v="20250519"/>
    <x v="2"/>
    <m/>
    <x v="0"/>
    <s v="A     - Avere"/>
    <n v="39220"/>
    <n v="3922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s v="ARCHIVIATA"/>
    <x v="1"/>
    <n v="1"/>
    <n v="4284957"/>
    <n v="1"/>
    <n v="0"/>
    <n v="920"/>
    <n v="615"/>
    <n v="615920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46"/>
    <s v="95"/>
    <s v="Versamento giornaliero di importo elevato per la causale ed il soggetto"/>
    <d v="2025-05-20T00:00:00"/>
    <n v="53850"/>
    <n v="128"/>
    <s v="053850_128"/>
    <s v="Discovery Day"/>
    <s v="Mai valutato"/>
    <m/>
    <s v="Vari (19/05/2025)"/>
    <n v="1283300001665"/>
    <n v="20250519"/>
    <x v="0"/>
    <m/>
    <x v="0"/>
    <s v="A     - Avere"/>
    <n v="114563.41"/>
    <n v="745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s v="ARCHIVIATA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41"/>
    <s v="95"/>
    <s v="Versamento giornaliero di importo elevato per la causale ed il soggetto"/>
    <d v="2025-05-20T00:00:00"/>
    <n v="53850"/>
    <n v="102"/>
    <s v="053850_102"/>
    <s v="Discovery Day"/>
    <s v="Mai valutato"/>
    <m/>
    <n v="202505197994721"/>
    <n v="1033306969732"/>
    <n v="20250519"/>
    <x v="6"/>
    <m/>
    <x v="0"/>
    <s v="A     - Avere"/>
    <n v="125000"/>
    <n v="0"/>
    <n v="480103"/>
    <s v="SPNNGL66S49E155K"/>
    <s v="SPANO ANGELA"/>
    <s v="614 - Artigiani"/>
    <s v="351 - PRODUZIONE, TRASMISSIONE E DISTRIBUZIONE DI ENERGIA ELETTRICA"/>
    <s v="086 - ITALIA"/>
    <n v="1912"/>
    <m/>
    <m/>
    <m/>
    <m/>
    <m/>
    <m/>
    <m/>
    <n v="0"/>
    <n v="202505"/>
    <s v="IN VALUTAZIONE RPR"/>
    <x v="0"/>
    <n v="1"/>
    <m/>
    <m/>
    <n v="0"/>
    <n v="999"/>
    <n v="614"/>
    <n v="614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139"/>
    <s v="95"/>
    <s v="Versamento giornaliero di importo elevato per la causale ed il soggetto"/>
    <d v="2025-05-20T00:00:00"/>
    <n v="53850"/>
    <n v="108"/>
    <s v="053850_108"/>
    <s v="Discovery Day"/>
    <s v="Mai valutato"/>
    <m/>
    <n v="202505197994796"/>
    <n v="1083306291316"/>
    <n v="20250519"/>
    <x v="3"/>
    <m/>
    <x v="0"/>
    <s v="A     - Avere"/>
    <n v="105298"/>
    <n v="0"/>
    <n v="4996910"/>
    <s v="DPRRSO87M71H096A"/>
    <s v="D'APRILE ROSA"/>
    <s v="600 - Famiglie consumatrici"/>
    <m/>
    <s v="086 - ITALIA"/>
    <n v="1276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38"/>
    <s v="95"/>
    <s v="Versamento giornaliero di importo elevato per la causale ed il soggetto"/>
    <d v="2025-05-20T00:00:00"/>
    <n v="53850"/>
    <n v="102"/>
    <s v="053850_102"/>
    <s v="Discovery Day"/>
    <s v="Mai valutato"/>
    <m/>
    <n v="202505197994695"/>
    <n v="1023308725968"/>
    <n v="20250519"/>
    <x v="4"/>
    <m/>
    <x v="0"/>
    <s v="A     - Avere"/>
    <n v="230000"/>
    <n v="0"/>
    <n v="135562"/>
    <s v="LTRGNN46E05A225X"/>
    <s v="LATERZA GIOVANNI"/>
    <s v="614 - Artigiani"/>
    <s v="452 - MANUTENZIONE E RIPARAZIONE DI AUTOVEICOLI"/>
    <s v="086 - ITALIA"/>
    <m/>
    <m/>
    <m/>
    <m/>
    <m/>
    <m/>
    <m/>
    <m/>
    <n v="0"/>
    <n v="202505"/>
    <s v="IN VALUTAZIONE RPR"/>
    <x v="0"/>
    <n v="1"/>
    <m/>
    <m/>
    <n v="0"/>
    <n v="999"/>
    <n v="614"/>
    <n v="614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21"/>
    <s v="95"/>
    <s v="Versamento giornaliero di importo elevato per la causale ed il soggetto"/>
    <d v="2025-05-17T00:00:00"/>
    <n v="53850"/>
    <n v="121"/>
    <s v="053850_121"/>
    <s v="Discovery Day"/>
    <s v="Mai valutato"/>
    <m/>
    <n v="202505167986741"/>
    <n v="1213300002971"/>
    <n v="20250516"/>
    <x v="1"/>
    <m/>
    <x v="0"/>
    <s v="A     - Avere"/>
    <n v="150000"/>
    <n v="0"/>
    <n v="4859756"/>
    <n v="7229510727"/>
    <s v="ORGANIZZAZIONE DI PRODUTTORI PUGLIAVIVA - SO"/>
    <s v="430 - Imprese produttive"/>
    <s v="016 - ATTIVITÀ DI SUPPORTO ALL'AGRICOLTURA E ATTIVITÀ SUCCESSIVE ALLA RACCOLTA"/>
    <s v="086 - ITALIA"/>
    <n v="1058"/>
    <m/>
    <m/>
    <m/>
    <m/>
    <m/>
    <m/>
    <m/>
    <n v="0"/>
    <n v="202505"/>
    <s v="ARCHIVIATA DA RPR"/>
    <x v="1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14"/>
    <s v="95"/>
    <s v="Versamento giornaliero di importo elevato per la causale ed il soggetto"/>
    <d v="2025-05-17T00:00:00"/>
    <n v="53850"/>
    <n v="102"/>
    <s v="053850_102"/>
    <s v="Discovery Day"/>
    <s v="Mai valutato"/>
    <m/>
    <n v="202505167986600"/>
    <n v="1023302038620"/>
    <n v="20250516"/>
    <x v="5"/>
    <m/>
    <x v="0"/>
    <s v="A     - Avere"/>
    <n v="800000"/>
    <n v="0"/>
    <n v="42352"/>
    <s v="LDCGPP47A18A225P"/>
    <s v="LOIUDICE GIUSEPPE"/>
    <s v="615 - Altre famiglie produttrici"/>
    <s v="251 - FABBRICAZIONE DI ELEMENTI DA COSTRUZIONE IN METALLO"/>
    <s v="086 - ITALIA"/>
    <n v="580"/>
    <m/>
    <m/>
    <m/>
    <m/>
    <m/>
    <m/>
    <m/>
    <n v="0"/>
    <n v="202505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08"/>
    <s v="95"/>
    <s v="Versamento giornaliero di importo elevato per la causale ed il soggetto"/>
    <d v="2025-05-17T00:00:00"/>
    <n v="53850"/>
    <n v="171"/>
    <s v="053850_171"/>
    <s v="Discovery Day"/>
    <s v="Mai valutato"/>
    <m/>
    <s v="Vari (16/05/2025)"/>
    <n v="1713305728950"/>
    <n v="20250516"/>
    <x v="2"/>
    <m/>
    <x v="0"/>
    <s v="A     - Avere"/>
    <n v="364852.12"/>
    <n v="364852.12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099"/>
    <s v="95"/>
    <s v="Versamento giornaliero di importo elevato per la causale ed il soggetto"/>
    <d v="2025-05-17T00:00:00"/>
    <n v="53850"/>
    <n v="171"/>
    <s v="053850_171"/>
    <s v="Discovery Day"/>
    <s v="Mai valutato"/>
    <m/>
    <s v="Vari (16/05/2025)"/>
    <n v="1713302214147"/>
    <n v="20250516"/>
    <x v="2"/>
    <m/>
    <x v="0"/>
    <s v="A     - Avere"/>
    <n v="135105.82"/>
    <n v="135105.82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94"/>
    <s v="95"/>
    <s v="Versamento giornaliero di importo elevato per la causale ed il soggetto"/>
    <d v="2025-05-17T00:00:00"/>
    <n v="53850"/>
    <n v="104"/>
    <s v="053850_104"/>
    <s v="Discovery Day"/>
    <s v="Mai valutato"/>
    <m/>
    <n v="202505167986651"/>
    <n v="1043301448675"/>
    <n v="20250516"/>
    <x v="3"/>
    <m/>
    <x v="0"/>
    <s v="A     - Avere"/>
    <n v="183000"/>
    <n v="0"/>
    <n v="4139723"/>
    <s v="DBRMHL76E10C983Y"/>
    <s v="DI BARTOLOMEO MICHELE"/>
    <s v="600 - Famiglie consumatrici"/>
    <m/>
    <s v="086 - ITALIA"/>
    <n v="1422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080"/>
    <s v="95"/>
    <s v="Versamento giornaliero di importo elevato per la causale ed il soggetto"/>
    <d v="2025-05-16T00:00:00"/>
    <n v="53850"/>
    <n v="103"/>
    <s v="053850_103"/>
    <s v="Discovery Day"/>
    <s v="Mai valutato"/>
    <m/>
    <n v="202505157983016"/>
    <n v="1033306985959"/>
    <n v="20250515"/>
    <x v="4"/>
    <m/>
    <x v="0"/>
    <s v="A     - Avere"/>
    <n v="270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066"/>
    <s v="95"/>
    <s v="Versamento giornaliero di importo elevato per la causale ed il soggetto"/>
    <d v="2025-05-16T00:00:00"/>
    <n v="53850"/>
    <n v="109"/>
    <s v="053850_109"/>
    <s v="Discovery Day"/>
    <s v="Mai valutato"/>
    <m/>
    <n v="202505157983074"/>
    <n v="1093306674752"/>
    <n v="20250515"/>
    <x v="3"/>
    <m/>
    <x v="0"/>
    <s v="A     - Avere"/>
    <n v="196000"/>
    <n v="0"/>
    <n v="4945428"/>
    <s v="STRMNC69M63A662Y"/>
    <s v="STRIPPOLI MONICA"/>
    <s v="600 - Famiglie consumatrici"/>
    <m/>
    <s v="086 - ITALIA"/>
    <n v="1918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063"/>
    <s v="95"/>
    <s v="Versamento giornaliero di importo elevato per la causale ed il soggetto"/>
    <d v="2025-05-16T00:00:00"/>
    <n v="53850"/>
    <n v="153"/>
    <s v="053850_153"/>
    <s v="Discovery Day"/>
    <s v="Mai valutato"/>
    <m/>
    <n v="202505157983208"/>
    <n v="1533300662905"/>
    <n v="20250515"/>
    <x v="1"/>
    <m/>
    <x v="0"/>
    <s v="A     - Avere"/>
    <n v="92678.99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5"/>
    <s v="ARCHIVIATA"/>
    <x v="1"/>
    <n v="1"/>
    <m/>
    <m/>
    <n v="0"/>
    <n v="236"/>
    <n v="430"/>
    <n v="430236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59"/>
    <s v="95"/>
    <s v="Versamento giornaliero di importo elevato per la causale ed il soggetto"/>
    <d v="2025-05-16T00:00:00"/>
    <n v="53850"/>
    <n v="161"/>
    <s v="053850_161"/>
    <s v="Discovery Day"/>
    <s v="Mai valutato"/>
    <m/>
    <n v="202505157983234"/>
    <n v="1613300032598"/>
    <n v="20250515"/>
    <x v="1"/>
    <m/>
    <x v="0"/>
    <s v="A     - Avere"/>
    <n v="153569.38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5"/>
    <s v="IN CARICO AL RESPONSABILE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045"/>
    <s v="95"/>
    <s v="Versamento giornaliero di importo elevato per la causale ed il soggetto"/>
    <d v="2025-05-16T00:00:00"/>
    <n v="53850"/>
    <n v="161"/>
    <s v="053850_161"/>
    <s v="Discovery Day"/>
    <s v="Mai valutato"/>
    <m/>
    <s v="Vari (15/05/2025)"/>
    <n v="1613300029653"/>
    <n v="20250515"/>
    <x v="0"/>
    <m/>
    <x v="0"/>
    <s v="A     - Avere"/>
    <n v="225130.1"/>
    <n v="94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43"/>
    <s v="95"/>
    <s v="Versamento giornaliero di importo elevato per la causale ed il soggetto"/>
    <d v="2025-05-16T00:00:00"/>
    <n v="53850"/>
    <n v="128"/>
    <s v="053850_128"/>
    <s v="Discovery Day"/>
    <s v="Mai valutato"/>
    <m/>
    <s v="Vari (15/05/2025)"/>
    <n v="1283300001665"/>
    <n v="20250515"/>
    <x v="0"/>
    <m/>
    <x v="0"/>
    <s v="A     - Avere"/>
    <n v="160952.84"/>
    <n v="203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s v="ARCHIVIATA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32"/>
    <s v="95"/>
    <s v="Versamento giornaliero di importo elevato per la causale ed il soggetto"/>
    <d v="2025-05-15T00:00:00"/>
    <n v="53850"/>
    <n v="116"/>
    <s v="053850_116"/>
    <s v="Discovery Day"/>
    <s v="Mai valutato"/>
    <m/>
    <n v="202505147980033"/>
    <n v="1163307620997"/>
    <n v="20250514"/>
    <x v="3"/>
    <m/>
    <x v="0"/>
    <s v="A     - Avere"/>
    <n v="150000"/>
    <n v="0"/>
    <n v="4925993"/>
    <s v="CVLCLL97D51A662J"/>
    <s v="CAVALCANTI CAMILLA"/>
    <s v="600 - Famiglie consumatrici"/>
    <m/>
    <s v="086 - ITALIA"/>
    <n v="808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29"/>
    <s v="95"/>
    <s v="Versamento giornaliero di importo elevato per la causale ed il soggetto"/>
    <d v="2025-05-15T00:00:00"/>
    <n v="53850"/>
    <n v="116"/>
    <s v="053850_116"/>
    <s v="Discovery Day"/>
    <s v="Mai valutato"/>
    <m/>
    <n v="202505147980033"/>
    <n v="1163307620997"/>
    <n v="20250514"/>
    <x v="3"/>
    <m/>
    <x v="0"/>
    <s v="A     - Avere"/>
    <n v="150000"/>
    <n v="0"/>
    <n v="4996140"/>
    <s v="CVLRNI98S53A662Y"/>
    <s v="CAVALCANTI IRENE"/>
    <s v="600 - Famiglie consumatrici"/>
    <m/>
    <s v="086 - ITALIA"/>
    <n v="733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28"/>
    <s v="95"/>
    <s v="Versamento giornaliero di importo elevato per la causale ed il soggetto"/>
    <d v="2025-05-15T00:00:00"/>
    <n v="53850"/>
    <n v="116"/>
    <s v="053850_116"/>
    <s v="Discovery Day"/>
    <s v="Mai valutato"/>
    <m/>
    <n v="202505147980033"/>
    <n v="1163307620997"/>
    <n v="20250514"/>
    <x v="3"/>
    <m/>
    <x v="0"/>
    <s v="A     - Avere"/>
    <n v="150000"/>
    <n v="0"/>
    <n v="523257"/>
    <s v="CVLRFL62S13A662E"/>
    <s v="CAVALCANTI RAFFAELE"/>
    <s v="615 - Altre famiglie produttrici"/>
    <s v="862 - SERVIZI DEGLI STUDI MEDICI E ODONTOIATRICI"/>
    <s v="086 - ITALIA"/>
    <n v="1612"/>
    <m/>
    <m/>
    <m/>
    <m/>
    <m/>
    <m/>
    <m/>
    <n v="0"/>
    <n v="202505"/>
    <s v="ARCHIVIATA"/>
    <x v="1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027"/>
    <s v="95"/>
    <s v="Versamento giornaliero di importo elevato per la causale ed il soggetto"/>
    <d v="2025-05-15T00:00:00"/>
    <n v="53850"/>
    <n v="108"/>
    <s v="053850_108"/>
    <s v="Discovery Day"/>
    <s v="Mai valutato"/>
    <m/>
    <s v="Vari (14/05/2025)"/>
    <n v="1083306291105"/>
    <n v="20250514"/>
    <x v="0"/>
    <m/>
    <x v="0"/>
    <s v="A     - Avere"/>
    <n v="187262.31"/>
    <n v="112449.6000000000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1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26"/>
    <s v="95"/>
    <s v="Versamento giornaliero di importo elevato per la causale ed il soggetto"/>
    <d v="2025-05-15T00:00:00"/>
    <n v="53850"/>
    <n v="116"/>
    <s v="053850_116"/>
    <s v="Discovery Day"/>
    <s v="Mai valutato"/>
    <m/>
    <n v="202505147979800"/>
    <n v="2343300010453"/>
    <n v="20250514"/>
    <x v="2"/>
    <m/>
    <x v="0"/>
    <s v="A     - Avere"/>
    <n v="157456.45000000001"/>
    <n v="157456.4500000000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021"/>
    <s v="95"/>
    <s v="Versamento giornaliero di importo elevato per la causale ed il soggetto"/>
    <d v="2025-05-15T00:00:00"/>
    <n v="53850"/>
    <n v="284"/>
    <s v="053850_284"/>
    <s v="Discovery Day"/>
    <s v="Mai valutato"/>
    <m/>
    <n v="202505147980387"/>
    <n v="2843300000683"/>
    <n v="20250514"/>
    <x v="3"/>
    <m/>
    <x v="0"/>
    <s v="A     - Avere"/>
    <n v="110000"/>
    <n v="0"/>
    <n v="1669887"/>
    <s v="DPCNMR58R59D763H"/>
    <s v="DI PECO ANNA MARIA"/>
    <s v="600 - Famiglie consumatrici"/>
    <m/>
    <s v="086 - ITALIA"/>
    <m/>
    <m/>
    <m/>
    <m/>
    <m/>
    <m/>
    <m/>
    <m/>
    <n v="0"/>
    <n v="202505"/>
    <s v="ARCHIVIATA DA RPR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17"/>
    <s v="95"/>
    <s v="Versamento giornaliero di importo elevato per la causale ed il soggetto"/>
    <d v="2025-05-15T00:00:00"/>
    <n v="53850"/>
    <n v="266"/>
    <s v="053850_266"/>
    <s v="Discovery Day"/>
    <s v="Mai valutato"/>
    <m/>
    <s v="Vari (14/05/2025)"/>
    <n v="2663300000556"/>
    <n v="20250514"/>
    <x v="0"/>
    <m/>
    <x v="0"/>
    <s v="A     - Avere"/>
    <n v="226958.14"/>
    <n v="0"/>
    <n v="1633047"/>
    <s v="PRNFNC46C54B819N"/>
    <s v="PRANDI FRANCA"/>
    <s v="600 - Famiglie consumatrici"/>
    <m/>
    <s v="086 - ITALIA"/>
    <n v="1799"/>
    <m/>
    <m/>
    <m/>
    <m/>
    <m/>
    <m/>
    <m/>
    <n v="0"/>
    <n v="202505"/>
    <s v="IN VALUTAZIONE RPR"/>
    <x v="0"/>
    <n v="1"/>
    <m/>
    <m/>
    <n v="1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014"/>
    <s v="95"/>
    <s v="Versamento giornaliero di importo elevato per la causale ed il soggetto"/>
    <d v="2025-05-15T00:00:00"/>
    <n v="53850"/>
    <n v="171"/>
    <s v="053850_171"/>
    <s v="Discovery Day"/>
    <s v="Mai valutato"/>
    <m/>
    <s v="Vari (14/05/2025)"/>
    <n v="1713302214147"/>
    <n v="20250514"/>
    <x v="2"/>
    <m/>
    <x v="0"/>
    <s v="A     - Avere"/>
    <n v="164995"/>
    <n v="16499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09"/>
    <s v="95"/>
    <s v="Versamento giornaliero di importo elevato per la causale ed il soggetto"/>
    <d v="2025-05-15T00:00:00"/>
    <n v="53850"/>
    <n v="266"/>
    <s v="053850_266"/>
    <s v="Discovery Day"/>
    <s v="Mai valutato"/>
    <m/>
    <s v="Vari (14/05/2025)"/>
    <n v="2663300000556"/>
    <n v="20250514"/>
    <x v="0"/>
    <m/>
    <x v="0"/>
    <s v="A     - Avere"/>
    <n v="226958.14"/>
    <n v="0"/>
    <n v="1633772"/>
    <s v="STLPPL44L19F112K"/>
    <s v="STILLITANI PIER PAOLO"/>
    <s v="600 - Famiglie consumatrici"/>
    <m/>
    <s v="086 - ITALIA"/>
    <n v="1799"/>
    <m/>
    <m/>
    <m/>
    <m/>
    <m/>
    <m/>
    <m/>
    <n v="0"/>
    <n v="202505"/>
    <s v="IN CARICO AL GESTORE"/>
    <x v="0"/>
    <n v="1"/>
    <m/>
    <m/>
    <n v="1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007"/>
    <s v="95"/>
    <s v="Versamento giornaliero di importo elevato per la causale ed il soggetto"/>
    <d v="2025-05-15T00:00:00"/>
    <n v="53850"/>
    <n v="129"/>
    <s v="053850_129"/>
    <s v="Discovery Day"/>
    <s v="Mai valutato"/>
    <m/>
    <n v="202505147980062"/>
    <n v="1293300003071"/>
    <n v="20250514"/>
    <x v="4"/>
    <m/>
    <x v="0"/>
    <s v="A     - Avere"/>
    <n v="185000"/>
    <n v="0"/>
    <n v="4400202"/>
    <s v="BNCLGV45C64C134J"/>
    <s v="BIANCO ELISA GIOVANNA"/>
    <s v="600 - Famiglie consumatrici"/>
    <m/>
    <s v="086 - ITALIA"/>
    <n v="1355"/>
    <m/>
    <m/>
    <m/>
    <m/>
    <m/>
    <m/>
    <m/>
    <n v="0"/>
    <n v="202505"/>
    <s v="IN CARICO AL GESTORE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005"/>
    <s v="95"/>
    <s v="Versamento giornaliero di importo elevato per la causale ed il soggetto"/>
    <d v="2025-05-15T00:00:00"/>
    <n v="53850"/>
    <n v="284"/>
    <s v="053850_284"/>
    <s v="Discovery Day"/>
    <s v="Mai valutato"/>
    <m/>
    <n v="202505147980387"/>
    <n v="2843300000683"/>
    <n v="20250514"/>
    <x v="3"/>
    <m/>
    <x v="0"/>
    <s v="A     - Avere"/>
    <n v="110000"/>
    <n v="0"/>
    <n v="1669888"/>
    <s v="MTTNZE61B13H320C"/>
    <s v="MATTIOLI ENZO"/>
    <s v="600 - Famiglie consumatrici"/>
    <m/>
    <s v="086 - ITALIA"/>
    <n v="1858"/>
    <m/>
    <m/>
    <m/>
    <m/>
    <m/>
    <m/>
    <m/>
    <n v="0"/>
    <n v="202505"/>
    <s v="ARCHIVIATA DA RPR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96"/>
    <s v="95"/>
    <s v="Versamento giornaliero di importo elevato per la causale ed il soggetto"/>
    <d v="2025-05-15T00:00:00"/>
    <n v="53850"/>
    <n v="116"/>
    <s v="053850_116"/>
    <s v="Discovery Day"/>
    <s v="Mai valutato"/>
    <m/>
    <n v="202505147980033"/>
    <n v="1163307620997"/>
    <n v="20250514"/>
    <x v="3"/>
    <m/>
    <x v="0"/>
    <s v="A     - Avere"/>
    <n v="150000"/>
    <n v="0"/>
    <n v="4925190"/>
    <s v="CLVCST66A43A662O"/>
    <s v="CALVANESE CELESTE"/>
    <s v="600 - Famiglie consumatrici"/>
    <m/>
    <s v="086 - ITALIA"/>
    <n v="808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7994"/>
    <s v="95"/>
    <s v="Versamento giornaliero di importo elevato per la causale ed il soggetto"/>
    <d v="2025-05-15T00:00:00"/>
    <n v="53850"/>
    <n v="171"/>
    <s v="053850_171"/>
    <s v="Discovery Day"/>
    <s v="Mai valutato"/>
    <m/>
    <s v="Vari (14/05/2025)"/>
    <n v="1713305728950"/>
    <n v="20250514"/>
    <x v="2"/>
    <m/>
    <x v="0"/>
    <s v="A     - Avere"/>
    <n v="386588.7"/>
    <n v="386588.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7986"/>
    <s v="95"/>
    <s v="Versamento giornaliero di importo elevato per la causale ed il soggetto"/>
    <d v="2025-05-14T00:00:00"/>
    <n v="53850"/>
    <n v="171"/>
    <s v="053850_171"/>
    <s v="Discovery Day"/>
    <s v="Mai valutato"/>
    <m/>
    <s v="Vari (13/05/2025)"/>
    <n v="1713305728950"/>
    <n v="20250513"/>
    <x v="2"/>
    <m/>
    <x v="0"/>
    <s v="A     - Avere"/>
    <n v="201900"/>
    <n v="20190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7976"/>
    <s v="95"/>
    <s v="Versamento giornaliero di importo elevato per la causale ed il soggetto"/>
    <d v="2025-05-14T00:00:00"/>
    <n v="53850"/>
    <n v="196"/>
    <s v="053850_196"/>
    <s v="Discovery Day"/>
    <s v="Mai valutato"/>
    <m/>
    <n v="202505137977147"/>
    <n v="1963302351731"/>
    <n v="20250513"/>
    <x v="1"/>
    <m/>
    <x v="0"/>
    <s v="A     - Avere"/>
    <n v="200000"/>
    <n v="0"/>
    <n v="4284661"/>
    <s v="DMNMSP66M69E885G"/>
    <s v="DIMONTE MARIA SIPONTINA"/>
    <s v="615 - Altre famiglie produttrici"/>
    <s v="012 - COLTIVAZIONE DI COLTURE PERMANENTI"/>
    <s v="086 - ITALIA"/>
    <n v="1945"/>
    <m/>
    <m/>
    <m/>
    <m/>
    <m/>
    <m/>
    <m/>
    <n v="0"/>
    <n v="202505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7967"/>
    <s v="95"/>
    <s v="Versamento giornaliero di importo elevato per la causale ed il soggetto"/>
    <d v="2025-05-14T00:00:00"/>
    <n v="53850"/>
    <n v="286"/>
    <s v="053850_286"/>
    <s v="Discovery Day"/>
    <s v="Mai valutato"/>
    <m/>
    <n v="202505137977259"/>
    <n v="2863300013639"/>
    <n v="20250513"/>
    <x v="4"/>
    <m/>
    <x v="0"/>
    <s v="A     - Avere"/>
    <n v="331000"/>
    <n v="0"/>
    <n v="3730622"/>
    <n v="2540520695"/>
    <s v="SVILUPPO ENERGIE S.R.L."/>
    <s v="290 - Società di partecipazione (holding) di gruppi finanziari e non finanziari"/>
    <s v="642 - ATTIVITÀ DELLE SOCIETÀ DI PARTECIPAZIONE (HOLDING)"/>
    <s v="086 - ITALIA"/>
    <n v="1877"/>
    <m/>
    <m/>
    <m/>
    <m/>
    <m/>
    <m/>
    <m/>
    <n v="0"/>
    <n v="202505"/>
    <s v="ARCHIVIATA"/>
    <x v="1"/>
    <n v="1"/>
    <m/>
    <m/>
    <n v="0"/>
    <n v="999"/>
    <n v="290"/>
    <n v="290999"/>
    <m/>
    <n v="1"/>
    <x v="7"/>
    <n v="331000"/>
    <n v="331000"/>
    <n v="331000"/>
    <n v="331000"/>
    <n v="331000"/>
    <n v="331000"/>
    <n v="331000"/>
    <n v="331000"/>
    <n v="331000"/>
    <n v="331000"/>
    <n v="331000"/>
    <n v="331000"/>
    <n v="331000"/>
    <n v="331000"/>
    <n v="331000"/>
    <n v="331000"/>
    <n v="331000"/>
    <n v="331000"/>
    <n v="331000"/>
    <n v="331000"/>
    <n v="331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57"/>
    <s v="95"/>
    <s v="Versamento giornaliero di importo elevato per la causale ed il soggetto"/>
    <d v="2025-05-14T00:00:00"/>
    <n v="53850"/>
    <n v="108"/>
    <s v="053850_108"/>
    <s v="Discovery Day"/>
    <s v="Mai valutato"/>
    <m/>
    <s v="Vari (13/05/2025)"/>
    <n v="1083300011180"/>
    <n v="20250513"/>
    <x v="0"/>
    <m/>
    <x v="0"/>
    <s v="A     - Avere"/>
    <n v="133274.48000000001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s v="ARCHIVIATA DA RPR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52"/>
    <s v="95"/>
    <s v="Versamento giornaliero di importo elevato per la causale ed il soggetto"/>
    <d v="2025-05-14T00:00:00"/>
    <n v="53850"/>
    <n v="136"/>
    <s v="053850_136"/>
    <s v="Discovery Day"/>
    <s v="Mai valutato"/>
    <m/>
    <n v="202505137976951"/>
    <n v="1363300004078"/>
    <n v="20250513"/>
    <x v="5"/>
    <m/>
    <x v="0"/>
    <s v="A     - Avere"/>
    <n v="143030"/>
    <n v="143030"/>
    <n v="4952440"/>
    <s v="GRCFNC77T27B180B"/>
    <s v="GRECO FRANCESCO"/>
    <s v="615 - Altre famiglie produttrici"/>
    <s v="563 - BAR E ALTRI ESERCIZI SIMILI SENZA CUCINA"/>
    <s v="086 - ITALIA"/>
    <n v="1552"/>
    <m/>
    <m/>
    <m/>
    <m/>
    <m/>
    <m/>
    <m/>
    <n v="0"/>
    <n v="202505"/>
    <s v="ARCHIVIATA"/>
    <x v="1"/>
    <n v="1"/>
    <n v="4952440"/>
    <n v="1"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7937"/>
    <s v="95"/>
    <s v="Versamento giornaliero di importo elevato per la causale ed il soggetto"/>
    <d v="2025-05-13T00:00:00"/>
    <n v="53850"/>
    <n v="104"/>
    <s v="053850_104"/>
    <s v="Discovery Day"/>
    <s v="Mai valutato"/>
    <m/>
    <s v="Vari (12/05/2025)"/>
    <n v="1043304173550"/>
    <n v="20250512"/>
    <x v="0"/>
    <m/>
    <x v="0"/>
    <s v="A     - Avere"/>
    <n v="108176.82"/>
    <n v="920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5"/>
    <s v="ARCHIVIATA DA RPR"/>
    <x v="1"/>
    <n v="1"/>
    <n v="417355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36"/>
    <s v="95"/>
    <s v="Versamento giornaliero di importo elevato per la causale ed il soggetto"/>
    <d v="2025-05-13T00:00:00"/>
    <n v="53850"/>
    <n v="102"/>
    <s v="053850_102"/>
    <s v="Discovery Day"/>
    <s v="Mai valutato"/>
    <m/>
    <s v="Vari (12/05/2025)"/>
    <n v="1023300660520"/>
    <n v="20250512"/>
    <x v="0"/>
    <m/>
    <x v="0"/>
    <s v="A     - Avere"/>
    <n v="197178.41"/>
    <n v="983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5"/>
    <s v="IN CARICO AL GESTORE"/>
    <x v="0"/>
    <n v="1"/>
    <n v="66052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7931"/>
    <s v="95"/>
    <s v="Versamento giornaliero di importo elevato per la causale ed il soggetto"/>
    <d v="2025-05-13T00:00:00"/>
    <n v="53850"/>
    <n v="182"/>
    <s v="053850_182"/>
    <s v="Discovery Day"/>
    <s v="Mai valutato"/>
    <m/>
    <s v="Vari (12/05/2025)"/>
    <n v="1823300169301"/>
    <n v="20250512"/>
    <x v="2"/>
    <m/>
    <x v="0"/>
    <s v="A     - Avere"/>
    <n v="39500"/>
    <n v="3950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s v="ARCHIVIATA"/>
    <x v="1"/>
    <n v="1"/>
    <n v="4284957"/>
    <n v="1"/>
    <n v="0"/>
    <n v="920"/>
    <n v="615"/>
    <n v="615920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10"/>
    <s v="95"/>
    <s v="Versamento giornaliero di importo elevato per la causale ed il soggetto"/>
    <d v="2025-05-13T00:00:00"/>
    <n v="53850"/>
    <n v="116"/>
    <s v="053850_116"/>
    <s v="Discovery Day"/>
    <s v="Mai valutato"/>
    <m/>
    <n v="202505127972864"/>
    <n v="2343300010453"/>
    <n v="20250512"/>
    <x v="2"/>
    <m/>
    <x v="0"/>
    <s v="A     - Avere"/>
    <n v="191268.3"/>
    <n v="191268.3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7907"/>
    <s v="95"/>
    <s v="Versamento giornaliero di importo elevato per la causale ed il soggetto"/>
    <d v="2025-05-13T00:00:00"/>
    <n v="53850"/>
    <n v="287"/>
    <s v="053850_287"/>
    <s v="Discovery Day"/>
    <s v="Mai valutato"/>
    <m/>
    <s v="Vari (12/05/2025)"/>
    <n v="2873300001853"/>
    <n v="20250512"/>
    <x v="0"/>
    <m/>
    <x v="0"/>
    <s v="A     - Avere"/>
    <n v="105369.64"/>
    <n v="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s v="ARCHIVIATA DA RPR"/>
    <x v="1"/>
    <n v="1"/>
    <n v="3722213"/>
    <n v="1"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7905"/>
    <s v="95"/>
    <s v="Versamento giornaliero di importo elevato per la causale ed il soggetto"/>
    <d v="2025-05-13T00:00:00"/>
    <n v="53850"/>
    <n v="284"/>
    <s v="053850_284"/>
    <s v="Discovery Day"/>
    <s v="Mai valutato"/>
    <m/>
    <n v="202505127973665"/>
    <n v="2843300000381"/>
    <n v="20250512"/>
    <x v="5"/>
    <m/>
    <x v="0"/>
    <s v="A     - Avere"/>
    <n v="175971.72"/>
    <n v="0"/>
    <n v="1656421"/>
    <s v="MRSMRA51C56B238E"/>
    <s v="MARUSCO MARIA"/>
    <s v="600 - Famiglie consumatrici"/>
    <m/>
    <s v="086 - ITALIA"/>
    <n v="1840"/>
    <m/>
    <m/>
    <m/>
    <m/>
    <m/>
    <m/>
    <m/>
    <n v="0"/>
    <n v="202505"/>
    <s v="ARCHIVIATA DA RPR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40"/>
    <s v="95"/>
    <s v="Versamento giornaliero di importo elevato per la causale ed il soggetto"/>
    <d v="2025-05-10T00:00:00"/>
    <n v="53850"/>
    <n v="193"/>
    <s v="053850_193"/>
    <s v="Discovery Day"/>
    <s v="Mai valutato"/>
    <m/>
    <n v="202505097964822"/>
    <n v="1943300005251"/>
    <n v="20250509"/>
    <x v="3"/>
    <m/>
    <x v="0"/>
    <s v="A     - Avere"/>
    <n v="150000"/>
    <n v="0"/>
    <n v="4273110"/>
    <s v="NNMNLG77H15A662Z"/>
    <s v="INNAMORATO ANGELO GIOVANNI"/>
    <s v="600 - Famiglie consumatrici"/>
    <m/>
    <s v="086 - ITALIA"/>
    <n v="1450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8035"/>
    <s v="95"/>
    <s v="Versamento giornaliero di importo elevato per la causale ed il soggetto"/>
    <d v="2025-05-10T00:00:00"/>
    <n v="53850"/>
    <n v="171"/>
    <s v="053850_171"/>
    <s v="Discovery Day"/>
    <s v="Mai valutato"/>
    <m/>
    <s v="Vari (09/05/2025)"/>
    <n v="1713305728950"/>
    <n v="20250509"/>
    <x v="2"/>
    <m/>
    <x v="0"/>
    <s v="A     - Avere"/>
    <n v="400964.69"/>
    <n v="400964.69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8019"/>
    <s v="95"/>
    <s v="Versamento giornaliero di importo elevato per la causale ed il soggetto"/>
    <d v="2025-05-10T00:00:00"/>
    <n v="53850"/>
    <n v="114"/>
    <s v="053850_114"/>
    <s v="Discovery Day"/>
    <s v="Mai valutato"/>
    <m/>
    <n v="202505097964557"/>
    <n v="1143306281584"/>
    <n v="20250509"/>
    <x v="1"/>
    <m/>
    <x v="0"/>
    <s v="A     - Avere"/>
    <n v="93962.4"/>
    <n v="0"/>
    <n v="4827112"/>
    <n v="3318280710"/>
    <s v="SANTACROCE GIOVANNI S.P.A."/>
    <s v="430 - Imprese produttive"/>
    <s v="462 - COMMERCIO ALL'INGROSSO DI MATERIE PRIME AGRICOLE E DI ANIMALI VIVI"/>
    <s v="086 - ITALIA"/>
    <n v="870"/>
    <m/>
    <m/>
    <m/>
    <m/>
    <m/>
    <m/>
    <m/>
    <n v="0"/>
    <n v="202505"/>
    <s v="ARCHIVIATA DA RPR"/>
    <x v="1"/>
    <n v="1"/>
    <m/>
    <m/>
    <n v="0"/>
    <n v="462"/>
    <n v="430"/>
    <n v="43046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16"/>
    <s v="95"/>
    <s v="Versamento giornaliero di importo elevato per la causale ed il soggetto"/>
    <d v="2025-05-10T00:00:00"/>
    <n v="53850"/>
    <n v="118"/>
    <s v="053850_118"/>
    <s v="Discovery Day"/>
    <s v="Mai valutato"/>
    <m/>
    <n v="202505097964568"/>
    <n v="1183306275813"/>
    <n v="20250509"/>
    <x v="3"/>
    <m/>
    <x v="0"/>
    <s v="A     - Avere"/>
    <n v="149000"/>
    <n v="0"/>
    <n v="423437"/>
    <s v="CPRGPP57P26A225I"/>
    <s v="CAPURSO GIUSEPPE"/>
    <s v="600 - Famiglie consumatrici"/>
    <m/>
    <s v="086 - ITALIA"/>
    <n v="724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8015"/>
    <s v="95"/>
    <s v="Versamento giornaliero di importo elevato per la causale ed il soggetto"/>
    <d v="2025-05-10T00:00:00"/>
    <n v="53850"/>
    <n v="161"/>
    <s v="053850_161"/>
    <s v="Discovery Day"/>
    <s v="Mai valutato"/>
    <m/>
    <s v="Vari (09/05/2025)"/>
    <n v="1613300029653"/>
    <n v="20250509"/>
    <x v="0"/>
    <m/>
    <x v="0"/>
    <s v="A     - Avere"/>
    <n v="76382.789999999994"/>
    <n v="84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12"/>
    <s v="95"/>
    <s v="Versamento giornaliero di importo elevato per la causale ed il soggetto"/>
    <d v="2025-05-10T00:00:00"/>
    <n v="53850"/>
    <n v="110"/>
    <s v="053850_110"/>
    <s v="Discovery Day"/>
    <s v="Mai valutato"/>
    <m/>
    <n v="202505097964540"/>
    <n v="1103306287662"/>
    <n v="20250509"/>
    <x v="1"/>
    <m/>
    <x v="0"/>
    <s v="A     - Avere"/>
    <n v="400000"/>
    <n v="0"/>
    <n v="4014921"/>
    <s v="FRLGCH36S08A669I"/>
    <s v="FIORELLA GIOACCHINO"/>
    <s v="600 - Famiglie consumatrici"/>
    <m/>
    <s v="086 - ITALIA"/>
    <n v="1072"/>
    <m/>
    <m/>
    <m/>
    <m/>
    <m/>
    <m/>
    <m/>
    <n v="0"/>
    <n v="202505"/>
    <s v="IN CARICO AL GESTORE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8005"/>
    <s v="95"/>
    <s v="Versamento giornaliero di importo elevato per la causale ed il soggetto"/>
    <d v="2025-05-10T00:00:00"/>
    <n v="53850"/>
    <n v="273"/>
    <s v="053850_273"/>
    <s v="Discovery Day"/>
    <s v="Mai valutato"/>
    <m/>
    <n v="202505097964928"/>
    <n v="1983300001006"/>
    <n v="20250509"/>
    <x v="3"/>
    <m/>
    <x v="0"/>
    <s v="A     - Avere"/>
    <n v="160000"/>
    <n v="0"/>
    <n v="4006820"/>
    <s v="CVRNMF40P46I158D"/>
    <s v="CIAVARELLA ANNA MAFALDA"/>
    <s v="600 - Famiglie consumatrici"/>
    <m/>
    <s v="086 - ITALIA"/>
    <n v="1718"/>
    <m/>
    <m/>
    <m/>
    <m/>
    <m/>
    <m/>
    <m/>
    <n v="0"/>
    <n v="202505"/>
    <s v="IN CARICO AL GESTORE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8000"/>
    <s v="95"/>
    <s v="Versamento giornaliero di importo elevato per la causale ed il soggetto"/>
    <d v="2025-05-10T00:00:00"/>
    <n v="53850"/>
    <n v="121"/>
    <s v="053850_121"/>
    <s v="Discovery Day"/>
    <s v="Mai valutato"/>
    <m/>
    <s v="Vari (09/05/2025)"/>
    <n v="1213300002600"/>
    <n v="20250509"/>
    <x v="0"/>
    <m/>
    <x v="0"/>
    <s v="A     - Avere"/>
    <n v="841641.07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s v="IN CARICO AL RESPONSABILE"/>
    <x v="0"/>
    <n v="1"/>
    <m/>
    <m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88"/>
    <s v="95"/>
    <s v="Versamento giornaliero di importo elevato per la causale ed il soggetto"/>
    <d v="2025-05-10T00:00:00"/>
    <n v="53850"/>
    <n v="273"/>
    <s v="053850_273"/>
    <s v="Discovery Day"/>
    <s v="Mai valutato"/>
    <m/>
    <n v="202505097964928"/>
    <n v="1983300001006"/>
    <n v="20250509"/>
    <x v="3"/>
    <m/>
    <x v="0"/>
    <s v="A     - Avere"/>
    <n v="160000"/>
    <n v="0"/>
    <n v="4006823"/>
    <s v="SCRNNF41D30I158J"/>
    <s v="SCIARAFFA ANTONIO FRANCESCO"/>
    <s v="600 - Famiglie consumatrici"/>
    <m/>
    <s v="086 - ITALIA"/>
    <n v="1718"/>
    <m/>
    <m/>
    <m/>
    <m/>
    <m/>
    <m/>
    <m/>
    <n v="0"/>
    <n v="202505"/>
    <s v="IN CARICO AL GESTORE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983"/>
    <s v="95"/>
    <s v="Versamento giornaliero di importo elevato per la causale ed il soggetto"/>
    <d v="2025-05-10T00:00:00"/>
    <n v="53850"/>
    <n v="171"/>
    <s v="053850_171"/>
    <s v="Discovery Day"/>
    <s v="Mai valutato"/>
    <m/>
    <s v="Vari (09/05/2025)"/>
    <n v="1713302214147"/>
    <n v="20250509"/>
    <x v="2"/>
    <m/>
    <x v="0"/>
    <s v="A     - Avere"/>
    <n v="166210.1"/>
    <n v="166210.1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968"/>
    <s v="95"/>
    <s v="Versamento giornaliero di importo elevato per la causale ed il soggetto"/>
    <d v="2025-05-09T00:00:00"/>
    <n v="53850"/>
    <n v="111"/>
    <s v="053850_111"/>
    <s v="Discovery Day"/>
    <s v="Mai valutato"/>
    <m/>
    <n v="202505087961554"/>
    <n v="1113302814205"/>
    <n v="20250508"/>
    <x v="3"/>
    <m/>
    <x v="0"/>
    <s v="A     - Avere"/>
    <n v="97000"/>
    <n v="0"/>
    <n v="4449666"/>
    <s v="RNDCML77L70L418F"/>
    <s v="RONDINONE CARMELA"/>
    <s v="615 - Altre famiglie produttrici"/>
    <s v="476 - COMMERCIO AL DETTAGLIO DI ARTICOLI CULTURALI E RICREATIVI IN ESERCIZI SPECIALIZZATI"/>
    <s v="086 - ITALIA"/>
    <n v="593"/>
    <m/>
    <m/>
    <m/>
    <m/>
    <m/>
    <m/>
    <m/>
    <n v="0"/>
    <n v="202505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67"/>
    <s v="95"/>
    <s v="Versamento giornaliero di importo elevato per la causale ed il soggetto"/>
    <d v="2025-05-09T00:00:00"/>
    <n v="53850"/>
    <n v="181"/>
    <s v="053850_181"/>
    <s v="Discovery Day"/>
    <s v="Mai valutato"/>
    <m/>
    <n v="202505087961753"/>
    <n v="1813301035227"/>
    <n v="20250508"/>
    <x v="3"/>
    <m/>
    <x v="0"/>
    <s v="A     - Avere"/>
    <n v="110500"/>
    <n v="0"/>
    <n v="4591614"/>
    <s v="VSGMNN69C68L109S"/>
    <s v="VISAGGI MARIANNA"/>
    <s v="600 - Famiglie consumatrici"/>
    <m/>
    <s v="086 - ITALIA"/>
    <n v="859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66"/>
    <s v="95"/>
    <s v="Versamento giornaliero di importo elevato per la causale ed il soggetto"/>
    <d v="2025-05-09T00:00:00"/>
    <n v="53850"/>
    <n v="105"/>
    <s v="053850_105"/>
    <s v="Discovery Day"/>
    <s v="Mai valutato"/>
    <m/>
    <n v="202505087961521"/>
    <n v="1053306291585"/>
    <n v="20250508"/>
    <x v="4"/>
    <m/>
    <x v="0"/>
    <s v="A     - Avere"/>
    <n v="145000"/>
    <n v="0"/>
    <n v="107495"/>
    <s v="LMTVTR58H46E038K"/>
    <s v="LIMITONE VITTORIA"/>
    <s v="600 - Famiglie consumatrici"/>
    <m/>
    <s v="086 - ITALIA"/>
    <n v="1471"/>
    <m/>
    <m/>
    <m/>
    <m/>
    <m/>
    <m/>
    <m/>
    <n v="0"/>
    <n v="202505"/>
    <s v="ARCHIVIATA"/>
    <x v="1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949"/>
    <s v="95"/>
    <s v="Versamento giornaliero di importo elevato per la causale ed il soggetto"/>
    <d v="2025-05-09T00:00:00"/>
    <n v="53850"/>
    <n v="169"/>
    <s v="053850_169"/>
    <s v="Discovery Day"/>
    <s v="Mai valutato"/>
    <m/>
    <n v="202505087961711"/>
    <n v="1693302224752"/>
    <n v="20250508"/>
    <x v="1"/>
    <m/>
    <x v="0"/>
    <s v="A     - Avere"/>
    <n v="110000"/>
    <n v="0"/>
    <n v="4137454"/>
    <s v="PSQNGL49M67A883D"/>
    <s v="PASQUALE ANGELA"/>
    <s v="600 - Famiglie consumatrici"/>
    <m/>
    <s v="086 - ITALIA"/>
    <n v="1261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34"/>
    <s v="95"/>
    <s v="Versamento giornaliero di importo elevato per la causale ed il soggetto"/>
    <d v="2025-05-09T00:00:00"/>
    <n v="53850"/>
    <n v="103"/>
    <s v="053850_103"/>
    <s v="Discovery Day"/>
    <s v="Mai valutato"/>
    <m/>
    <n v="202505087961475"/>
    <n v="1033306978389"/>
    <n v="20250508"/>
    <x v="1"/>
    <m/>
    <x v="0"/>
    <s v="A     - Avere"/>
    <n v="400000"/>
    <n v="0"/>
    <n v="4912146"/>
    <n v="8078930727"/>
    <s v="ESTIA SOCIETA' A RESPONSABILITA' LIMITATA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931"/>
    <s v="95"/>
    <s v="Versamento giornaliero di importo elevato per la causale ed il soggetto"/>
    <d v="2025-05-09T00:00:00"/>
    <n v="53850"/>
    <n v="108"/>
    <s v="053850_108"/>
    <s v="Discovery Day"/>
    <s v="Mai valutato"/>
    <m/>
    <s v="Vari (08/05/2025)"/>
    <n v="1083306290559"/>
    <n v="20250508"/>
    <x v="0"/>
    <m/>
    <x v="0"/>
    <s v="A     - Avere"/>
    <n v="106569.77"/>
    <n v="2000"/>
    <n v="4902977"/>
    <n v="8081970728"/>
    <s v="MICCOLIS S.R.L."/>
    <s v="430 - Imprese produttive"/>
    <s v="015 - COLTIVAZIONI AGRICOLE ASSOCIATE ALL'ALLEVAMENTO DI ANIMALI: ATTIVITÀ MISTA"/>
    <s v="086 - ITALIA"/>
    <n v="1058"/>
    <m/>
    <m/>
    <m/>
    <m/>
    <m/>
    <m/>
    <m/>
    <n v="0"/>
    <n v="202505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03"/>
    <s v="95"/>
    <s v="Versamento giornaliero di importo elevato per la causale ed il soggetto"/>
    <d v="2025-05-08T00:00:00"/>
    <n v="53850"/>
    <n v="104"/>
    <s v="053850_104"/>
    <s v="Discovery Day"/>
    <s v="Mai valutato"/>
    <m/>
    <s v="Vari (07/05/2025)"/>
    <n v="1043309505756"/>
    <n v="20250507"/>
    <x v="0"/>
    <m/>
    <x v="0"/>
    <s v="A     - Avere"/>
    <n v="234603.63"/>
    <n v="10000"/>
    <n v="4287383"/>
    <n v="6390440722"/>
    <s v="CORDINI SOCIETA' A RESPONSABILITA' LIMITATA"/>
    <s v="430 - Imprese produttive"/>
    <s v="283 - FABBRICAZIONE DI MACCHINE PER L'AGRICOLTURA E LA SILVICOLTURA"/>
    <s v="086 - ITALIA"/>
    <n v="1696"/>
    <m/>
    <m/>
    <m/>
    <m/>
    <m/>
    <m/>
    <m/>
    <n v="0"/>
    <n v="202505"/>
    <s v="ARCHIVIATA DA RPR"/>
    <x v="1"/>
    <n v="1"/>
    <n v="4287383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00"/>
    <s v="95"/>
    <s v="Versamento giornaliero di importo elevato per la causale ed il soggetto"/>
    <d v="2025-05-08T00:00:00"/>
    <n v="53850"/>
    <n v="171"/>
    <s v="053850_171"/>
    <s v="Discovery Day"/>
    <s v="Mai valutato"/>
    <m/>
    <s v="Vari (07/05/2025)"/>
    <n v="1713302214147"/>
    <n v="20250507"/>
    <x v="2"/>
    <m/>
    <x v="0"/>
    <s v="A     - Avere"/>
    <n v="178955"/>
    <n v="17895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896"/>
    <s v="95"/>
    <s v="Versamento giornaliero di importo elevato per la causale ed il soggetto"/>
    <d v="2025-05-08T00:00:00"/>
    <n v="53850"/>
    <n v="171"/>
    <s v="053850_171"/>
    <s v="Discovery Day"/>
    <s v="Mai valutato"/>
    <m/>
    <s v="Vari (07/05/2025)"/>
    <n v="1713305728950"/>
    <n v="20250507"/>
    <x v="2"/>
    <m/>
    <x v="0"/>
    <s v="A     - Avere"/>
    <n v="493451.85"/>
    <n v="493451.8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890"/>
    <s v="95"/>
    <s v="Versamento giornaliero di importo elevato per la causale ed il soggetto"/>
    <d v="2025-05-08T00:00:00"/>
    <n v="53850"/>
    <n v="116"/>
    <s v="053850_116"/>
    <s v="Discovery Day"/>
    <s v="Mai valutato"/>
    <m/>
    <n v="202505077958620"/>
    <n v="1163307623465"/>
    <n v="20250507"/>
    <x v="1"/>
    <m/>
    <x v="0"/>
    <s v="A     - Avere"/>
    <n v="120000"/>
    <n v="0"/>
    <n v="3738297"/>
    <n v="8684570727"/>
    <s v="NOVAGORA' S.R.L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889"/>
    <s v="95"/>
    <s v="Versamento giornaliero di importo elevato per la causale ed il soggetto"/>
    <d v="2025-05-08T00:00:00"/>
    <n v="53850"/>
    <n v="161"/>
    <s v="053850_161"/>
    <s v="Discovery Day"/>
    <s v="Mai valutato"/>
    <m/>
    <s v="Vari (07/05/2025)"/>
    <n v="1613300029653"/>
    <n v="20250507"/>
    <x v="0"/>
    <m/>
    <x v="0"/>
    <s v="A     - Avere"/>
    <n v="118009.65"/>
    <n v="55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88"/>
    <s v="95"/>
    <s v="Versamento giornaliero di importo elevato per la causale ed il soggetto"/>
    <d v="2025-05-08T00:00:00"/>
    <n v="53850"/>
    <n v="282"/>
    <s v="053850_282"/>
    <s v="Discovery Day"/>
    <s v="Mai valutato"/>
    <m/>
    <n v="202505077958968"/>
    <n v="2823300002892"/>
    <n v="20250507"/>
    <x v="1"/>
    <m/>
    <x v="0"/>
    <s v="A     - Avere"/>
    <n v="101552.46"/>
    <n v="0"/>
    <n v="1706728"/>
    <n v="2018990693"/>
    <s v="CERINO SRL"/>
    <s v="430 - Imprese produttive"/>
    <s v="467 - COMMERCIO ALL'INGROSSO SPECIALIZZATO DI ALTRI PRODOTTI"/>
    <s v="086 - ITALIA"/>
    <n v="1877"/>
    <m/>
    <m/>
    <m/>
    <m/>
    <m/>
    <m/>
    <m/>
    <n v="0"/>
    <n v="202505"/>
    <s v="ARCHIVIATA"/>
    <x v="1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81"/>
    <s v="95"/>
    <s v="Versamento giornaliero di importo elevato per la causale ed il soggetto"/>
    <d v="2025-05-08T00:00:00"/>
    <n v="53850"/>
    <n v="121"/>
    <s v="053850_121"/>
    <s v="Discovery Day"/>
    <s v="Mai valutato"/>
    <m/>
    <n v="202505077958635"/>
    <n v="1213300002971"/>
    <n v="20250507"/>
    <x v="1"/>
    <m/>
    <x v="0"/>
    <s v="A     - Avere"/>
    <n v="200000"/>
    <n v="0"/>
    <n v="4859756"/>
    <n v="7229510727"/>
    <s v="ORGANIZZAZIONE DI PRODUTTORI PUGLIAVIVA - SO"/>
    <s v="430 - Imprese produttive"/>
    <s v="016 - ATTIVITÀ DI SUPPORTO ALL'AGRICOLTURA E ATTIVITÀ SUCCESSIVE ALLA RACCOLTA"/>
    <s v="086 - ITALIA"/>
    <n v="1058"/>
    <m/>
    <m/>
    <m/>
    <m/>
    <m/>
    <m/>
    <m/>
    <n v="0"/>
    <n v="202505"/>
    <s v="ARCHIVIATA DA RPR"/>
    <x v="1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878"/>
    <s v="95"/>
    <s v="Versamento giornaliero di importo elevato per la causale ed il soggetto"/>
    <d v="2025-05-08T00:00:00"/>
    <n v="53850"/>
    <n v="216"/>
    <s v="053850_216"/>
    <s v="Discovery Day"/>
    <s v="Mai valutato"/>
    <m/>
    <n v="202505077958868"/>
    <n v="2163300011466"/>
    <n v="20250507"/>
    <x v="4"/>
    <m/>
    <x v="0"/>
    <s v="A     - Avere"/>
    <n v="145000"/>
    <n v="0"/>
    <n v="4512115"/>
    <n v="916690670"/>
    <s v="SOCIETA' FORNI INDUSTRIALI MACCHINE AUTOMATIZZATE S.R.L. IN LIQUIDAZION"/>
    <s v="430 - Imprese produttive"/>
    <s v="284 - FABBRICAZIONE DI MACCHINE PER LA FORMATURA DEI METALLI E DI ALTRE MACCHINE UTENSILI"/>
    <s v="086 - ITALIA"/>
    <n v="1595"/>
    <m/>
    <m/>
    <m/>
    <m/>
    <m/>
    <m/>
    <m/>
    <n v="0"/>
    <n v="202505"/>
    <s v="ARCHIVIATA"/>
    <x v="1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873"/>
    <s v="95"/>
    <s v="Versamento giornaliero di importo elevato per la causale ed il soggetto"/>
    <d v="2025-05-08T00:00:00"/>
    <n v="53850"/>
    <n v="108"/>
    <s v="053850_108"/>
    <s v="Discovery Day"/>
    <s v="Mai valutato"/>
    <m/>
    <s v="Vari (07/05/2025)"/>
    <n v="1083306291105"/>
    <n v="20250507"/>
    <x v="0"/>
    <m/>
    <x v="0"/>
    <s v="A     - Avere"/>
    <n v="181643.69"/>
    <n v="85265.9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1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70"/>
    <s v="95"/>
    <s v="Versamento giornaliero di importo elevato per la causale ed il soggetto"/>
    <d v="2025-05-08T00:00:00"/>
    <n v="53850"/>
    <n v="170"/>
    <s v="053850_170"/>
    <s v="Discovery Day"/>
    <s v="Mai valutato"/>
    <m/>
    <n v="202505077958749"/>
    <n v="1703306290965"/>
    <n v="20250507"/>
    <x v="3"/>
    <m/>
    <x v="0"/>
    <s v="A     - Avere"/>
    <n v="224400"/>
    <n v="0"/>
    <n v="3734846"/>
    <n v="8512530729"/>
    <s v="AC COSTRUZIONI SRL"/>
    <s v="430 - Imprese produttive"/>
    <s v="412 - COSTRUZIONE DI EDIFICI RESIDENZIALI E NON RESIDENZIALI"/>
    <s v="086 - ITALIA"/>
    <n v="1920"/>
    <m/>
    <m/>
    <m/>
    <m/>
    <m/>
    <m/>
    <m/>
    <n v="0"/>
    <n v="202505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869"/>
    <s v="95"/>
    <s v="Versamento giornaliero di importo elevato per la causale ed il soggetto"/>
    <d v="2025-05-08T00:00:00"/>
    <n v="53850"/>
    <n v="145"/>
    <s v="053850_145"/>
    <s v="Discovery Day"/>
    <s v="Mai valutato"/>
    <m/>
    <s v="Vari (07/05/2025)"/>
    <n v="1453300003229"/>
    <n v="20250507"/>
    <x v="0"/>
    <m/>
    <x v="0"/>
    <s v="A     - Avere"/>
    <n v="135000"/>
    <n v="0"/>
    <n v="4933594"/>
    <n v="7990761210"/>
    <s v="I.F.B. SOCIETA' A RESPONSABILITA' LIMITATA"/>
    <s v="430 - Imprese produttive"/>
    <s v="662 - ATTIVITÀ AUSILIARIE DELLE ASSICURAZIONI E DEI FONDI PENSIONE"/>
    <s v="086 - ITALIA"/>
    <n v="1222"/>
    <m/>
    <m/>
    <m/>
    <m/>
    <m/>
    <m/>
    <m/>
    <n v="0"/>
    <n v="202505"/>
    <s v="IN CARICO AL GESTORE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851"/>
    <s v="95"/>
    <s v="Versamento giornaliero di importo elevato per la causale ed il soggetto"/>
    <d v="2025-05-07T00:00:00"/>
    <n v="53850"/>
    <n v="121"/>
    <s v="053850_121"/>
    <s v="Discovery Day"/>
    <s v="Mai valutato"/>
    <m/>
    <n v="202505067955388"/>
    <n v="1213300003598"/>
    <n v="20250506"/>
    <x v="3"/>
    <m/>
    <x v="0"/>
    <s v="A     - Avere"/>
    <n v="400000"/>
    <n v="0"/>
    <n v="4822605"/>
    <s v="MSSPLA85C17A662K"/>
    <s v="MOSSA IDRA PAOLO"/>
    <s v="600 - Famiglie consumatrici"/>
    <m/>
    <s v="086 - ITALIA"/>
    <n v="1054"/>
    <m/>
    <m/>
    <m/>
    <m/>
    <m/>
    <m/>
    <m/>
    <n v="0"/>
    <n v="202505"/>
    <s v="IN CARICO AL GESTORE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847"/>
    <s v="95"/>
    <s v="Versamento giornaliero di importo elevato per la causale ed il soggetto"/>
    <d v="2025-05-07T00:00:00"/>
    <n v="53850"/>
    <n v="171"/>
    <s v="053850_171"/>
    <s v="Discovery Day"/>
    <s v="Mai valutato"/>
    <m/>
    <s v="Vari (06/05/2025)"/>
    <n v="1713305728950"/>
    <n v="20250506"/>
    <x v="2"/>
    <m/>
    <x v="0"/>
    <s v="A     - Avere"/>
    <n v="108941.55"/>
    <n v="108941.5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40"/>
    <s v="95"/>
    <s v="Versamento giornaliero di importo elevato per la causale ed il soggetto"/>
    <d v="2025-05-07T00:00:00"/>
    <n v="53850"/>
    <n v="116"/>
    <s v="053850_116"/>
    <s v="Discovery Day"/>
    <s v="Mai valutato"/>
    <m/>
    <n v="202505067955087"/>
    <n v="2343300010453"/>
    <n v="20250506"/>
    <x v="2"/>
    <m/>
    <x v="0"/>
    <s v="A     - Avere"/>
    <n v="204011.11"/>
    <n v="204011.1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832"/>
    <s v="95"/>
    <s v="Versamento giornaliero di importo elevato per la causale ed il soggetto"/>
    <d v="2025-05-07T00:00:00"/>
    <n v="53850"/>
    <n v="181"/>
    <s v="053850_181"/>
    <s v="Discovery Day"/>
    <s v="Mai valutato"/>
    <m/>
    <n v="202505067955605"/>
    <n v="1813301028560"/>
    <n v="20250506"/>
    <x v="5"/>
    <m/>
    <x v="0"/>
    <s v="A     - Avere"/>
    <n v="60000"/>
    <n v="6000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5"/>
    <s v="ARCHIVIATA"/>
    <x v="1"/>
    <n v="1"/>
    <n v="454268"/>
    <n v="1"/>
    <n v="0"/>
    <n v="477"/>
    <n v="615"/>
    <n v="615477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804"/>
    <s v="95"/>
    <s v="Versamento giornaliero di importo elevato per la causale ed il soggetto"/>
    <d v="2025-05-06T00:00:00"/>
    <n v="53850"/>
    <n v="182"/>
    <s v="053850_182"/>
    <s v="Discovery Day"/>
    <s v="Mai valutato"/>
    <m/>
    <s v="Vari (05/05/2025)"/>
    <n v="1823300169301"/>
    <n v="20250505"/>
    <x v="2"/>
    <m/>
    <x v="0"/>
    <s v="A     - Avere"/>
    <n v="54345"/>
    <n v="5434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s v="ARCHIVIATA"/>
    <x v="1"/>
    <n v="1"/>
    <n v="4284957"/>
    <n v="1"/>
    <n v="0"/>
    <n v="920"/>
    <n v="615"/>
    <n v="615920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798"/>
    <s v="95"/>
    <s v="Versamento giornaliero di importo elevato per la causale ed il soggetto"/>
    <d v="2025-05-06T00:00:00"/>
    <n v="53850"/>
    <n v="121"/>
    <s v="053850_121"/>
    <s v="Discovery Day"/>
    <s v="Mai valutato"/>
    <m/>
    <s v="Vari (05/05/2025)"/>
    <n v="1213300002600"/>
    <n v="20250505"/>
    <x v="0"/>
    <m/>
    <x v="0"/>
    <s v="A     - Avere"/>
    <n v="999774.94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s v="IN CARICO AL RESPONSABILE"/>
    <x v="0"/>
    <n v="1"/>
    <m/>
    <m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97"/>
    <s v="95"/>
    <s v="Versamento giornaliero di importo elevato per la causale ed il soggetto"/>
    <d v="2025-05-06T00:00:00"/>
    <n v="53850"/>
    <n v="114"/>
    <s v="053850_114"/>
    <s v="Discovery Day"/>
    <s v="Mai valutato"/>
    <m/>
    <s v="Vari (05/05/2025)"/>
    <n v="1143306280621"/>
    <n v="20250505"/>
    <x v="5"/>
    <m/>
    <x v="0"/>
    <s v="A     - Avere"/>
    <n v="70460"/>
    <n v="7046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5"/>
    <s v="ARCHIVIATA"/>
    <x v="1"/>
    <n v="1"/>
    <n v="4658875"/>
    <n v="1"/>
    <n v="0"/>
    <n v="477"/>
    <n v="492"/>
    <n v="492477"/>
    <s v="Classe di rischio 5"/>
    <m/>
    <x v="5"/>
    <n v="55650"/>
    <n v="56502"/>
    <n v="57354"/>
    <n v="58206"/>
    <n v="59098"/>
    <n v="60010"/>
    <n v="60922"/>
    <n v="61827"/>
    <n v="62718"/>
    <n v="63609"/>
    <n v="64500"/>
    <n v="66288"/>
    <n v="68076"/>
    <n v="69864"/>
    <n v="70482"/>
    <n v="70515"/>
    <n v="70548"/>
    <n v="70590"/>
    <n v="70650"/>
    <n v="70710"/>
    <n v="7077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786"/>
    <s v="95"/>
    <s v="Versamento giornaliero di importo elevato per la causale ed il soggetto"/>
    <d v="2025-05-06T00:00:00"/>
    <n v="53850"/>
    <n v="108"/>
    <s v="053850_108"/>
    <s v="Discovery Day"/>
    <s v="Mai valutato"/>
    <m/>
    <s v="Vari (05/05/2025)"/>
    <n v="1083306291105"/>
    <n v="20250505"/>
    <x v="0"/>
    <m/>
    <x v="0"/>
    <s v="A     - Avere"/>
    <n v="186459.07"/>
    <n v="171340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1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778"/>
    <s v="95"/>
    <s v="Versamento giornaliero di importo elevato per la causale ed il soggetto"/>
    <d v="2025-05-06T00:00:00"/>
    <n v="53850"/>
    <n v="171"/>
    <s v="053850_171"/>
    <s v="Discovery Day"/>
    <s v="Mai valutato"/>
    <m/>
    <s v="Vari (05/05/2025)"/>
    <n v="1713305728950"/>
    <n v="20250505"/>
    <x v="2"/>
    <m/>
    <x v="0"/>
    <s v="A     - Avere"/>
    <n v="326087.23"/>
    <n v="326087.2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774"/>
    <s v="95"/>
    <s v="Versamento giornaliero di importo elevato per la causale ed il soggetto"/>
    <d v="2025-05-06T00:00:00"/>
    <n v="53850"/>
    <n v="121"/>
    <s v="053850_121"/>
    <s v="Discovery Day"/>
    <s v="Mai valutato"/>
    <m/>
    <n v="202505057951992"/>
    <n v="1213300003599"/>
    <n v="20250505"/>
    <x v="3"/>
    <m/>
    <x v="0"/>
    <s v="A     - Avere"/>
    <n v="400000"/>
    <n v="0"/>
    <n v="4874257"/>
    <s v="MSSMLE91R30A662Y"/>
    <s v="MOSSA EMILIO"/>
    <s v="600 - Famiglie consumatrici"/>
    <m/>
    <s v="086 - ITALIA"/>
    <n v="1054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773"/>
    <s v="95"/>
    <s v="Versamento giornaliero di importo elevato per la causale ed il soggetto"/>
    <d v="2025-05-06T00:00:00"/>
    <n v="53850"/>
    <n v="267"/>
    <s v="053850_267"/>
    <s v="Discovery Day"/>
    <s v="Mai valutato"/>
    <m/>
    <s v="Vari (05/05/2025)"/>
    <n v="2673300003600"/>
    <n v="20250505"/>
    <x v="0"/>
    <m/>
    <x v="0"/>
    <s v="A     - Avere"/>
    <n v="99229"/>
    <n v="98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5"/>
    <s v="ARCHIVIATA"/>
    <x v="1"/>
    <n v="1"/>
    <n v="1705101"/>
    <n v="1"/>
    <n v="1"/>
    <n v="999"/>
    <n v="492"/>
    <n v="492999"/>
    <m/>
    <n v="1"/>
    <x v="4"/>
    <n v="98000"/>
    <n v="98368.7"/>
    <n v="98737.4"/>
    <n v="99106.1"/>
    <n v="99955"/>
    <n v="101044"/>
    <n v="102133"/>
    <n v="103273.1"/>
    <n v="104515.4"/>
    <n v="105757.7"/>
    <n v="107000"/>
    <n v="109400"/>
    <n v="111800"/>
    <n v="114200"/>
    <n v="118800"/>
    <n v="124500"/>
    <n v="130200"/>
    <n v="151054.99999999991"/>
    <n v="202220.00000000009"/>
    <n v="253384.99999999991"/>
    <n v="30455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71"/>
    <s v="95"/>
    <s v="Versamento giornaliero di importo elevato per la causale ed il soggetto"/>
    <d v="2025-05-06T00:00:00"/>
    <n v="53850"/>
    <n v="128"/>
    <s v="053850_128"/>
    <s v="Discovery Day"/>
    <s v="Mai valutato"/>
    <m/>
    <s v="Vari (05/05/2025)"/>
    <n v="1283300001665"/>
    <n v="20250505"/>
    <x v="0"/>
    <m/>
    <x v="0"/>
    <s v="A     - Avere"/>
    <n v="129402.07"/>
    <n v="197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s v="ARCHIVIATA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770"/>
    <s v="95"/>
    <s v="Versamento giornaliero di importo elevato per la causale ed il soggetto"/>
    <d v="2025-05-06T00:00:00"/>
    <n v="53850"/>
    <n v="102"/>
    <s v="053850_102"/>
    <s v="Discovery Day"/>
    <s v="Mai valutato"/>
    <m/>
    <n v="202505057951819"/>
    <n v="1023308719048"/>
    <n v="20250505"/>
    <x v="1"/>
    <m/>
    <x v="0"/>
    <s v="A     - Avere"/>
    <n v="172000"/>
    <n v="0"/>
    <n v="467015"/>
    <s v="TLNMRS61M70I330O"/>
    <s v="TALENTO MARIA ROSA"/>
    <s v="615 - Altre famiglie produttrici"/>
    <s v="011 - COLTIVAZIONE DI COLTURE AGRICOLE NON PERMANENTI"/>
    <s v="086 - ITALIA"/>
    <n v="1949"/>
    <m/>
    <m/>
    <m/>
    <m/>
    <m/>
    <m/>
    <m/>
    <n v="0"/>
    <n v="202505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769"/>
    <s v="95"/>
    <s v="Versamento giornaliero di importo elevato per la causale ed il soggetto"/>
    <d v="2025-05-06T00:00:00"/>
    <n v="53850"/>
    <n v="171"/>
    <s v="053850_171"/>
    <s v="Discovery Day"/>
    <s v="Mai valutato"/>
    <m/>
    <s v="Vari (05/05/2025)"/>
    <n v="1713302214147"/>
    <n v="20250505"/>
    <x v="2"/>
    <m/>
    <x v="0"/>
    <s v="A     - Avere"/>
    <n v="141511.4"/>
    <n v="141511.4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767"/>
    <s v="95"/>
    <s v="Versamento giornaliero di importo elevato per la causale ed il soggetto"/>
    <d v="2025-05-06T00:00:00"/>
    <n v="53850"/>
    <n v="102"/>
    <s v="053850_102"/>
    <s v="Discovery Day"/>
    <s v="Mai valutato"/>
    <m/>
    <s v="Vari (05/05/2025)"/>
    <n v="1023300660520"/>
    <n v="20250505"/>
    <x v="0"/>
    <m/>
    <x v="0"/>
    <s v="A     - Avere"/>
    <n v="174738.75"/>
    <n v="3004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5"/>
    <s v="IN CARICO AL GESTORE"/>
    <x v="0"/>
    <n v="1"/>
    <n v="66052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750"/>
    <s v="95"/>
    <s v="Versamento giornaliero di importo elevato per la causale ed il soggetto"/>
    <d v="2025-05-03T00:00:00"/>
    <n v="53850"/>
    <n v="102"/>
    <s v="053850_102"/>
    <s v="Discovery Day"/>
    <s v="Mai valutato"/>
    <m/>
    <s v="Vari (02/05/2025)"/>
    <n v="1023308722503"/>
    <n v="20250502"/>
    <x v="2"/>
    <m/>
    <x v="0"/>
    <s v="A     - Avere"/>
    <n v="70770"/>
    <n v="707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1"/>
    <n v="1"/>
    <n v="413650"/>
    <n v="1"/>
    <n v="0"/>
    <n v="920"/>
    <n v="492"/>
    <n v="492920"/>
    <s v="Classe di rischio 5"/>
    <m/>
    <x v="5"/>
    <n v="55650"/>
    <n v="56502"/>
    <n v="57354"/>
    <n v="58206"/>
    <n v="59098"/>
    <n v="60010"/>
    <n v="60922"/>
    <n v="61827"/>
    <n v="62718"/>
    <n v="63609"/>
    <n v="64500"/>
    <n v="66288"/>
    <n v="68076"/>
    <n v="69864"/>
    <n v="70482"/>
    <n v="70515"/>
    <n v="70548"/>
    <n v="70590"/>
    <n v="70650"/>
    <n v="70710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48"/>
    <s v="95"/>
    <s v="Versamento giornaliero di importo elevato per la causale ed il soggetto"/>
    <d v="2025-05-03T00:00:00"/>
    <n v="53850"/>
    <n v="195"/>
    <s v="053850_195"/>
    <s v="Discovery Day"/>
    <s v="Mai valutato"/>
    <m/>
    <n v="202505027944756"/>
    <n v="1953300029029"/>
    <n v="20250502"/>
    <x v="1"/>
    <m/>
    <x v="0"/>
    <s v="A     - Avere"/>
    <n v="105000"/>
    <n v="0"/>
    <n v="3033332"/>
    <s v="DTTCMN51A22G252M"/>
    <s v="DETTOLI CARMINE"/>
    <s v="600 - Famiglie consumatrici"/>
    <m/>
    <s v="086 - ITALIA"/>
    <n v="1914"/>
    <m/>
    <m/>
    <m/>
    <m/>
    <m/>
    <m/>
    <m/>
    <n v="0"/>
    <n v="202505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45"/>
    <s v="95"/>
    <s v="Versamento giornaliero di importo elevato per la causale ed il soggetto"/>
    <d v="2025-05-03T00:00:00"/>
    <n v="53850"/>
    <n v="116"/>
    <s v="053850_116"/>
    <s v="Discovery Day"/>
    <s v="Mai valutato"/>
    <m/>
    <s v="Vari (02/05/2025)"/>
    <n v="1163305431040"/>
    <n v="20250502"/>
    <x v="1"/>
    <m/>
    <x v="0"/>
    <s v="A     - Avere"/>
    <n v="108504.23"/>
    <n v="0"/>
    <n v="543104"/>
    <n v="4393640729"/>
    <s v="TURBO SERVICE S.R.L."/>
    <s v="430 - Imprese produttive"/>
    <s v="466 - COMMERCIO ALL'INGROSSO DI ALTRI MACCHINARI, ATTREZZATURE E FORNITURE"/>
    <s v="086 - ITALIA"/>
    <n v="1696"/>
    <m/>
    <m/>
    <m/>
    <m/>
    <m/>
    <m/>
    <m/>
    <n v="0"/>
    <n v="202505"/>
    <s v="IN CARICO AL RESPONSABILE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43"/>
    <s v="95"/>
    <s v="Versamento giornaliero di importo elevato per la causale ed il soggetto"/>
    <d v="2025-05-03T00:00:00"/>
    <n v="53850"/>
    <n v="102"/>
    <s v="053850_102"/>
    <s v="Discovery Day"/>
    <s v="Mai valutato"/>
    <m/>
    <s v="Vari (02/05/2025)"/>
    <n v="1023300660520"/>
    <n v="20250502"/>
    <x v="0"/>
    <m/>
    <x v="0"/>
    <s v="A     - Avere"/>
    <n v="102114.57"/>
    <n v="874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5"/>
    <s v="IN CARICO AL GESTORE"/>
    <x v="0"/>
    <n v="1"/>
    <n v="66052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38"/>
    <s v="95"/>
    <s v="Versamento giornaliero di importo elevato per la causale ed il soggetto"/>
    <d v="2025-05-03T00:00:00"/>
    <n v="53850"/>
    <n v="121"/>
    <s v="053850_121"/>
    <s v="Discovery Day"/>
    <s v="Mai valutato"/>
    <m/>
    <s v="Vari (02/05/2025)"/>
    <n v="1213300002600"/>
    <n v="20250502"/>
    <x v="0"/>
    <m/>
    <x v="0"/>
    <s v="A     - Avere"/>
    <n v="1165788.52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s v="IN CARICO AL RESPONSABILE"/>
    <x v="0"/>
    <n v="1"/>
    <m/>
    <m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32"/>
    <s v="95"/>
    <s v="Versamento giornaliero di importo elevato per la causale ed il soggetto"/>
    <d v="2025-05-03T00:00:00"/>
    <n v="53850"/>
    <n v="195"/>
    <s v="053850_195"/>
    <s v="Discovery Day"/>
    <s v="Mai valutato"/>
    <m/>
    <n v="202505027944756"/>
    <n v="1953300029029"/>
    <n v="20250502"/>
    <x v="1"/>
    <m/>
    <x v="0"/>
    <s v="A     - Avere"/>
    <n v="105000"/>
    <n v="0"/>
    <n v="3033333"/>
    <s v="NRCRCC53S51G252Q"/>
    <s v="NARCOTINO ROCCA"/>
    <s v="615 - Altre famiglie produttrici"/>
    <s v="012 - COLTIVAZIONE DI COLTURE PERMANENTI"/>
    <s v="086 - ITALIA"/>
    <m/>
    <m/>
    <m/>
    <m/>
    <m/>
    <m/>
    <m/>
    <m/>
    <n v="0"/>
    <n v="202505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730"/>
    <s v="95"/>
    <s v="Versamento giornaliero di importo elevato per la causale ed il soggetto"/>
    <d v="2025-05-03T00:00:00"/>
    <n v="53850"/>
    <n v="128"/>
    <s v="053850_128"/>
    <s v="Discovery Day"/>
    <s v="Mai valutato"/>
    <m/>
    <s v="Vari (02/05/2025)"/>
    <n v="1283300001665"/>
    <n v="20250502"/>
    <x v="0"/>
    <m/>
    <x v="0"/>
    <s v="A     - Avere"/>
    <n v="123705.37"/>
    <n v="400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s v="ARCHIVIATA"/>
    <x v="1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67"/>
    <s v="95"/>
    <s v="Versamento giornaliero di importo elevato per la causale ed il soggetto"/>
    <d v="2025-07-01T00:00:00"/>
    <n v="53850"/>
    <n v="102"/>
    <s v="053850_102"/>
    <s v="Discovery Day"/>
    <s v="Mai valutato"/>
    <m/>
    <n v="202506308141600"/>
    <n v="1023306272895"/>
    <n v="20250630"/>
    <x v="3"/>
    <m/>
    <x v="0"/>
    <s v="A     - Avere"/>
    <n v="433000"/>
    <n v="0"/>
    <n v="52472"/>
    <s v="MRMNLM56A63A225F"/>
    <s v="MORAMARCO ANGELA MARIA"/>
    <s v="600 - Famiglie consumatrici"/>
    <m/>
    <s v="086 - ITALIA"/>
    <n v="1431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60"/>
    <s v="95"/>
    <s v="Versamento giornaliero di importo elevato per la causale ed il soggetto"/>
    <d v="2025-07-01T00:00:00"/>
    <n v="53850"/>
    <n v="226"/>
    <s v="053850_226"/>
    <s v="Discovery Day"/>
    <s v="Mai valutato"/>
    <m/>
    <n v="202506308142355"/>
    <n v="2263300012169"/>
    <n v="20250630"/>
    <x v="1"/>
    <m/>
    <x v="0"/>
    <s v="A     - Avere"/>
    <n v="500000"/>
    <n v="0"/>
    <n v="3746226"/>
    <s v="DVNMCL48P63A285F"/>
    <s v="DE VINCENZO IMMACOLATA"/>
    <s v="600 - Famiglie consumatrici"/>
    <m/>
    <s v="086 - ITALIA"/>
    <m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58"/>
    <s v="95"/>
    <s v="Versamento giornaliero di importo elevato per la causale ed il soggetto"/>
    <d v="2025-07-01T00:00:00"/>
    <n v="53850"/>
    <n v="268"/>
    <s v="053850_268"/>
    <s v="Discovery Day"/>
    <s v="Mai valutato"/>
    <m/>
    <n v="202506308142448"/>
    <n v="2683300006704"/>
    <n v="20250630"/>
    <x v="1"/>
    <m/>
    <x v="0"/>
    <s v="A     - Avere"/>
    <n v="101313.23"/>
    <n v="0"/>
    <n v="1705138"/>
    <n v="3015600798"/>
    <s v="M.SERVICE SRL"/>
    <s v="430 - Imprese produttive"/>
    <s v="431 - DEMOLIZIONE E PREPARAZIONE DEL CANTIERE EDILE"/>
    <s v="086 - ITALIA"/>
    <n v="1891"/>
    <m/>
    <m/>
    <m/>
    <m/>
    <m/>
    <m/>
    <m/>
    <n v="0"/>
    <n v="202506"/>
    <s v="IN VALUTAZIONE RPR"/>
    <x v="0"/>
    <n v="1"/>
    <m/>
    <m/>
    <n v="0"/>
    <n v="431"/>
    <n v="430"/>
    <n v="430431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657"/>
    <s v="95"/>
    <s v="Versamento giornaliero di importo elevato per la causale ed il soggetto"/>
    <d v="2025-07-01T00:00:00"/>
    <n v="53850"/>
    <n v="226"/>
    <s v="053850_226"/>
    <s v="Discovery Day"/>
    <s v="Mai valutato"/>
    <m/>
    <n v="202506308142355"/>
    <n v="2263300012169"/>
    <n v="20250630"/>
    <x v="1"/>
    <m/>
    <x v="0"/>
    <s v="A     - Avere"/>
    <n v="500000"/>
    <n v="0"/>
    <n v="3746217"/>
    <s v="DLIGLI48L25L328A"/>
    <s v="DI LEO GIULIO"/>
    <s v="600 - Famiglie consumatrici"/>
    <m/>
    <s v="086 - ITALIA"/>
    <m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56"/>
    <s v="95"/>
    <s v="Versamento giornaliero di importo elevato per la causale ed il soggetto"/>
    <d v="2025-07-01T00:00:00"/>
    <n v="53850"/>
    <n v="103"/>
    <s v="053850_103"/>
    <s v="Discovery Day"/>
    <s v="Mai valutato"/>
    <m/>
    <n v="202506308141649"/>
    <n v="1033300511030"/>
    <n v="20250630"/>
    <x v="1"/>
    <m/>
    <x v="0"/>
    <s v="A     - Avere"/>
    <n v="130000"/>
    <n v="0"/>
    <n v="51103"/>
    <s v="LPDPQL40P10E155Q"/>
    <s v="LOPEDOTA PASQUALE"/>
    <s v="600 - Famiglie consumatrici"/>
    <m/>
    <s v="086 - ITALIA"/>
    <n v="407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655"/>
    <s v="95"/>
    <s v="Versamento giornaliero di importo elevato per la causale ed il soggetto"/>
    <d v="2025-07-01T00:00:00"/>
    <n v="53850"/>
    <n v="109"/>
    <s v="053850_109"/>
    <s v="Discovery Day"/>
    <s v="Mai valutato"/>
    <m/>
    <n v="202506308141756"/>
    <n v="1093300002993"/>
    <n v="20250630"/>
    <x v="1"/>
    <m/>
    <x v="0"/>
    <s v="A     - Avere"/>
    <n v="119300"/>
    <n v="0"/>
    <n v="4035986"/>
    <s v="RCNTRS56R66A662T"/>
    <s v="RACANELLI TERESA"/>
    <s v="600 - Famiglie consumatrici"/>
    <m/>
    <s v="086 - ITALIA"/>
    <n v="929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54"/>
    <s v="95"/>
    <s v="Versamento giornaliero di importo elevato per la causale ed il soggetto"/>
    <d v="2025-07-01T00:00:00"/>
    <n v="53850"/>
    <n v="128"/>
    <s v="053850_128"/>
    <s v="Discovery Day"/>
    <s v="Mai valutato"/>
    <m/>
    <s v="Vari (30/06/2025)"/>
    <n v="1093306672844"/>
    <n v="20250630"/>
    <x v="0"/>
    <m/>
    <x v="0"/>
    <s v="A     - Avere"/>
    <n v="101400"/>
    <n v="140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6"/>
    <s v="IN CARICO AL GESTORE"/>
    <x v="0"/>
    <n v="1"/>
    <n v="440311"/>
    <n v="1"/>
    <n v="1"/>
    <n v="451"/>
    <n v="430"/>
    <n v="430451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649"/>
    <s v="95"/>
    <s v="Versamento giornaliero di importo elevato per la causale ed il soggetto"/>
    <d v="2025-07-01T00:00:00"/>
    <n v="53850"/>
    <n v="161"/>
    <s v="053850_161"/>
    <s v="Discovery Day"/>
    <s v="Mai valutato"/>
    <m/>
    <n v="202506308142034"/>
    <n v="1613300032598"/>
    <n v="20250630"/>
    <x v="1"/>
    <m/>
    <x v="0"/>
    <s v="A     - Avere"/>
    <n v="107146.85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6"/>
    <s v="IN CARICO AL GESTORE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47"/>
    <s v="95"/>
    <s v="Versamento giornaliero di importo elevato per la causale ed il soggetto"/>
    <d v="2025-07-01T00:00:00"/>
    <n v="53850"/>
    <n v="102"/>
    <s v="053850_102"/>
    <s v="Discovery Day"/>
    <s v="Mai valutato"/>
    <m/>
    <s v="Vari (30/06/2025)"/>
    <n v="1023308717655"/>
    <n v="20250630"/>
    <x v="0"/>
    <m/>
    <x v="0"/>
    <s v="A     - Avere"/>
    <n v="189404.49"/>
    <n v="0"/>
    <n v="4226959"/>
    <n v="6150080726"/>
    <s v="INDUSTRIA MOLITORIA F.LLI MARTIMUCCI S.R.L."/>
    <s v="430 - Imprese produttive"/>
    <s v="106 - LAVORAZIONE DELLE GRANAGLIE, PRODUZIONE DI AMIDI E DI PRODOTTI AMIDACEI"/>
    <s v="086 - ITALIA"/>
    <n v="739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643"/>
    <s v="95"/>
    <s v="Versamento giornaliero di importo elevato per la causale ed il soggetto"/>
    <d v="2025-07-01T00:00:00"/>
    <n v="53850"/>
    <n v="121"/>
    <s v="053850_121"/>
    <s v="Discovery Day"/>
    <s v="Mai valutato"/>
    <m/>
    <n v="202506308141858"/>
    <n v="1213300002971"/>
    <n v="20250630"/>
    <x v="1"/>
    <m/>
    <x v="0"/>
    <s v="A     - Avere"/>
    <n v="246000"/>
    <n v="0"/>
    <n v="4859756"/>
    <n v="7229510727"/>
    <s v="ORGANIZZAZIONE DI PRODUTTORI PUGLIAVIVA - SO"/>
    <s v="430 - Imprese produttive"/>
    <s v="016 - ATTIVITÀ DI SUPPORTO ALL'AGRICOLTURA E ATTIVITÀ SUCCESSIVE ALLA RACCOLTA"/>
    <s v="086 - ITALIA"/>
    <n v="1058"/>
    <m/>
    <m/>
    <m/>
    <m/>
    <m/>
    <m/>
    <m/>
    <n v="0"/>
    <n v="202506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642"/>
    <s v="95"/>
    <s v="Versamento giornaliero di importo elevato per la causale ed il soggetto"/>
    <d v="2025-07-01T00:00:00"/>
    <n v="53850"/>
    <n v="129"/>
    <s v="053850_129"/>
    <s v="Discovery Day"/>
    <s v="Mai valutato"/>
    <m/>
    <s v="Vari (30/06/2025)"/>
    <n v="2343300010453"/>
    <n v="20250630"/>
    <x v="0"/>
    <m/>
    <x v="0"/>
    <s v="A     - Avere"/>
    <n v="224735.1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0"/>
    <n v="1"/>
    <n v="4247777"/>
    <n v="1"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638"/>
    <s v="95"/>
    <s v="Versamento giornaliero di importo elevato per la causale ed il soggetto"/>
    <d v="2025-07-01T00:00:00"/>
    <n v="53850"/>
    <n v="267"/>
    <s v="053850_267"/>
    <s v="Discovery Day"/>
    <s v="Mai valutato"/>
    <m/>
    <s v="Vari (30/06/2025)"/>
    <n v="2673300010274"/>
    <n v="20250630"/>
    <x v="1"/>
    <m/>
    <x v="0"/>
    <s v="A     - Avere"/>
    <n v="109129.54"/>
    <n v="0"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35"/>
    <s v="95"/>
    <s v="Versamento giornaliero di importo elevato per la causale ed il soggetto"/>
    <d v="2025-07-01T00:00:00"/>
    <n v="53850"/>
    <n v="161"/>
    <s v="053850_161"/>
    <s v="Discovery Day"/>
    <s v="Mai valutato"/>
    <m/>
    <s v="Vari (30/06/2025)"/>
    <n v="1613300029653"/>
    <n v="20250630"/>
    <x v="0"/>
    <m/>
    <x v="0"/>
    <s v="A     - Avere"/>
    <n v="259946.2"/>
    <n v="70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633"/>
    <s v="95"/>
    <s v="Versamento giornaliero di importo elevato per la causale ed il soggetto"/>
    <d v="2025-07-01T00:00:00"/>
    <n v="53850"/>
    <n v="192"/>
    <s v="053850_192"/>
    <s v="Discovery Day"/>
    <s v="Mai valutato"/>
    <m/>
    <s v="Vari (30/06/2025)"/>
    <n v="1923300180351"/>
    <n v="20250630"/>
    <x v="0"/>
    <m/>
    <x v="0"/>
    <s v="A     - Avere"/>
    <n v="280497.34000000003"/>
    <n v="0"/>
    <n v="4365602"/>
    <n v="2514190731"/>
    <s v="TRE P. ABBIGLIAMENTO S.R.L."/>
    <s v="430 - Imprese produttive"/>
    <s v="141 - CONFEZIONE DI ARTICOLI DI ABBIGLIAMENTO (ESCLUSO ABBIGLIAMENTO IN PELLICCIA)"/>
    <s v="086 - ITALIA"/>
    <n v="1066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632"/>
    <s v="95"/>
    <s v="Versamento giornaliero di importo elevato per la causale ed il soggetto"/>
    <d v="2025-07-01T00:00:00"/>
    <n v="53850"/>
    <n v="108"/>
    <s v="053850_108"/>
    <s v="Discovery Day"/>
    <s v="Mai valutato"/>
    <m/>
    <n v="202506308141731"/>
    <n v="1083306289591"/>
    <n v="20250630"/>
    <x v="1"/>
    <m/>
    <x v="0"/>
    <s v="A     - Avere"/>
    <n v="138780.82999999999"/>
    <n v="0"/>
    <n v="4709106"/>
    <n v="7342200727"/>
    <s v="ICON S.R.L."/>
    <s v="430 - Imprese produttive"/>
    <s v="141 - CONFEZIONE DI ARTICOLI DI ABBIGLIAMENTO (ESCLUSO ABBIGLIAMENTO IN PELLICCIA)"/>
    <s v="086 - ITALIA"/>
    <n v="1118"/>
    <m/>
    <m/>
    <m/>
    <m/>
    <m/>
    <m/>
    <m/>
    <n v="0"/>
    <n v="202506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631"/>
    <s v="95"/>
    <s v="Versamento giornaliero di importo elevato per la causale ed il soggetto"/>
    <d v="2025-07-01T00:00:00"/>
    <n v="53850"/>
    <n v="141"/>
    <s v="053850_141"/>
    <s v="Discovery Day"/>
    <s v="Mai valutato"/>
    <m/>
    <s v="Vari (30/06/2025)"/>
    <n v="1413300004393"/>
    <n v="20250630"/>
    <x v="0"/>
    <m/>
    <x v="0"/>
    <s v="A     - Avere"/>
    <n v="244056.98"/>
    <n v="35370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s v="086 - ITALIA"/>
    <n v="862"/>
    <m/>
    <m/>
    <m/>
    <m/>
    <m/>
    <m/>
    <m/>
    <n v="0"/>
    <n v="202506"/>
    <s v="IN VALUTAZIONE RPR"/>
    <x v="0"/>
    <n v="1"/>
    <n v="3743595"/>
    <n v="1"/>
    <n v="1"/>
    <n v="999"/>
    <n v="501"/>
    <n v="501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630"/>
    <s v="95"/>
    <s v="Versamento giornaliero di importo elevato per la causale ed il soggetto"/>
    <d v="2025-07-01T00:00:00"/>
    <n v="53850"/>
    <n v="170"/>
    <s v="053850_170"/>
    <s v="Discovery Day"/>
    <s v="Mai valutato"/>
    <m/>
    <s v="Vari (30/06/2025)"/>
    <n v="1703306288421"/>
    <n v="20250630"/>
    <x v="0"/>
    <m/>
    <x v="0"/>
    <s v="A     - Avere"/>
    <n v="209016.74"/>
    <n v="0"/>
    <n v="4803929"/>
    <n v="4829870726"/>
    <s v="I NOBILI S.R.L."/>
    <s v="430 - Imprese produttive"/>
    <s v="251 - FABBRICAZIONE DI ELEMENTI DA COSTRUZIONE IN METALLO"/>
    <s v="086 - ITALIA"/>
    <n v="1696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628"/>
    <s v="95"/>
    <s v="Versamento giornaliero di importo elevato per la causale ed il soggetto"/>
    <d v="2025-07-01T00:00:00"/>
    <n v="53850"/>
    <n v="153"/>
    <s v="053850_153"/>
    <s v="Discovery Day"/>
    <s v="Mai valutato"/>
    <m/>
    <n v="202506308141995"/>
    <n v="1533300662905"/>
    <n v="20250630"/>
    <x v="1"/>
    <m/>
    <x v="0"/>
    <s v="A     - Avere"/>
    <n v="114534.2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s v="ARCHIVIATA"/>
    <x v="1"/>
    <n v="1"/>
    <m/>
    <m/>
    <n v="0"/>
    <n v="236"/>
    <n v="430"/>
    <n v="430236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616"/>
    <s v="95"/>
    <s v="Versamento giornaliero di importo elevato per la causale ed il soggetto"/>
    <d v="2025-07-01T00:00:00"/>
    <n v="53850"/>
    <n v="128"/>
    <s v="053850_128"/>
    <s v="Discovery Day"/>
    <s v="Mai valutato"/>
    <m/>
    <s v="Vari (30/06/2025)"/>
    <n v="1283300001665"/>
    <n v="20250630"/>
    <x v="0"/>
    <m/>
    <x v="0"/>
    <s v="A     - Avere"/>
    <n v="272187.84999999998"/>
    <n v="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615"/>
    <s v="95"/>
    <s v="Versamento giornaliero di importo elevato per la causale ed il soggetto"/>
    <d v="2025-07-01T00:00:00"/>
    <n v="53850"/>
    <n v="104"/>
    <s v="053850_104"/>
    <s v="Discovery Day"/>
    <s v="Mai valutato"/>
    <m/>
    <s v="Vari (30/06/2025)"/>
    <n v="1043304173550"/>
    <n v="20250630"/>
    <x v="0"/>
    <m/>
    <x v="0"/>
    <s v="A     - Avere"/>
    <n v="192719.84"/>
    <n v="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6"/>
    <s v="IN VALUTAZIONE RPR"/>
    <x v="0"/>
    <n v="1"/>
    <n v="417355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613"/>
    <s v="95"/>
    <s v="Versamento giornaliero di importo elevato per la causale ed il soggetto"/>
    <d v="2025-07-01T00:00:00"/>
    <n v="53850"/>
    <n v="108"/>
    <s v="053850_108"/>
    <s v="Discovery Day"/>
    <s v="Mai valutato"/>
    <m/>
    <s v="Vari (30/06/2025)"/>
    <n v="1083300011180"/>
    <n v="20250630"/>
    <x v="0"/>
    <m/>
    <x v="0"/>
    <s v="A     - Avere"/>
    <n v="152195.67000000001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610"/>
    <s v="95"/>
    <s v="Versamento giornaliero di importo elevato per la causale ed il soggetto"/>
    <d v="2025-07-01T00:00:00"/>
    <n v="53850"/>
    <n v="102"/>
    <s v="053850_102"/>
    <s v="Discovery Day"/>
    <s v="Mai valutato"/>
    <m/>
    <s v="Vari (30/06/2025)"/>
    <n v="1023300660520"/>
    <n v="20250630"/>
    <x v="0"/>
    <m/>
    <x v="0"/>
    <s v="A     - Avere"/>
    <n v="110530"/>
    <n v="4028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6"/>
    <s v="IN CARICO AL GESTORE"/>
    <x v="0"/>
    <n v="1"/>
    <n v="66052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07"/>
    <s v="95"/>
    <s v="Versamento giornaliero di importo elevato per la causale ed il soggetto"/>
    <d v="2025-07-01T00:00:00"/>
    <n v="53850"/>
    <n v="226"/>
    <s v="053850_226"/>
    <s v="Discovery Day"/>
    <s v="Mai valutato"/>
    <m/>
    <n v="202506308142356"/>
    <n v="2263300012166"/>
    <n v="20250630"/>
    <x v="1"/>
    <m/>
    <x v="0"/>
    <s v="A     - Avere"/>
    <n v="300000"/>
    <n v="0"/>
    <n v="3746195"/>
    <n v="8613210726"/>
    <s v="AB DI LEO S.R.L."/>
    <s v="430 - Imprese produttive"/>
    <s v="467 - COMMERCIO ALL'INGROSSO SPECIALIZZATO DI ALTRI PRODOTTI"/>
    <s v="086 - ITALIA"/>
    <n v="1530"/>
    <m/>
    <m/>
    <m/>
    <m/>
    <m/>
    <m/>
    <m/>
    <n v="0"/>
    <n v="202506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604"/>
    <s v="95"/>
    <s v="Versamento giornaliero di importo elevato per la causale ed il soggetto"/>
    <d v="2025-07-01T00:00:00"/>
    <n v="53850"/>
    <n v="102"/>
    <s v="053850_102"/>
    <s v="Discovery Day"/>
    <s v="Mai valutato"/>
    <m/>
    <n v="202506308141600"/>
    <n v="1023306272895"/>
    <n v="20250630"/>
    <x v="3"/>
    <m/>
    <x v="0"/>
    <s v="A     - Avere"/>
    <n v="433000"/>
    <n v="0"/>
    <n v="135922"/>
    <s v="CSAPQL52M02A225K"/>
    <s v="CASO PASQUALE"/>
    <s v="600 - Famiglie consumatrici"/>
    <m/>
    <s v="086 - ITALIA"/>
    <n v="1335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99"/>
    <s v="95"/>
    <s v="Versamento giornaliero di importo elevato per la causale ed il soggetto"/>
    <d v="2025-07-01T00:00:00"/>
    <n v="53850"/>
    <n v="287"/>
    <s v="053850_287"/>
    <s v="Discovery Day"/>
    <s v="Mai valutato"/>
    <m/>
    <s v="Vari (30/06/2025)"/>
    <n v="2873300001853"/>
    <n v="20250630"/>
    <x v="1"/>
    <m/>
    <x v="0"/>
    <s v="A     - Avere"/>
    <n v="100855.32"/>
    <n v="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s v="IN VALUTAZIONE RPR"/>
    <x v="0"/>
    <n v="1"/>
    <n v="3722213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598"/>
    <s v="95"/>
    <s v="Versamento giornaliero di importo elevato per la causale ed il soggetto"/>
    <d v="2025-07-01T00:00:00"/>
    <n v="53850"/>
    <n v="175"/>
    <s v="053850_175"/>
    <s v="Discovery Day"/>
    <s v="Mai valutato"/>
    <m/>
    <s v="Vari (30/06/2025)"/>
    <n v="1753302203127"/>
    <n v="20250630"/>
    <x v="0"/>
    <m/>
    <x v="0"/>
    <s v="A     - Avere"/>
    <n v="191299.57"/>
    <n v="28600"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s v="IN VALUTAZIONE RPR"/>
    <x v="0"/>
    <n v="1"/>
    <n v="4160138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579"/>
    <s v="95"/>
    <s v="Versamento giornaliero di importo elevato per la causale ed il soggetto"/>
    <d v="2025-06-28T00:00:00"/>
    <n v="53850"/>
    <n v="103"/>
    <s v="053850_103"/>
    <s v="Discovery Day"/>
    <s v="Mai valutato"/>
    <m/>
    <n v="202506278131152"/>
    <n v="1033306979706"/>
    <n v="20250627"/>
    <x v="1"/>
    <m/>
    <x v="0"/>
    <s v="A     - Avere"/>
    <n v="139960"/>
    <n v="0"/>
    <n v="4963589"/>
    <n v="8530200727"/>
    <s v="P.L.P. COSTRUZIONI S.R.L."/>
    <s v="430 - Imprese produttive"/>
    <s v="412 - COSTRUZIONE DI EDIFICI RESIDENZIALI E NON RESIDENZIALI"/>
    <s v="086 - ITALIA"/>
    <n v="1175"/>
    <m/>
    <m/>
    <m/>
    <m/>
    <m/>
    <m/>
    <m/>
    <n v="0"/>
    <n v="202506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78"/>
    <s v="95"/>
    <s v="Versamento giornaliero di importo elevato per la causale ed il soggetto"/>
    <d v="2025-06-28T00:00:00"/>
    <n v="53850"/>
    <n v="198"/>
    <s v="053850_198"/>
    <s v="Discovery Day"/>
    <s v="Mai valutato"/>
    <m/>
    <n v="202506278131535"/>
    <n v="1983300003802"/>
    <n v="20250627"/>
    <x v="3"/>
    <m/>
    <x v="0"/>
    <s v="A     - Avere"/>
    <n v="225000"/>
    <n v="0"/>
    <n v="3732842"/>
    <s v="MNGMRP02C69H926F"/>
    <s v="MANGIACAVALLO MARIAPIA"/>
    <s v="600 - Famiglie consumatrici"/>
    <m/>
    <s v="086 - ITALIA"/>
    <m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77"/>
    <s v="95"/>
    <s v="Versamento giornaliero di importo elevato per la causale ed il soggetto"/>
    <d v="2025-06-28T00:00:00"/>
    <n v="53850"/>
    <n v="282"/>
    <s v="053850_282"/>
    <s v="Discovery Day"/>
    <s v="Mai valutato"/>
    <m/>
    <n v="202506278131668"/>
    <n v="2823300002892"/>
    <n v="20250627"/>
    <x v="1"/>
    <m/>
    <x v="0"/>
    <s v="A     - Avere"/>
    <n v="135118.66"/>
    <n v="0"/>
    <n v="1706728"/>
    <n v="2018990693"/>
    <s v="CERINO SRL"/>
    <s v="430 - Imprese produttive"/>
    <s v="467 - COMMERCIO ALL'INGROSSO SPECIALIZZATO DI ALTRI PRODOTTI"/>
    <s v="086 - ITALIA"/>
    <n v="1877"/>
    <m/>
    <m/>
    <m/>
    <m/>
    <m/>
    <m/>
    <m/>
    <n v="0"/>
    <n v="202506"/>
    <s v="IN CARICO AL GESTORE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64"/>
    <s v="95"/>
    <s v="Versamento giornaliero di importo elevato per la causale ed il soggetto"/>
    <d v="2025-06-28T00:00:00"/>
    <n v="53850"/>
    <n v="161"/>
    <s v="053850_161"/>
    <s v="Discovery Day"/>
    <s v="Mai valutato"/>
    <m/>
    <s v="Vari (27/06/2025)"/>
    <n v="1613300032598"/>
    <n v="20250627"/>
    <x v="0"/>
    <m/>
    <x v="0"/>
    <s v="A     - Avere"/>
    <n v="147045.51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6"/>
    <s v="IN CARICO AL GESTORE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562"/>
    <s v="95"/>
    <s v="Versamento giornaliero di importo elevato per la causale ed il soggetto"/>
    <d v="2025-06-28T00:00:00"/>
    <n v="53850"/>
    <n v="103"/>
    <s v="053850_103"/>
    <s v="Discovery Day"/>
    <s v="Mai valutato"/>
    <m/>
    <n v="202506278131142"/>
    <n v="1033306986188"/>
    <n v="20250627"/>
    <x v="5"/>
    <m/>
    <x v="0"/>
    <s v="A     - Avere"/>
    <n v="194500"/>
    <n v="0"/>
    <n v="4318742"/>
    <s v="NVDMRA74R47A225I"/>
    <s v="NAVEDORO MARIA"/>
    <s v="600 - Famiglie consumatrici"/>
    <m/>
    <s v="086 - ITALIA"/>
    <n v="1657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559"/>
    <s v="95"/>
    <s v="Versamento giornaliero di importo elevato per la causale ed il soggetto"/>
    <d v="2025-06-28T00:00:00"/>
    <n v="53850"/>
    <n v="121"/>
    <s v="053850_121"/>
    <s v="Discovery Day"/>
    <s v="Mai valutato"/>
    <m/>
    <s v="Vari (27/06/2025)"/>
    <n v="1213300002600"/>
    <n v="20250627"/>
    <x v="0"/>
    <m/>
    <x v="0"/>
    <s v="A     - Avere"/>
    <n v="695126.13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0"/>
    <n v="1"/>
    <m/>
    <m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58"/>
    <s v="95"/>
    <s v="Versamento giornaliero di importo elevato per la causale ed il soggetto"/>
    <d v="2025-06-28T00:00:00"/>
    <n v="53850"/>
    <n v="103"/>
    <s v="053850_103"/>
    <s v="Discovery Day"/>
    <s v="Mai valutato"/>
    <m/>
    <n v="202506278131142"/>
    <n v="1033306986188"/>
    <n v="20250627"/>
    <x v="5"/>
    <m/>
    <x v="0"/>
    <s v="A     - Avere"/>
    <n v="194500"/>
    <n v="0"/>
    <n v="446772"/>
    <s v="CSSGNN75C14A225B"/>
    <s v="CASSANO GIOVANNI"/>
    <s v="600 - Famiglie consumatrici"/>
    <m/>
    <s v="086 - ITALIA"/>
    <n v="1657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552"/>
    <s v="95"/>
    <s v="Versamento giornaliero di importo elevato per la causale ed il soggetto"/>
    <d v="2025-06-28T00:00:00"/>
    <n v="53850"/>
    <n v="148"/>
    <s v="053850_148"/>
    <s v="Discovery Day"/>
    <s v="Mai valutato"/>
    <m/>
    <n v="202506278131340"/>
    <n v="1483300005166"/>
    <n v="20250627"/>
    <x v="4"/>
    <m/>
    <x v="0"/>
    <s v="A     - Avere"/>
    <n v="100000"/>
    <n v="0"/>
    <n v="4956823"/>
    <n v="1776340620"/>
    <s v="EXPERT - TONER S.R.L."/>
    <s v="430 - Imprese produttive"/>
    <s v="464 - COMMERCIO ALL'INGROSSO DI BENI DI CONSUMO FINALE"/>
    <s v="086 - ITALIA"/>
    <n v="1340"/>
    <m/>
    <m/>
    <m/>
    <m/>
    <m/>
    <m/>
    <m/>
    <n v="0"/>
    <n v="202506"/>
    <s v="ARCHIVIATA"/>
    <x v="1"/>
    <n v="1"/>
    <m/>
    <m/>
    <n v="0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551"/>
    <s v="95"/>
    <s v="Versamento giornaliero di importo elevato per la causale ed il soggetto"/>
    <d v="2025-06-28T00:00:00"/>
    <n v="53850"/>
    <n v="176"/>
    <s v="053850_176"/>
    <s v="Discovery Day"/>
    <s v="Mai valutato"/>
    <m/>
    <s v="Vari (27/06/2025)"/>
    <n v="1763300019867"/>
    <n v="20250627"/>
    <x v="0"/>
    <m/>
    <x v="0"/>
    <s v="A     - Avere"/>
    <n v="110000"/>
    <n v="0"/>
    <n v="4924115"/>
    <s v="VVNMRD99T43G786T"/>
    <s v="VIVIANO MARIAIDA"/>
    <s v="615 - Altre famiglie produttrici"/>
    <s v="011 - COLTIVAZIONE DI COLTURE AGRICOLE NON PERMANENTI"/>
    <s v="086 - ITALIA"/>
    <n v="672"/>
    <m/>
    <m/>
    <m/>
    <m/>
    <m/>
    <m/>
    <m/>
    <n v="0"/>
    <n v="202506"/>
    <s v="IN VALUTAZIONE RPR"/>
    <x v="0"/>
    <n v="1"/>
    <m/>
    <m/>
    <n v="1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539"/>
    <s v="95"/>
    <s v="Versamento giornaliero di importo elevato per la causale ed il soggetto"/>
    <d v="2025-06-27T00:00:00"/>
    <n v="53850"/>
    <n v="171"/>
    <s v="053850_171"/>
    <s v="Discovery Day"/>
    <s v="Mai valutato"/>
    <m/>
    <s v="Vari (26/06/2025)"/>
    <n v="1713305728950"/>
    <n v="20250626"/>
    <x v="2"/>
    <m/>
    <x v="0"/>
    <s v="A     - Avere"/>
    <n v="433206.55"/>
    <n v="433206.5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533"/>
    <s v="95"/>
    <s v="Versamento giornaliero di importo elevato per la causale ed il soggetto"/>
    <d v="2025-06-27T00:00:00"/>
    <n v="53850"/>
    <n v="103"/>
    <s v="053850_103"/>
    <s v="Discovery Day"/>
    <s v="Mai valutato"/>
    <m/>
    <n v="202506268127451"/>
    <n v="1033306985372"/>
    <n v="20250626"/>
    <x v="3"/>
    <m/>
    <x v="0"/>
    <s v="A     - Avere"/>
    <n v="175000"/>
    <n v="0"/>
    <n v="78893"/>
    <s v="LCTPRN51M42E155P"/>
    <s v="LUCATORTO PROSCIA PIERINA"/>
    <s v="600 - Famiglie consumatrici"/>
    <m/>
    <s v="086 - ITALIA"/>
    <n v="806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531"/>
    <s v="95"/>
    <s v="Versamento giornaliero di importo elevato per la causale ed il soggetto"/>
    <d v="2025-06-27T00:00:00"/>
    <n v="53850"/>
    <n v="268"/>
    <s v="053850_268"/>
    <s v="Discovery Day"/>
    <s v="Mai valutato"/>
    <m/>
    <n v="202506268127808"/>
    <n v="2683300006613"/>
    <n v="20250626"/>
    <x v="3"/>
    <m/>
    <x v="0"/>
    <s v="A     - Avere"/>
    <n v="191000"/>
    <n v="0"/>
    <n v="1704019"/>
    <s v="CRVGND74P44F537G"/>
    <s v="CERAVOLO GIOCONDA"/>
    <s v="615 - Altre famiglie produttrici"/>
    <s v="691 - ATTIVITÀ DEGLI STUDI LEGALI"/>
    <s v="086 - ITALIA"/>
    <n v="1852"/>
    <m/>
    <m/>
    <m/>
    <m/>
    <m/>
    <m/>
    <m/>
    <n v="0"/>
    <n v="202506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27"/>
    <s v="95"/>
    <s v="Versamento giornaliero di importo elevato per la causale ed il soggetto"/>
    <d v="2025-06-27T00:00:00"/>
    <n v="53850"/>
    <n v="116"/>
    <s v="053850_116"/>
    <s v="Discovery Day"/>
    <s v="Mai valutato"/>
    <m/>
    <s v="Vari (26/06/2025)"/>
    <n v="2343300010453"/>
    <n v="20250626"/>
    <x v="2"/>
    <m/>
    <x v="0"/>
    <s v="A     - Avere"/>
    <n v="203564"/>
    <n v="203564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25"/>
    <s v="95"/>
    <s v="Versamento giornaliero di importo elevato per la causale ed il soggetto"/>
    <d v="2025-06-27T00:00:00"/>
    <n v="53850"/>
    <n v="171"/>
    <s v="053850_171"/>
    <s v="Discovery Day"/>
    <s v="Mai valutato"/>
    <m/>
    <s v="Vari (26/06/2025)"/>
    <n v="1713302214147"/>
    <n v="20250626"/>
    <x v="0"/>
    <m/>
    <x v="0"/>
    <s v="A     - Avere"/>
    <n v="190385"/>
    <n v="19038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0"/>
    <n v="1"/>
    <n v="4199319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522"/>
    <s v="95"/>
    <s v="Versamento giornaliero di importo elevato per la causale ed il soggetto"/>
    <d v="2025-06-27T00:00:00"/>
    <n v="53850"/>
    <n v="103"/>
    <s v="053850_103"/>
    <s v="Discovery Day"/>
    <s v="Mai valutato"/>
    <m/>
    <n v="202506268127443"/>
    <n v="1033300511030"/>
    <n v="20250626"/>
    <x v="1"/>
    <m/>
    <x v="0"/>
    <s v="A     - Avere"/>
    <n v="130000"/>
    <n v="0"/>
    <n v="51103"/>
    <s v="LPDPQL40P10E155Q"/>
    <s v="LOPEDOTA PASQUALE"/>
    <s v="600 - Famiglie consumatrici"/>
    <m/>
    <s v="086 - ITALIA"/>
    <n v="407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10"/>
    <s v="95"/>
    <s v="Versamento giornaliero di importo elevato per la causale ed il soggetto"/>
    <d v="2025-06-27T00:00:00"/>
    <n v="53850"/>
    <n v="108"/>
    <s v="053850_108"/>
    <s v="Discovery Day"/>
    <s v="Mai valutato"/>
    <m/>
    <s v="Vari (26/06/2025)"/>
    <n v="1083300011180"/>
    <n v="20250626"/>
    <x v="0"/>
    <m/>
    <x v="0"/>
    <s v="A     - Avere"/>
    <n v="164479.12"/>
    <n v="105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498"/>
    <s v="95"/>
    <s v="Versamento giornaliero di importo elevato per la causale ed il soggetto"/>
    <d v="2025-06-26T00:00:00"/>
    <n v="53850"/>
    <n v="174"/>
    <s v="053850_174"/>
    <s v="Discovery Day"/>
    <s v="Mai valutato"/>
    <m/>
    <n v="202506258124771"/>
    <n v="1963302352389"/>
    <n v="20250625"/>
    <x v="3"/>
    <m/>
    <x v="0"/>
    <s v="A     - Avere"/>
    <n v="200470"/>
    <n v="0"/>
    <n v="4568128"/>
    <n v="3162580710"/>
    <s v="LA VERONESE SRL"/>
    <s v="430 - Imprese produttive"/>
    <s v="682 - AFFITTO E GESTIONE DI IMMOBILI DI PROPRIETÀ O IN LEASING "/>
    <s v="086 - ITALIA"/>
    <n v="1453"/>
    <m/>
    <m/>
    <m/>
    <m/>
    <m/>
    <m/>
    <m/>
    <n v="0"/>
    <n v="202506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0"/>
    <s v="95"/>
    <s v="Versamento giornaliero di importo elevato per la causale ed il soggetto"/>
    <d v="2025-06-26T00:00:00"/>
    <n v="53850"/>
    <n v="121"/>
    <s v="053850_121"/>
    <s v="Discovery Day"/>
    <s v="Mai valutato"/>
    <m/>
    <s v="Vari (25/06/2025)"/>
    <n v="1213300002600"/>
    <n v="20250625"/>
    <x v="0"/>
    <m/>
    <x v="0"/>
    <s v="A     - Avere"/>
    <n v="473652.88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0"/>
    <n v="1"/>
    <m/>
    <m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473"/>
    <s v="95"/>
    <s v="Versamento giornaliero di importo elevato per la causale ed il soggetto"/>
    <d v="2025-06-26T00:00:00"/>
    <n v="53850"/>
    <n v="185"/>
    <s v="053850_185"/>
    <s v="Discovery Day"/>
    <s v="Mai valutato"/>
    <m/>
    <n v="202506258124809"/>
    <n v="1853300028022"/>
    <n v="20250625"/>
    <x v="1"/>
    <m/>
    <x v="0"/>
    <s v="A     - Avere"/>
    <n v="141199.25"/>
    <n v="0"/>
    <n v="4526244"/>
    <n v="2742120732"/>
    <s v="FRANZOSO S.R.L."/>
    <s v="430 - Imprese produttive"/>
    <s v="432 - INSTALLAZIONE DI IMPIANTI ELETTRICI, IDRAULICI ED ALTRI LAVORI DI COSTRUZIONE E INSTALLAZIONE"/>
    <s v="086 - ITALIA"/>
    <n v="773"/>
    <m/>
    <m/>
    <m/>
    <m/>
    <m/>
    <m/>
    <m/>
    <n v="0"/>
    <n v="202506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466"/>
    <s v="95"/>
    <s v="Versamento giornaliero di importo elevato per la causale ed il soggetto"/>
    <d v="2025-06-26T00:00:00"/>
    <n v="53850"/>
    <n v="106"/>
    <s v="053850_106"/>
    <s v="Discovery Day"/>
    <s v="Mai valutato"/>
    <m/>
    <s v="Vari (25/06/2025)"/>
    <n v="1063302769017"/>
    <n v="20250625"/>
    <x v="0"/>
    <m/>
    <x v="0"/>
    <s v="A     - Avere"/>
    <n v="121500"/>
    <n v="0"/>
    <n v="4178244"/>
    <n v="5966130725"/>
    <s v="S.A.P. COSTRUZIONI SRL"/>
    <s v="430 - Imprese produttive"/>
    <s v="412 - COSTRUZIONE DI EDIFICI RESIDENZIALI E NON RESIDENZIALI"/>
    <s v="086 - ITALIA"/>
    <n v="727"/>
    <m/>
    <m/>
    <m/>
    <m/>
    <m/>
    <m/>
    <m/>
    <n v="0"/>
    <n v="202506"/>
    <s v="IN VALUTAZIONE RPR"/>
    <x v="0"/>
    <n v="1"/>
    <m/>
    <m/>
    <n v="1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459"/>
    <s v="95"/>
    <s v="Versamento giornaliero di importo elevato per la causale ed il soggetto"/>
    <d v="2025-06-25T00:00:00"/>
    <n v="53850"/>
    <n v="149"/>
    <s v="053850_149"/>
    <s v="Discovery Day"/>
    <s v="Mai valutato"/>
    <m/>
    <n v="202506248121924"/>
    <n v="1493300660015"/>
    <n v="20250624"/>
    <x v="3"/>
    <m/>
    <x v="0"/>
    <s v="A     - Avere"/>
    <n v="137500"/>
    <n v="0"/>
    <n v="4174943"/>
    <s v="GNTLGU40M13F839P"/>
    <s v="GENTILE LUIGI"/>
    <s v="615 - Altre famiglie produttrici"/>
    <s v="477 - COMMERCIO AL DETTAGLIO DI ALTRI PRODOTTI IN ESERCIZI SPECIALIZZATI"/>
    <s v="086 - ITALIA"/>
    <n v="1910"/>
    <m/>
    <m/>
    <m/>
    <m/>
    <m/>
    <m/>
    <m/>
    <n v="0"/>
    <n v="202506"/>
    <s v="IN VALUTAZIONE RPR"/>
    <x v="0"/>
    <n v="1"/>
    <m/>
    <m/>
    <n v="0"/>
    <n v="477"/>
    <n v="615"/>
    <n v="615477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457"/>
    <s v="95"/>
    <s v="Versamento giornaliero di importo elevato per la causale ed il soggetto"/>
    <d v="2025-06-25T00:00:00"/>
    <n v="53850"/>
    <n v="171"/>
    <s v="053850_171"/>
    <s v="Discovery Day"/>
    <s v="Mai valutato"/>
    <m/>
    <s v="Vari (24/06/2025)"/>
    <n v="1713302214147"/>
    <n v="20250624"/>
    <x v="2"/>
    <m/>
    <x v="0"/>
    <s v="A     - Avere"/>
    <n v="108945.1"/>
    <n v="108945.1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53"/>
    <s v="95"/>
    <s v="Versamento giornaliero di importo elevato per la causale ed il soggetto"/>
    <d v="2025-06-25T00:00:00"/>
    <n v="53850"/>
    <n v="106"/>
    <s v="053850_106"/>
    <s v="Discovery Day"/>
    <s v="Mai valutato"/>
    <m/>
    <n v="202506248121789"/>
    <n v="1063302770377"/>
    <n v="20250624"/>
    <x v="1"/>
    <m/>
    <x v="0"/>
    <s v="A     - Avere"/>
    <n v="200000"/>
    <n v="0"/>
    <n v="4815714"/>
    <s v="TCCLNE92E56B619Q"/>
    <s v="TUCCI LENA"/>
    <s v="600 - Famiglie consumatrici"/>
    <m/>
    <s v="086 - ITALIA"/>
    <n v="1464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49"/>
    <s v="95"/>
    <s v="Versamento giornaliero di importo elevato per la causale ed il soggetto"/>
    <d v="2025-06-25T00:00:00"/>
    <n v="53850"/>
    <n v="117"/>
    <s v="053850_117"/>
    <s v="Discovery Day"/>
    <s v="Mai valutato"/>
    <m/>
    <n v="202506248121855"/>
    <n v="1173300536399"/>
    <n v="20250624"/>
    <x v="1"/>
    <m/>
    <x v="0"/>
    <s v="A     - Avere"/>
    <n v="105448.61"/>
    <n v="0"/>
    <n v="765950"/>
    <s v="BRTNTN78A15L049S"/>
    <s v="BERTILACCIO ANTONIO"/>
    <s v="615 - Altre famiglie produttrici"/>
    <s v="011 - COLTIVAZIONE DI COLTURE AGRICOLE NON PERMANENTI"/>
    <s v="086 - ITALIA"/>
    <n v="1772"/>
    <m/>
    <m/>
    <m/>
    <m/>
    <m/>
    <m/>
    <m/>
    <n v="0"/>
    <n v="202506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448"/>
    <s v="95"/>
    <s v="Versamento giornaliero di importo elevato per la causale ed il soggetto"/>
    <d v="2025-06-25T00:00:00"/>
    <n v="53850"/>
    <n v="106"/>
    <s v="053850_106"/>
    <s v="Discovery Day"/>
    <s v="Mai valutato"/>
    <m/>
    <n v="202506248121789"/>
    <n v="1063302770377"/>
    <n v="20250624"/>
    <x v="1"/>
    <m/>
    <x v="0"/>
    <s v="A     - Avere"/>
    <n v="200000"/>
    <n v="0"/>
    <n v="397027"/>
    <s v="LBBLNE37E70F220G"/>
    <s v="LABBATE LENA"/>
    <s v="600 - Famiglie consumatrici"/>
    <m/>
    <s v="086 - ITALIA"/>
    <n v="1464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33"/>
    <s v="95"/>
    <s v="Versamento giornaliero di importo elevato per la causale ed il soggetto"/>
    <d v="2025-06-25T00:00:00"/>
    <n v="53850"/>
    <n v="282"/>
    <s v="053850_282"/>
    <s v="Discovery Day"/>
    <s v="Mai valutato"/>
    <m/>
    <s v="Vari (24/06/2025)"/>
    <n v="2823300001940"/>
    <n v="20250624"/>
    <x v="0"/>
    <m/>
    <x v="0"/>
    <s v="A     - Avere"/>
    <n v="222000"/>
    <n v="0"/>
    <n v="1678407"/>
    <s v="SPNPPS69H21C632V"/>
    <s v="SPINELLI PAOLO PASQUALE ANGELO"/>
    <s v="600 - Famiglie consumatrici"/>
    <m/>
    <s v="086 - ITALIA"/>
    <n v="1756"/>
    <m/>
    <m/>
    <m/>
    <m/>
    <m/>
    <m/>
    <m/>
    <n v="0"/>
    <n v="202506"/>
    <s v="IN VALUTAZIONE RPR"/>
    <x v="0"/>
    <n v="1"/>
    <m/>
    <m/>
    <n v="1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26"/>
    <s v="95"/>
    <s v="Versamento giornaliero di importo elevato per la causale ed il soggetto"/>
    <d v="2025-06-25T00:00:00"/>
    <n v="53850"/>
    <n v="171"/>
    <s v="053850_171"/>
    <s v="Discovery Day"/>
    <s v="Mai valutato"/>
    <m/>
    <s v="Vari (24/06/2025)"/>
    <n v="1713305728950"/>
    <n v="20250624"/>
    <x v="2"/>
    <m/>
    <x v="0"/>
    <s v="A     - Avere"/>
    <n v="240409.60000000001"/>
    <n v="240409.60000000001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25"/>
    <s v="95"/>
    <s v="Versamento giornaliero di importo elevato per la causale ed il soggetto"/>
    <d v="2025-06-25T00:00:00"/>
    <n v="53850"/>
    <n v="102"/>
    <s v="053850_102"/>
    <s v="Discovery Day"/>
    <s v="Mai valutato"/>
    <m/>
    <n v="202506248121732"/>
    <n v="1023308724027"/>
    <n v="20250624"/>
    <x v="1"/>
    <m/>
    <x v="0"/>
    <s v="A     - Avere"/>
    <n v="104422.21"/>
    <n v="0"/>
    <n v="4907143"/>
    <n v="8153900728"/>
    <s v="EDILIZIA VITALE SOCIETA' A RESPONSABILITA' L"/>
    <s v="430 - Imprese produttive"/>
    <s v="412 - COSTRUZIONE DI EDIFICI RESIDENZIALI E NON RESIDENZIALI"/>
    <s v="086 - ITALIA"/>
    <n v="1203"/>
    <m/>
    <m/>
    <m/>
    <m/>
    <m/>
    <m/>
    <m/>
    <n v="0"/>
    <n v="202506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421"/>
    <s v="95"/>
    <s v="Versamento giornaliero di importo elevato per la causale ed il soggetto"/>
    <d v="2025-06-24T00:00:00"/>
    <n v="53850"/>
    <n v="149"/>
    <s v="053850_149"/>
    <s v="Discovery Day"/>
    <s v="Mai valutato"/>
    <m/>
    <n v="202506238118950"/>
    <n v="1493300660770"/>
    <n v="20250623"/>
    <x v="3"/>
    <m/>
    <x v="0"/>
    <s v="A     - Avere"/>
    <n v="120000"/>
    <n v="0"/>
    <n v="4317444"/>
    <s v="PLMCHR81B49F839F"/>
    <s v="PALMIERI CHIARA"/>
    <s v="600 - Famiglie consumatrici"/>
    <m/>
    <s v="086 - ITALIA"/>
    <n v="1046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20"/>
    <s v="95"/>
    <s v="Versamento giornaliero di importo elevato per la causale ed il soggetto"/>
    <d v="2025-06-24T00:00:00"/>
    <n v="53850"/>
    <n v="116"/>
    <s v="053850_116"/>
    <s v="Discovery Day"/>
    <s v="Mai valutato"/>
    <m/>
    <s v="Vari (23/06/2025)"/>
    <n v="1163307623465"/>
    <n v="20250623"/>
    <x v="0"/>
    <m/>
    <x v="0"/>
    <s v="A     - Avere"/>
    <n v="90000"/>
    <n v="0"/>
    <n v="3738297"/>
    <n v="8684570727"/>
    <s v="NOVAGORA' S.R.L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0"/>
    <n v="1"/>
    <m/>
    <m/>
    <n v="1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13"/>
    <s v="95"/>
    <s v="Versamento giornaliero di importo elevato per la causale ed il soggetto"/>
    <d v="2025-06-24T00:00:00"/>
    <n v="53850"/>
    <n v="182"/>
    <s v="053850_182"/>
    <s v="Discovery Day"/>
    <s v="Mai valutato"/>
    <m/>
    <s v="Vari (23/06/2025)"/>
    <n v="1823300169301"/>
    <n v="20250623"/>
    <x v="2"/>
    <m/>
    <x v="0"/>
    <s v="A     - Avere"/>
    <n v="44685"/>
    <n v="4468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s v="IN CARICO AL GESTORE"/>
    <x v="0"/>
    <n v="1"/>
    <n v="4284957"/>
    <n v="1"/>
    <n v="0"/>
    <n v="920"/>
    <n v="615"/>
    <n v="615920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97"/>
    <s v="95"/>
    <s v="Versamento giornaliero di importo elevato per la causale ed il soggetto"/>
    <d v="2025-06-24T00:00:00"/>
    <n v="53850"/>
    <n v="128"/>
    <s v="053850_128"/>
    <s v="Discovery Day"/>
    <s v="Mai valutato"/>
    <m/>
    <s v="Vari (23/06/2025)"/>
    <n v="1283300001665"/>
    <n v="20250623"/>
    <x v="0"/>
    <m/>
    <x v="0"/>
    <s v="A     - Avere"/>
    <n v="209603.69"/>
    <n v="420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394"/>
    <s v="95"/>
    <s v="Versamento giornaliero di importo elevato per la causale ed il soggetto"/>
    <d v="2025-06-24T00:00:00"/>
    <n v="53850"/>
    <n v="129"/>
    <s v="053850_129"/>
    <s v="Discovery Day"/>
    <s v="Mai valutato"/>
    <m/>
    <s v="Vari (23/06/2025)"/>
    <n v="1293300001331"/>
    <n v="20250623"/>
    <x v="0"/>
    <m/>
    <x v="0"/>
    <s v="A     - Avere"/>
    <n v="143056.84"/>
    <n v="17050"/>
    <n v="456478"/>
    <n v="1161370729"/>
    <s v="CASEIFICIO PALAZZO S.P.A."/>
    <s v="430 - Imprese produttive"/>
    <s v="105 - INDUSTRIA LATTIERO-CASEARIA"/>
    <s v="086 - ITALIA"/>
    <n v="1058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89"/>
    <s v="95"/>
    <s v="Versamento giornaliero di importo elevato per la causale ed il soggetto"/>
    <d v="2025-06-24T00:00:00"/>
    <n v="53850"/>
    <n v="171"/>
    <s v="053850_171"/>
    <s v="Discovery Day"/>
    <s v="Mai valutato"/>
    <m/>
    <s v="Vari (23/06/2025)"/>
    <n v="1713305728950"/>
    <n v="20250623"/>
    <x v="2"/>
    <m/>
    <x v="0"/>
    <s v="A     - Avere"/>
    <n v="371309.34"/>
    <n v="371309.34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84"/>
    <s v="95"/>
    <s v="Versamento giornaliero di importo elevato per la causale ed il soggetto"/>
    <d v="2025-06-24T00:00:00"/>
    <n v="53850"/>
    <n v="114"/>
    <s v="053850_114"/>
    <s v="Discovery Day"/>
    <s v="Mai valutato"/>
    <m/>
    <s v="Vari (23/06/2025)"/>
    <n v="1143306280621"/>
    <n v="20250623"/>
    <x v="5"/>
    <m/>
    <x v="0"/>
    <s v="A     - Avere"/>
    <n v="93700"/>
    <n v="937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s v="ARCHIVIATA"/>
    <x v="1"/>
    <n v="1"/>
    <n v="4658875"/>
    <n v="1"/>
    <n v="0"/>
    <n v="477"/>
    <n v="430"/>
    <n v="430477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79"/>
    <s v="95"/>
    <s v="Versamento giornaliero di importo elevato per la causale ed il soggetto"/>
    <d v="2025-06-24T00:00:00"/>
    <n v="53850"/>
    <n v="267"/>
    <s v="053850_267"/>
    <s v="Discovery Day"/>
    <s v="Mai valutato"/>
    <m/>
    <s v="Vari (23/06/2025)"/>
    <n v="2673300003600"/>
    <n v="20250623"/>
    <x v="0"/>
    <m/>
    <x v="0"/>
    <s v="A     - Avere"/>
    <n v="121088"/>
    <n v="12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6"/>
    <s v="IN CARICO AL GESTORE"/>
    <x v="0"/>
    <n v="1"/>
    <n v="1705101"/>
    <n v="1"/>
    <n v="1"/>
    <n v="999"/>
    <n v="492"/>
    <n v="492999"/>
    <m/>
    <n v="1"/>
    <x v="4"/>
    <n v="98000"/>
    <n v="98368.7"/>
    <n v="98737.4"/>
    <n v="99106.1"/>
    <n v="99955"/>
    <n v="101044"/>
    <n v="102133"/>
    <n v="103273.1"/>
    <n v="104515.4"/>
    <n v="105757.7"/>
    <n v="107000"/>
    <n v="109400"/>
    <n v="111800"/>
    <n v="114200"/>
    <n v="118800"/>
    <n v="124500"/>
    <n v="130200"/>
    <n v="151054.99999999991"/>
    <n v="202220.00000000009"/>
    <n v="253384.99999999991"/>
    <n v="30455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377"/>
    <s v="95"/>
    <s v="Versamento giornaliero di importo elevato per la causale ed il soggetto"/>
    <d v="2025-06-24T00:00:00"/>
    <n v="53850"/>
    <n v="161"/>
    <s v="053850_161"/>
    <s v="Discovery Day"/>
    <s v="Mai valutato"/>
    <m/>
    <s v="Vari (23/06/2025)"/>
    <n v="1613300029653"/>
    <n v="20250623"/>
    <x v="0"/>
    <m/>
    <x v="0"/>
    <s v="A     - Avere"/>
    <n v="136718.03"/>
    <n v="85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368"/>
    <s v="95"/>
    <s v="Versamento giornaliero di importo elevato per la causale ed il soggetto"/>
    <d v="2025-06-24T00:00:00"/>
    <n v="53850"/>
    <n v="110"/>
    <s v="053850_110"/>
    <s v="Discovery Day"/>
    <s v="Mai valutato"/>
    <m/>
    <s v="Vari (23/06/2025)"/>
    <n v="1103305351090"/>
    <n v="20250623"/>
    <x v="3"/>
    <m/>
    <x v="0"/>
    <s v="A     - Avere"/>
    <n v="387880"/>
    <n v="0"/>
    <n v="535109"/>
    <n v="854500725"/>
    <s v="IMMOBILIARE METALLEGNO S.R.L."/>
    <s v="430 - Imprese produttive"/>
    <s v="431 - DEMOLIZIONE E PREPARAZIONE DEL CANTIERE EDILE"/>
    <s v="086 - ITALIA"/>
    <n v="746"/>
    <m/>
    <m/>
    <m/>
    <m/>
    <m/>
    <m/>
    <m/>
    <n v="0"/>
    <n v="202506"/>
    <s v="IN VALUTAZIONE RPR"/>
    <x v="0"/>
    <n v="1"/>
    <m/>
    <m/>
    <n v="0"/>
    <n v="431"/>
    <n v="430"/>
    <n v="430431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364"/>
    <s v="95"/>
    <s v="Versamento giornaliero di importo elevato per la causale ed il soggetto"/>
    <d v="2025-06-24T00:00:00"/>
    <n v="53850"/>
    <n v="128"/>
    <s v="053850_128"/>
    <s v="Discovery Day"/>
    <s v="Mai valutato"/>
    <m/>
    <s v="Vari (23/06/2025)"/>
    <n v="1093306672844"/>
    <n v="20250623"/>
    <x v="0"/>
    <m/>
    <x v="0"/>
    <s v="A     - Avere"/>
    <n v="95838.54"/>
    <n v="730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6"/>
    <s v="IN CARICO AL GESTORE"/>
    <x v="0"/>
    <n v="1"/>
    <n v="440311"/>
    <n v="1"/>
    <n v="1"/>
    <n v="451"/>
    <n v="430"/>
    <n v="430451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62"/>
    <s v="95"/>
    <s v="Versamento giornaliero di importo elevato per la causale ed il soggetto"/>
    <d v="2025-06-24T00:00:00"/>
    <n v="53850"/>
    <n v="116"/>
    <s v="053850_116"/>
    <s v="Discovery Day"/>
    <s v="Mai valutato"/>
    <m/>
    <n v="202506238118512"/>
    <n v="2343300010453"/>
    <n v="20250623"/>
    <x v="2"/>
    <m/>
    <x v="0"/>
    <s v="A     - Avere"/>
    <n v="151490.5"/>
    <n v="151490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60"/>
    <s v="95"/>
    <s v="Versamento giornaliero di importo elevato per la causale ed il soggetto"/>
    <d v="2025-06-24T00:00:00"/>
    <n v="53850"/>
    <n v="108"/>
    <s v="053850_108"/>
    <s v="Discovery Day"/>
    <s v="Mai valutato"/>
    <m/>
    <s v="Vari (23/06/2025)"/>
    <n v="1083306291105"/>
    <n v="20250623"/>
    <x v="0"/>
    <m/>
    <x v="0"/>
    <s v="A     - Avere"/>
    <n v="103821.91"/>
    <n v="73196.850000000006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0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52"/>
    <s v="95"/>
    <s v="Versamento giornaliero di importo elevato per la causale ed il soggetto"/>
    <d v="2025-06-21T00:00:00"/>
    <n v="53850"/>
    <n v="109"/>
    <s v="053850_109"/>
    <s v="Discovery Day"/>
    <s v="Mai valutato"/>
    <m/>
    <n v="202506208088669"/>
    <n v="1093306670882"/>
    <n v="20250620"/>
    <x v="3"/>
    <m/>
    <x v="0"/>
    <s v="A     - Avere"/>
    <n v="205000"/>
    <n v="0"/>
    <n v="58869"/>
    <s v="SRPPFR59R28A662Y"/>
    <s v="SERPENTI PIER FRANCESCO"/>
    <s v="615 - Altre famiglie produttrici"/>
    <s v="711 - ATTIVITÀ DEGLI STUDI DI ARCHITETTURA, INGEGNERIA ED ALTRI STUDI TECNICI"/>
    <s v="086 - ITALIA"/>
    <n v="1107"/>
    <m/>
    <m/>
    <m/>
    <m/>
    <m/>
    <m/>
    <m/>
    <n v="0"/>
    <n v="202506"/>
    <s v="ARCHIVIATA"/>
    <x v="1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351"/>
    <s v="95"/>
    <s v="Versamento giornaliero di importo elevato per la causale ed il soggetto"/>
    <d v="2025-06-21T00:00:00"/>
    <n v="53850"/>
    <n v="102"/>
    <s v="053850_102"/>
    <s v="Discovery Day"/>
    <s v="Mai valutato"/>
    <m/>
    <n v="202506208088580"/>
    <n v="1023306273640"/>
    <n v="20250620"/>
    <x v="3"/>
    <m/>
    <x v="0"/>
    <s v="A     - Avere"/>
    <n v="200000"/>
    <n v="0"/>
    <n v="414340"/>
    <s v="BRCRML59E30B519J"/>
    <s v="BERCHICCI ROMOLO"/>
    <s v="600 - Famiglie consumatrici"/>
    <m/>
    <s v="086 - ITALIA"/>
    <n v="1431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347"/>
    <s v="95"/>
    <s v="Versamento giornaliero di importo elevato per la causale ed il soggetto"/>
    <d v="2025-06-21T00:00:00"/>
    <n v="53850"/>
    <n v="102"/>
    <s v="053850_102"/>
    <s v="Discovery Day"/>
    <s v="Mai valutato"/>
    <m/>
    <s v="Vari (20/06/2025)"/>
    <n v="1023300660520"/>
    <n v="20250620"/>
    <x v="0"/>
    <m/>
    <x v="0"/>
    <s v="A     - Avere"/>
    <n v="180797.72"/>
    <n v="323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6"/>
    <s v="IN CARICO AL GESTORE"/>
    <x v="0"/>
    <n v="1"/>
    <n v="66052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44"/>
    <s v="95"/>
    <s v="Versamento giornaliero di importo elevato per la causale ed il soggetto"/>
    <d v="2025-06-21T00:00:00"/>
    <n v="53850"/>
    <n v="114"/>
    <s v="053850_114"/>
    <s v="Discovery Day"/>
    <s v="Mai valutato"/>
    <m/>
    <s v="Vari (20/06/2025)"/>
    <n v="1143306281584"/>
    <n v="20250620"/>
    <x v="0"/>
    <m/>
    <x v="0"/>
    <s v="A     - Avere"/>
    <n v="92565.9"/>
    <n v="16585"/>
    <n v="4827112"/>
    <n v="3318280710"/>
    <s v="SANTACROCE GIOVANNI S.P.A."/>
    <s v="430 - Imprese produttive"/>
    <s v="462 - COMMERCIO ALL'INGROSSO DI MATERIE PRIME AGRICOLE E DI ANIMALI VIVI"/>
    <s v="086 - ITALIA"/>
    <n v="870"/>
    <m/>
    <m/>
    <m/>
    <m/>
    <m/>
    <m/>
    <m/>
    <n v="0"/>
    <n v="202506"/>
    <s v="ARCHIVIATA DA RPR"/>
    <x v="1"/>
    <n v="1"/>
    <m/>
    <m/>
    <n v="1"/>
    <n v="462"/>
    <n v="430"/>
    <n v="43046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43"/>
    <s v="95"/>
    <s v="Versamento giornaliero di importo elevato per la causale ed il soggetto"/>
    <d v="2025-06-21T00:00:00"/>
    <n v="53850"/>
    <n v="109"/>
    <s v="053850_109"/>
    <s v="Discovery Day"/>
    <s v="Mai valutato"/>
    <m/>
    <n v="202506208088669"/>
    <n v="1093306670882"/>
    <n v="20250620"/>
    <x v="3"/>
    <m/>
    <x v="0"/>
    <s v="A     - Avere"/>
    <n v="205000"/>
    <n v="0"/>
    <n v="50899"/>
    <s v="SRPSFN56C12A662C"/>
    <s v="SERPENTI STEFANO"/>
    <s v="615 - Altre famiglie produttrici"/>
    <s v="411 - SVILUPPO DI PROGETTI IMMOBILIARI"/>
    <s v="086 - ITALIA"/>
    <n v="783"/>
    <m/>
    <m/>
    <m/>
    <m/>
    <m/>
    <m/>
    <m/>
    <n v="0"/>
    <n v="202506"/>
    <s v="ARCHIVIATA"/>
    <x v="1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331"/>
    <s v="95"/>
    <s v="Versamento giornaliero di importo elevato per la causale ed il soggetto"/>
    <d v="2025-06-21T00:00:00"/>
    <n v="53850"/>
    <n v="102"/>
    <s v="053850_102"/>
    <s v="Discovery Day"/>
    <s v="Mai valutato"/>
    <m/>
    <n v="202506208088603"/>
    <n v="1023308726612"/>
    <n v="20250620"/>
    <x v="3"/>
    <m/>
    <x v="0"/>
    <s v="A     - Avere"/>
    <n v="128240"/>
    <n v="0"/>
    <n v="4939458"/>
    <n v="8052010728"/>
    <s v="MOREA S.R.L."/>
    <s v="430 - Imprese produttive"/>
    <s v="412 - COSTRUZIONE DI EDIFICI RESIDENZIALI E NON RESIDENZIALI"/>
    <s v="086 - ITALIA"/>
    <n v="911"/>
    <m/>
    <m/>
    <m/>
    <m/>
    <m/>
    <m/>
    <m/>
    <n v="0"/>
    <n v="202506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29"/>
    <s v="95"/>
    <s v="Versamento giornaliero di importo elevato per la causale ed il soggetto"/>
    <d v="2025-06-21T00:00:00"/>
    <n v="53850"/>
    <n v="165"/>
    <s v="053850_165"/>
    <s v="Discovery Day"/>
    <s v="Mai valutato"/>
    <m/>
    <n v="202506208088856"/>
    <n v="1653300628564"/>
    <n v="20250620"/>
    <x v="1"/>
    <m/>
    <x v="0"/>
    <s v="A     - Avere"/>
    <n v="237000"/>
    <n v="0"/>
    <n v="4798342"/>
    <n v="2195870718"/>
    <s v="MASTROPASQUA INTERNATIONAL - S.P.A."/>
    <s v="430 - Imprese produttive"/>
    <s v="011 - COLTIVAZIONE DI COLTURE AGRICOLE NON PERMANENTI"/>
    <s v="086 - ITALIA"/>
    <n v="870"/>
    <m/>
    <m/>
    <m/>
    <m/>
    <m/>
    <m/>
    <m/>
    <n v="0"/>
    <n v="202506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28"/>
    <s v="95"/>
    <s v="Versamento giornaliero di importo elevato per la causale ed il soggetto"/>
    <d v="2025-06-21T00:00:00"/>
    <n v="53850"/>
    <n v="102"/>
    <s v="053850_102"/>
    <s v="Discovery Day"/>
    <s v="Mai valutato"/>
    <m/>
    <n v="202506208088606"/>
    <n v="1023308726641"/>
    <n v="20250620"/>
    <x v="1"/>
    <m/>
    <x v="0"/>
    <s v="A     - Avere"/>
    <n v="90000"/>
    <n v="0"/>
    <n v="4917772"/>
    <n v="8218730722"/>
    <s v="COSTRUZIONI SVILUPPO SOCIETA' A RESPONSABILI"/>
    <s v="430 - Imprese produttive"/>
    <s v="412 - COSTRUZIONE DI EDIFICI RESIDENZIALI E NON RESIDENZIALI"/>
    <s v="086 - ITALIA"/>
    <n v="1203"/>
    <m/>
    <m/>
    <m/>
    <m/>
    <m/>
    <m/>
    <m/>
    <n v="0"/>
    <n v="202506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20"/>
    <s v="95"/>
    <s v="Versamento giornaliero di importo elevato per la causale ed il soggetto"/>
    <d v="2025-06-21T00:00:00"/>
    <n v="53850"/>
    <n v="216"/>
    <s v="053850_216"/>
    <s v="Discovery Day"/>
    <s v="Mai valutato"/>
    <m/>
    <s v="Vari (20/06/2025)"/>
    <n v="2163300011328"/>
    <n v="20250620"/>
    <x v="0"/>
    <m/>
    <x v="0"/>
    <s v="A     - Avere"/>
    <n v="41000"/>
    <n v="1000"/>
    <n v="4743836"/>
    <s v="CPNLRT61H08F831B"/>
    <s v="CAPUANI ALBERTO"/>
    <s v="615 - Altre famiglie produttrici"/>
    <s v="477 - COMMERCIO AL DETTAGLIO DI ALTRI PRODOTTI IN ESERCIZI SPECIALIZZATI"/>
    <s v="086 - ITALIA"/>
    <n v="1595"/>
    <m/>
    <m/>
    <m/>
    <m/>
    <m/>
    <m/>
    <m/>
    <n v="0"/>
    <n v="202506"/>
    <s v="ARCHIVIATA"/>
    <x v="1"/>
    <n v="1"/>
    <m/>
    <m/>
    <n v="1"/>
    <n v="477"/>
    <n v="615"/>
    <n v="615477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318"/>
    <s v="95"/>
    <s v="Versamento giornaliero di importo elevato per la causale ed il soggetto"/>
    <d v="2025-06-21T00:00:00"/>
    <n v="53850"/>
    <n v="149"/>
    <s v="053850_149"/>
    <s v="Discovery Day"/>
    <s v="Mai valutato"/>
    <m/>
    <n v="202506208088821"/>
    <n v="1493300660861"/>
    <n v="20250620"/>
    <x v="1"/>
    <m/>
    <x v="0"/>
    <s v="A     - Avere"/>
    <n v="50000"/>
    <n v="0"/>
    <n v="4174943"/>
    <s v="GNTLGU40M13F839P"/>
    <s v="GENTILE LUIGI"/>
    <s v="615 - Altre famiglie produttrici"/>
    <s v="477 - COMMERCIO AL DETTAGLIO DI ALTRI PRODOTTI IN ESERCIZI SPECIALIZZATI"/>
    <s v="086 - ITALIA"/>
    <n v="1910"/>
    <m/>
    <m/>
    <m/>
    <m/>
    <m/>
    <m/>
    <m/>
    <n v="0"/>
    <n v="202506"/>
    <s v="IN VALUTAZIONE RPR"/>
    <x v="0"/>
    <n v="1"/>
    <m/>
    <m/>
    <n v="0"/>
    <n v="477"/>
    <n v="615"/>
    <n v="615477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17"/>
    <s v="95"/>
    <s v="Versamento giornaliero di importo elevato per la causale ed il soggetto"/>
    <d v="2025-06-21T00:00:00"/>
    <n v="53850"/>
    <n v="171"/>
    <s v="053850_171"/>
    <s v="Discovery Day"/>
    <s v="Mai valutato"/>
    <m/>
    <s v="Vari (20/06/2025)"/>
    <n v="1713305728950"/>
    <n v="20250620"/>
    <x v="2"/>
    <m/>
    <x v="0"/>
    <s v="A     - Avere"/>
    <n v="151475"/>
    <n v="15147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310"/>
    <s v="95"/>
    <s v="Versamento giornaliero di importo elevato per la causale ed il soggetto"/>
    <d v="2025-06-21T00:00:00"/>
    <n v="53850"/>
    <n v="108"/>
    <s v="053850_108"/>
    <s v="Discovery Day"/>
    <s v="Mai valutato"/>
    <m/>
    <s v="Vari (20/06/2025)"/>
    <n v="1083306290559"/>
    <n v="20250620"/>
    <x v="0"/>
    <m/>
    <x v="0"/>
    <s v="A     - Avere"/>
    <n v="112670.82"/>
    <n v="0"/>
    <n v="4902977"/>
    <n v="8081970728"/>
    <s v="MICCOLIS S.R.L."/>
    <s v="430 - Imprese produttive"/>
    <s v="015 - COLTIVAZIONI AGRICOLE ASSOCIATE ALL'ALLEVAMENTO DI ANIMALI: ATTIVITÀ MISTA"/>
    <s v="086 - ITALIA"/>
    <n v="1058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05"/>
    <s v="95"/>
    <s v="Versamento giornaliero di importo elevato per la causale ed il soggetto"/>
    <d v="2025-06-20T00:00:00"/>
    <n v="53850"/>
    <n v="171"/>
    <s v="053850_171"/>
    <s v="Discovery Day"/>
    <s v="Mai valutato"/>
    <m/>
    <s v="Vari (19/06/2025)"/>
    <n v="1713305728950"/>
    <n v="20250619"/>
    <x v="2"/>
    <m/>
    <x v="0"/>
    <s v="A     - Avere"/>
    <n v="272782.3"/>
    <n v="272782.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300"/>
    <s v="95"/>
    <s v="Versamento giornaliero di importo elevato per la causale ed il soggetto"/>
    <d v="2025-06-20T00:00:00"/>
    <n v="53850"/>
    <n v="105"/>
    <s v="053850_105"/>
    <s v="Discovery Day"/>
    <s v="Mai valutato"/>
    <m/>
    <n v="202506198085919"/>
    <n v="1053306291588"/>
    <n v="20250619"/>
    <x v="3"/>
    <m/>
    <x v="0"/>
    <s v="A     - Avere"/>
    <n v="80000"/>
    <n v="0"/>
    <n v="446742"/>
    <s v="SVNSLL57B52E038N"/>
    <s v="SAVINO ISABELLA MARIA ROSARIA"/>
    <s v="615 - Altre famiglie produttrici"/>
    <s v="477 - COMMERCIO AL DETTAGLIO DI ALTRI PRODOTTI IN ESERCIZI SPECIALIZZATI"/>
    <s v="086 - ITALIA"/>
    <n v="1947"/>
    <m/>
    <m/>
    <m/>
    <m/>
    <m/>
    <m/>
    <m/>
    <n v="0"/>
    <n v="202506"/>
    <s v="IN VALUTAZIONE RPR"/>
    <x v="0"/>
    <n v="1"/>
    <m/>
    <m/>
    <n v="0"/>
    <n v="477"/>
    <n v="615"/>
    <n v="615477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93"/>
    <s v="95"/>
    <s v="Versamento giornaliero di importo elevato per la causale ed il soggetto"/>
    <d v="2025-06-20T00:00:00"/>
    <n v="53850"/>
    <n v="103"/>
    <s v="053850_103"/>
    <s v="Discovery Day"/>
    <s v="Mai valutato"/>
    <m/>
    <n v="202506198085897"/>
    <n v="1033300184830"/>
    <n v="20250619"/>
    <x v="3"/>
    <m/>
    <x v="0"/>
    <s v="A     - Avere"/>
    <n v="102817.51"/>
    <n v="0"/>
    <n v="18483"/>
    <s v="DNTVCN47T14E155F"/>
    <s v="DENTE VINCENZO"/>
    <s v="600 - Famiglie consumatrici"/>
    <m/>
    <s v="086 - ITALIA"/>
    <n v="806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90"/>
    <s v="95"/>
    <s v="Versamento giornaliero di importo elevato per la causale ed il soggetto"/>
    <d v="2025-06-20T00:00:00"/>
    <n v="53850"/>
    <n v="175"/>
    <s v="053850_175"/>
    <s v="Discovery Day"/>
    <s v="Mai valutato"/>
    <m/>
    <s v="Vari (19/06/2025)"/>
    <n v="1753302203127"/>
    <n v="20250619"/>
    <x v="0"/>
    <m/>
    <x v="0"/>
    <s v="A     - Avere"/>
    <n v="110629.17"/>
    <n v="100650"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s v="IN VALUTAZIONE RPR"/>
    <x v="0"/>
    <n v="1"/>
    <n v="4160138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88"/>
    <s v="95"/>
    <s v="Versamento giornaliero di importo elevato per la causale ed il soggetto"/>
    <d v="2025-06-20T00:00:00"/>
    <n v="53850"/>
    <n v="171"/>
    <s v="053850_171"/>
    <s v="Discovery Day"/>
    <s v="Mai valutato"/>
    <m/>
    <s v="Vari (19/06/2025)"/>
    <n v="1713302214147"/>
    <n v="20250619"/>
    <x v="2"/>
    <m/>
    <x v="0"/>
    <s v="A     - Avere"/>
    <n v="145850"/>
    <n v="14585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70"/>
    <s v="95"/>
    <s v="Versamento giornaliero di importo elevato per la causale ed il soggetto"/>
    <d v="2025-06-19T00:00:00"/>
    <n v="53850"/>
    <n v="121"/>
    <s v="053850_121"/>
    <s v="Discovery Day"/>
    <s v="Mai valutato"/>
    <m/>
    <n v="202506188083420"/>
    <n v="1213300003619"/>
    <n v="20250618"/>
    <x v="1"/>
    <m/>
    <x v="0"/>
    <s v="A     - Avere"/>
    <n v="90000"/>
    <n v="0"/>
    <n v="3745843"/>
    <s v="BRCVTI87E20H096F"/>
    <s v="BARCADORO CIAFFALDANO VITO"/>
    <s v="615 - Altre famiglie produttrici"/>
    <s v="012 - COLTIVAZIONE DI COLTURE PERMANENTI"/>
    <s v="086 - ITALIA"/>
    <n v="928"/>
    <m/>
    <m/>
    <m/>
    <m/>
    <m/>
    <m/>
    <m/>
    <n v="0"/>
    <n v="202506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46"/>
    <s v="95"/>
    <s v="Versamento giornaliero di importo elevato per la causale ed il soggetto"/>
    <d v="2025-06-19T00:00:00"/>
    <n v="53850"/>
    <n v="279"/>
    <s v="053850_279"/>
    <s v="Discovery Day"/>
    <s v="Mai valutato"/>
    <m/>
    <n v="202506188083720"/>
    <n v="2793300000491"/>
    <n v="20250618"/>
    <x v="3"/>
    <m/>
    <x v="0"/>
    <s v="A     - Avere"/>
    <n v="138000"/>
    <n v="0"/>
    <n v="1659317"/>
    <s v="CLLFNC70R14L253G"/>
    <s v="COLELLA FRANCESCO ANTONIO"/>
    <s v="615 - Altre famiglie produttrici"/>
    <s v="561 - RISTORANTI E ATTIVITÀ DI RISTORAZIONE MOBILE"/>
    <s v="086 - ITALIA"/>
    <n v="1786"/>
    <m/>
    <m/>
    <m/>
    <m/>
    <m/>
    <m/>
    <m/>
    <n v="0"/>
    <n v="202506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239"/>
    <s v="95"/>
    <s v="Versamento giornaliero di importo elevato per la causale ed il soggetto"/>
    <d v="2025-06-18T00:00:00"/>
    <n v="53850"/>
    <n v="170"/>
    <s v="053850_170"/>
    <s v="Discovery Day"/>
    <s v="Mai valutato"/>
    <m/>
    <n v="202506178080208"/>
    <n v="1703306290627"/>
    <n v="20250617"/>
    <x v="1"/>
    <m/>
    <x v="0"/>
    <s v="A     - Avere"/>
    <n v="512400"/>
    <n v="0"/>
    <n v="4530011"/>
    <n v="6876700722"/>
    <s v="LEGNO ITALIA S.R.L."/>
    <s v="430 - Imprese produttive"/>
    <s v="467 - COMMERCIO ALL'INGROSSO SPECIALIZZATO DI ALTRI PRODOTTI"/>
    <s v="086 - ITALIA"/>
    <n v="1920"/>
    <m/>
    <m/>
    <m/>
    <m/>
    <m/>
    <m/>
    <m/>
    <n v="0"/>
    <n v="202506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33"/>
    <s v="95"/>
    <s v="Versamento giornaliero di importo elevato per la causale ed il soggetto"/>
    <d v="2025-06-18T00:00:00"/>
    <n v="53850"/>
    <n v="170"/>
    <s v="053850_170"/>
    <s v="Discovery Day"/>
    <s v="Mai valutato"/>
    <m/>
    <n v="202506178080209"/>
    <n v="1703306290713"/>
    <n v="20250617"/>
    <x v="3"/>
    <m/>
    <x v="0"/>
    <s v="A     - Avere"/>
    <n v="156000"/>
    <n v="0"/>
    <n v="4206269"/>
    <s v="FNDVCN70T21A285B"/>
    <s v="FIANDANESE VINCENZO"/>
    <s v="600 - Famiglie consumatrici"/>
    <m/>
    <s v="086 - ITALIA"/>
    <n v="1476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228"/>
    <s v="95"/>
    <s v="Versamento giornaliero di importo elevato per la causale ed il soggetto"/>
    <d v="2025-06-18T00:00:00"/>
    <n v="53850"/>
    <n v="121"/>
    <s v="053850_121"/>
    <s v="Discovery Day"/>
    <s v="Mai valutato"/>
    <m/>
    <n v="202506178080058"/>
    <n v="1213300002971"/>
    <n v="20250617"/>
    <x v="1"/>
    <m/>
    <x v="0"/>
    <s v="A     - Avere"/>
    <n v="343000"/>
    <n v="0"/>
    <n v="4859756"/>
    <n v="7229510727"/>
    <s v="ORGANIZZAZIONE DI PRODUTTORI PUGLIAVIVA - SO"/>
    <s v="430 - Imprese produttive"/>
    <s v="016 - ATTIVITÀ DI SUPPORTO ALL'AGRICOLTURA E ATTIVITÀ SUCCESSIVE ALLA RACCOLTA"/>
    <s v="086 - ITALIA"/>
    <n v="1058"/>
    <m/>
    <m/>
    <m/>
    <m/>
    <m/>
    <m/>
    <m/>
    <n v="0"/>
    <n v="202506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216"/>
    <s v="95"/>
    <s v="Versamento giornaliero di importo elevato per la causale ed il soggetto"/>
    <d v="2025-06-18T00:00:00"/>
    <n v="53850"/>
    <n v="267"/>
    <s v="053850_267"/>
    <s v="Discovery Day"/>
    <s v="Mai valutato"/>
    <m/>
    <n v="202506178080352"/>
    <n v="2673300003600"/>
    <n v="20250617"/>
    <x v="5"/>
    <m/>
    <x v="0"/>
    <s v="A     - Avere"/>
    <n v="100000"/>
    <n v="10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6"/>
    <s v="IN CARICO AL GESTORE"/>
    <x v="0"/>
    <n v="1"/>
    <n v="1705101"/>
    <n v="1"/>
    <n v="0"/>
    <n v="999"/>
    <n v="492"/>
    <n v="492999"/>
    <m/>
    <n v="1"/>
    <x v="4"/>
    <n v="98000"/>
    <n v="98368.7"/>
    <n v="98737.4"/>
    <n v="99106.1"/>
    <n v="99955"/>
    <n v="101044"/>
    <n v="102133"/>
    <n v="103273.1"/>
    <n v="104515.4"/>
    <n v="105757.7"/>
    <n v="107000"/>
    <n v="109400"/>
    <n v="111800"/>
    <n v="114200"/>
    <n v="118800"/>
    <n v="124500"/>
    <n v="130200"/>
    <n v="151054.99999999991"/>
    <n v="202220.00000000009"/>
    <n v="253384.99999999991"/>
    <n v="30455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214"/>
    <s v="95"/>
    <s v="Versamento giornaliero di importo elevato per la causale ed il soggetto"/>
    <d v="2025-06-18T00:00:00"/>
    <n v="53850"/>
    <n v="116"/>
    <s v="053850_116"/>
    <s v="Discovery Day"/>
    <s v="Mai valutato"/>
    <m/>
    <n v="202506178079797"/>
    <n v="2343300010453"/>
    <n v="20250617"/>
    <x v="2"/>
    <m/>
    <x v="0"/>
    <s v="A     - Avere"/>
    <n v="153050.04999999999"/>
    <n v="153050.04999999999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213"/>
    <s v="95"/>
    <s v="Versamento giornaliero di importo elevato per la causale ed il soggetto"/>
    <d v="2025-06-18T00:00:00"/>
    <n v="53850"/>
    <n v="170"/>
    <s v="053850_170"/>
    <s v="Discovery Day"/>
    <s v="Mai valutato"/>
    <m/>
    <n v="202506178080209"/>
    <n v="1703306290713"/>
    <n v="20250617"/>
    <x v="3"/>
    <m/>
    <x v="0"/>
    <s v="A     - Avere"/>
    <n v="156000"/>
    <n v="0"/>
    <n v="4206297"/>
    <s v="SGRRCR46T58A285O"/>
    <s v="SGARRA RICCARDINA"/>
    <s v="600 - Famiglie consumatrici"/>
    <m/>
    <s v="086 - ITALIA"/>
    <n v="1476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209"/>
    <s v="95"/>
    <s v="Versamento giornaliero di importo elevato per la causale ed il soggetto"/>
    <d v="2025-06-18T00:00:00"/>
    <n v="53850"/>
    <n v="171"/>
    <s v="053850_171"/>
    <s v="Discovery Day"/>
    <s v="Mai valutato"/>
    <m/>
    <s v="Vari (17/06/2025)"/>
    <n v="1713305728950"/>
    <n v="20250617"/>
    <x v="0"/>
    <m/>
    <x v="0"/>
    <s v="A     - Avere"/>
    <n v="260070"/>
    <n v="25457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0"/>
    <n v="1"/>
    <n v="572895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208"/>
    <s v="95"/>
    <s v="Versamento giornaliero di importo elevato per la causale ed il soggetto"/>
    <d v="2025-06-18T00:00:00"/>
    <n v="53850"/>
    <n v="170"/>
    <s v="053850_170"/>
    <s v="Discovery Day"/>
    <s v="Mai valutato"/>
    <m/>
    <n v="202506178080210"/>
    <n v="1703306287143"/>
    <n v="20250617"/>
    <x v="3"/>
    <m/>
    <x v="0"/>
    <s v="A     - Avere"/>
    <n v="156000"/>
    <n v="0"/>
    <n v="4206269"/>
    <s v="FNDVCN70T21A285B"/>
    <s v="FIANDANESE VINCENZO"/>
    <s v="600 - Famiglie consumatrici"/>
    <m/>
    <s v="086 - ITALIA"/>
    <n v="1476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206"/>
    <s v="95"/>
    <s v="Versamento giornaliero di importo elevato per la causale ed il soggetto"/>
    <d v="2025-06-18T00:00:00"/>
    <n v="53850"/>
    <n v="170"/>
    <s v="053850_170"/>
    <s v="Discovery Day"/>
    <s v="Mai valutato"/>
    <m/>
    <n v="202506178080210"/>
    <n v="1703306287143"/>
    <n v="20250617"/>
    <x v="3"/>
    <m/>
    <x v="0"/>
    <s v="A     - Avere"/>
    <n v="156000"/>
    <n v="0"/>
    <n v="4462405"/>
    <s v="SLDMRA75E68A285C"/>
    <s v="SOLDATO MARA"/>
    <s v="600 - Famiglie consumatrici"/>
    <m/>
    <s v="086 - ITALIA"/>
    <n v="1476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201"/>
    <s v="95"/>
    <s v="Versamento giornaliero di importo elevato per la causale ed il soggetto"/>
    <d v="2025-06-18T00:00:00"/>
    <n v="53850"/>
    <n v="103"/>
    <s v="053850_103"/>
    <s v="Discovery Day"/>
    <s v="Mai valutato"/>
    <m/>
    <n v="202506168076304"/>
    <n v="1033300511030"/>
    <n v="20250616"/>
    <x v="1"/>
    <m/>
    <x v="0"/>
    <s v="A     - Avere"/>
    <n v="190000"/>
    <n v="0"/>
    <n v="51103"/>
    <s v="LPDPQL40P10E155Q"/>
    <s v="LOPEDOTA PASQUALE"/>
    <s v="600 - Famiglie consumatrici"/>
    <m/>
    <s v="086 - ITALIA"/>
    <n v="407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199"/>
    <s v="95"/>
    <s v="Versamento giornaliero di importo elevato per la causale ed il soggetto"/>
    <d v="2025-06-18T00:00:00"/>
    <n v="53850"/>
    <n v="175"/>
    <s v="053850_175"/>
    <s v="Discovery Day"/>
    <s v="Mai valutato"/>
    <m/>
    <s v="Vari (16/06/2025)"/>
    <n v="1753302203127"/>
    <n v="20250616"/>
    <x v="0"/>
    <m/>
    <x v="0"/>
    <s v="A     - Avere"/>
    <n v="102538.68"/>
    <n v="20880"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s v="IN VALUTAZIONE RPR"/>
    <x v="0"/>
    <n v="1"/>
    <n v="4160138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97"/>
    <s v="95"/>
    <s v="Versamento giornaliero di importo elevato per la causale ed il soggetto"/>
    <d v="2025-06-18T00:00:00"/>
    <n v="53850"/>
    <n v="116"/>
    <s v="053850_116"/>
    <s v="Discovery Day"/>
    <s v="Mai valutato"/>
    <m/>
    <n v="202506168076436"/>
    <n v="1423306288020"/>
    <n v="20250616"/>
    <x v="3"/>
    <m/>
    <x v="0"/>
    <s v="A     - Avere"/>
    <n v="118000"/>
    <n v="0"/>
    <n v="4559385"/>
    <s v="CPRDGL59M58L049C"/>
    <s v="CIPRIANI IDA ANGELA"/>
    <s v="600 - Famiglie consumatrici"/>
    <m/>
    <s v="086 - ITALIA"/>
    <m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85"/>
    <s v="95"/>
    <s v="Versamento giornaliero di importo elevato per la causale ed il soggetto"/>
    <d v="2025-06-18T00:00:00"/>
    <n v="53850"/>
    <n v="182"/>
    <s v="053850_182"/>
    <s v="Discovery Day"/>
    <s v="Mai valutato"/>
    <m/>
    <s v="Vari (16/06/2025)"/>
    <n v="1823300169301"/>
    <n v="20250616"/>
    <x v="2"/>
    <m/>
    <x v="0"/>
    <s v="A     - Avere"/>
    <n v="40825"/>
    <n v="4082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s v="IN CARICO AL GESTORE"/>
    <x v="0"/>
    <n v="1"/>
    <n v="4284957"/>
    <n v="1"/>
    <n v="0"/>
    <n v="920"/>
    <n v="615"/>
    <n v="615920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182"/>
    <s v="95"/>
    <s v="Versamento giornaliero di importo elevato per la causale ed il soggetto"/>
    <d v="2025-06-18T00:00:00"/>
    <n v="53850"/>
    <n v="105"/>
    <s v="053850_105"/>
    <s v="Discovery Day"/>
    <s v="Mai valutato"/>
    <m/>
    <n v="202506168076346"/>
    <n v="1053306290053"/>
    <n v="20250616"/>
    <x v="4"/>
    <m/>
    <x v="0"/>
    <s v="A     - Avere"/>
    <n v="98000"/>
    <n v="0"/>
    <n v="55359"/>
    <n v="296600729"/>
    <s v="PAOLO SCOPPIO E FIGLIO AUTOLINEE S.R.L."/>
    <s v="430 - Imprese produttive"/>
    <s v="493 - ALTRI TRASPORTI TERRESTRI DI PASSEGGERI"/>
    <s v="086 - ITALIA"/>
    <n v="1058"/>
    <m/>
    <m/>
    <m/>
    <m/>
    <m/>
    <m/>
    <m/>
    <n v="0"/>
    <n v="202506"/>
    <s v="IN CARICO AL GESTORE"/>
    <x v="0"/>
    <n v="1"/>
    <m/>
    <m/>
    <n v="0"/>
    <n v="493"/>
    <n v="430"/>
    <n v="43049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181"/>
    <s v="95"/>
    <s v="Versamento giornaliero di importo elevato per la causale ed il soggetto"/>
    <d v="2025-06-18T00:00:00"/>
    <n v="53850"/>
    <n v="171"/>
    <s v="053850_171"/>
    <s v="Discovery Day"/>
    <s v="Mai valutato"/>
    <m/>
    <s v="Vari (16/06/2025)"/>
    <n v="1713305728950"/>
    <n v="20250616"/>
    <x v="2"/>
    <m/>
    <x v="0"/>
    <s v="A     - Avere"/>
    <n v="341597.17"/>
    <n v="341597.1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173"/>
    <s v="95"/>
    <s v="Versamento giornaliero di importo elevato per la causale ed il soggetto"/>
    <d v="2025-06-18T00:00:00"/>
    <n v="53850"/>
    <n v="116"/>
    <s v="053850_116"/>
    <s v="Discovery Day"/>
    <s v="Mai valutato"/>
    <m/>
    <n v="202506168076436"/>
    <n v="1423306288020"/>
    <n v="20250616"/>
    <x v="3"/>
    <m/>
    <x v="0"/>
    <s v="A     - Avere"/>
    <n v="118000"/>
    <n v="0"/>
    <n v="4559384"/>
    <s v="DMCNNN60R29A662M"/>
    <s v="D'AMICO ANTONINO"/>
    <s v="600 - Famiglie consumatrici"/>
    <m/>
    <s v="086 - ITALIA"/>
    <n v="655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72"/>
    <s v="95"/>
    <s v="Versamento giornaliero di importo elevato per la causale ed il soggetto"/>
    <d v="2025-06-18T00:00:00"/>
    <n v="53850"/>
    <n v="108"/>
    <s v="053850_108"/>
    <s v="Discovery Day"/>
    <s v="Mai valutato"/>
    <m/>
    <s v="Vari (16/06/2025)"/>
    <n v="1083306291105"/>
    <n v="20250616"/>
    <x v="0"/>
    <m/>
    <x v="0"/>
    <s v="A     - Avere"/>
    <n v="180060.56"/>
    <n v="94090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0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161"/>
    <s v="95"/>
    <s v="Versamento giornaliero di importo elevato per la causale ed il soggetto"/>
    <d v="2025-06-18T00:00:00"/>
    <n v="53850"/>
    <n v="287"/>
    <s v="053850_287"/>
    <s v="Discovery Day"/>
    <s v="Mai valutato"/>
    <m/>
    <s v="Vari (16/06/2025)"/>
    <n v="2873300001853"/>
    <n v="20250616"/>
    <x v="0"/>
    <m/>
    <x v="0"/>
    <s v="A     - Avere"/>
    <n v="114258.15"/>
    <n v="1500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s v="IN VALUTAZIONE RPR"/>
    <x v="0"/>
    <n v="1"/>
    <n v="3722213"/>
    <n v="1"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160"/>
    <s v="95"/>
    <s v="Versamento giornaliero di importo elevato per la causale ed il soggetto"/>
    <d v="2025-06-18T00:00:00"/>
    <n v="53850"/>
    <n v="116"/>
    <s v="053850_116"/>
    <s v="Discovery Day"/>
    <s v="Mai valutato"/>
    <m/>
    <n v="202506168076065"/>
    <n v="2343300010453"/>
    <n v="20250616"/>
    <x v="2"/>
    <m/>
    <x v="0"/>
    <s v="A     - Avere"/>
    <n v="168441.45"/>
    <n v="168441.4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158"/>
    <s v="95"/>
    <s v="Versamento giornaliero di importo elevato per la causale ed il soggetto"/>
    <d v="2025-06-18T00:00:00"/>
    <n v="53850"/>
    <n v="267"/>
    <s v="053850_267"/>
    <s v="Discovery Day"/>
    <s v="Mai valutato"/>
    <m/>
    <s v="Vari (16/06/2025)"/>
    <n v="2673300000259"/>
    <n v="20250616"/>
    <x v="0"/>
    <m/>
    <x v="0"/>
    <s v="A     - Avere"/>
    <n v="105930"/>
    <n v="1900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6"/>
    <s v="IN CARICO AL GESTORE"/>
    <x v="0"/>
    <n v="1"/>
    <n v="1616725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70"/>
    <s v="95"/>
    <s v="Versamento giornaliero di importo elevato per la causale ed il soggetto"/>
    <d v="2025-06-14T00:00:00"/>
    <n v="53850"/>
    <n v="267"/>
    <s v="053850_267"/>
    <s v="Discovery Day"/>
    <s v="Mai valutato"/>
    <m/>
    <n v="202506138068290"/>
    <n v="2673300001267"/>
    <n v="20250613"/>
    <x v="3"/>
    <m/>
    <x v="0"/>
    <s v="A     - Avere"/>
    <n v="141886.81"/>
    <n v="0"/>
    <n v="1643364"/>
    <s v="VLLRRN55B58I744N"/>
    <s v="VALELA' ROSARINA"/>
    <s v="600 - Famiglie consumatrici"/>
    <m/>
    <s v="086 - ITALIA"/>
    <n v="1832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967"/>
    <s v="95"/>
    <s v="Versamento giornaliero di importo elevato per la causale ed il soggetto"/>
    <d v="2025-06-14T00:00:00"/>
    <n v="53850"/>
    <n v="170"/>
    <s v="053850_170"/>
    <s v="Discovery Day"/>
    <s v="Mai valutato"/>
    <m/>
    <n v="202506138068129"/>
    <n v="1703306287412"/>
    <n v="20250613"/>
    <x v="3"/>
    <m/>
    <x v="0"/>
    <s v="A     - Avere"/>
    <n v="188729.33"/>
    <n v="0"/>
    <n v="4206289"/>
    <s v="FNDMRZ80T15A285V"/>
    <s v="FIANDANESE MAURIZIO"/>
    <s v="600 - Famiglie consumatrici"/>
    <m/>
    <s v="086 - ITALIA"/>
    <n v="1476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959"/>
    <s v="95"/>
    <s v="Versamento giornaliero di importo elevato per la causale ed il soggetto"/>
    <d v="2025-06-14T00:00:00"/>
    <n v="53850"/>
    <n v="267"/>
    <s v="053850_267"/>
    <s v="Discovery Day"/>
    <s v="Mai valutato"/>
    <m/>
    <n v="202506138068290"/>
    <n v="2673300001267"/>
    <n v="20250613"/>
    <x v="3"/>
    <m/>
    <x v="0"/>
    <s v="A     - Avere"/>
    <n v="141886.81"/>
    <n v="0"/>
    <n v="1643258"/>
    <s v="VLLBRN48T02I744R"/>
    <s v="VALELA' BRUNO"/>
    <s v="600 - Famiglie consumatrici"/>
    <m/>
    <s v="086 - ITALIA"/>
    <n v="1832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949"/>
    <s v="95"/>
    <s v="Versamento giornaliero di importo elevato per la causale ed il soggetto"/>
    <d v="2025-06-13T00:00:00"/>
    <n v="53850"/>
    <n v="106"/>
    <s v="053850_106"/>
    <s v="Discovery Day"/>
    <s v="Mai valutato"/>
    <m/>
    <n v="202506128064930"/>
    <n v="1063302771425"/>
    <n v="20250612"/>
    <x v="4"/>
    <m/>
    <x v="0"/>
    <s v="A     - Avere"/>
    <n v="118000"/>
    <n v="0"/>
    <n v="4533753"/>
    <s v="CLSNGL74H59A285B"/>
    <s v="COLASUONNO ANGELA"/>
    <s v="615 - Altre famiglie produttrici"/>
    <s v="692 - CONTABILITÀ, CONTROLLO E REVISIONE CONTABILE, CONSULENZA IN MATERIA FISCALE E DEL LAVORO"/>
    <s v="086 - ITALIA"/>
    <n v="1630"/>
    <m/>
    <m/>
    <m/>
    <m/>
    <m/>
    <m/>
    <m/>
    <n v="0"/>
    <n v="202506"/>
    <s v="IN VALUTAZIONE RPR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948"/>
    <s v="95"/>
    <s v="Versamento giornaliero di importo elevato per la causale ed il soggetto"/>
    <d v="2025-06-13T00:00:00"/>
    <n v="53850"/>
    <n v="171"/>
    <s v="053850_171"/>
    <s v="Discovery Day"/>
    <s v="Mai valutato"/>
    <m/>
    <s v="Vari (12/06/2025)"/>
    <n v="1713302214147"/>
    <n v="20250612"/>
    <x v="2"/>
    <m/>
    <x v="0"/>
    <s v="A     - Avere"/>
    <n v="119000"/>
    <n v="11900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43"/>
    <s v="95"/>
    <s v="Versamento giornaliero di importo elevato per la causale ed il soggetto"/>
    <d v="2025-06-13T00:00:00"/>
    <n v="53850"/>
    <n v="171"/>
    <s v="053850_171"/>
    <s v="Discovery Day"/>
    <s v="Mai valutato"/>
    <m/>
    <s v="Vari (12/06/2025)"/>
    <n v="1713305728950"/>
    <n v="20250612"/>
    <x v="2"/>
    <m/>
    <x v="0"/>
    <s v="A     - Avere"/>
    <n v="411342.35"/>
    <n v="411342.3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34"/>
    <s v="95"/>
    <s v="Versamento giornaliero di importo elevato per la causale ed il soggetto"/>
    <d v="2025-06-13T00:00:00"/>
    <n v="53850"/>
    <n v="204"/>
    <s v="053850_204"/>
    <s v="Discovery Day"/>
    <s v="Mai valutato"/>
    <m/>
    <n v="202506128065217"/>
    <n v="2043300010790"/>
    <n v="20250612"/>
    <x v="3"/>
    <m/>
    <x v="0"/>
    <s v="A     - Avere"/>
    <n v="157500"/>
    <n v="0"/>
    <n v="4362444"/>
    <s v="DFBVTR87P09E435N"/>
    <s v="DI FABIO VITTORIO"/>
    <s v="600 - Famiglie consumatrici"/>
    <m/>
    <s v="086 - ITALIA"/>
    <n v="1285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28"/>
    <s v="95"/>
    <s v="Versamento giornaliero di importo elevato per la causale ed il soggetto"/>
    <d v="2025-06-13T00:00:00"/>
    <n v="53850"/>
    <n v="132"/>
    <s v="053850_132"/>
    <s v="Discovery Day"/>
    <s v="Mai valutato"/>
    <m/>
    <n v="202506128065012"/>
    <n v="1323300002272"/>
    <n v="20250612"/>
    <x v="3"/>
    <m/>
    <x v="0"/>
    <s v="A     - Avere"/>
    <n v="1160000"/>
    <n v="0"/>
    <n v="4846311"/>
    <n v="1788310769"/>
    <s v="ENERGIA E GAS SRL"/>
    <s v="430 - Imprese produttive"/>
    <s v="749 - ALTRE ATTIVITÀ PROFESSIONALI, SCIENTIFICHE E TECNICHE NCA"/>
    <s v="086 - ITALIA"/>
    <n v="1959"/>
    <m/>
    <m/>
    <m/>
    <m/>
    <m/>
    <m/>
    <m/>
    <n v="0"/>
    <n v="202506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923"/>
    <s v="95"/>
    <s v="Versamento giornaliero di importo elevato per la causale ed il soggetto"/>
    <d v="2025-06-12T00:00:00"/>
    <n v="53850"/>
    <n v="273"/>
    <s v="053850_273"/>
    <s v="Discovery Day"/>
    <s v="Mai valutato"/>
    <m/>
    <n v="202506118062086"/>
    <n v="2733300011950"/>
    <n v="20250611"/>
    <x v="3"/>
    <m/>
    <x v="0"/>
    <s v="A     - Avere"/>
    <n v="196000"/>
    <n v="0"/>
    <n v="3730680"/>
    <n v="4508770718"/>
    <s v="IMMOBILIARE PALLETTA S.R.L."/>
    <s v="430 - Imprese produttive"/>
    <s v="682 - AFFITTO E GESTIONE DI IMMOBILI DI PROPRIETÀ O IN LEASING "/>
    <s v="086 - ITALIA"/>
    <n v="1801"/>
    <m/>
    <m/>
    <m/>
    <m/>
    <m/>
    <m/>
    <m/>
    <n v="0"/>
    <n v="202506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20"/>
    <s v="95"/>
    <s v="Versamento giornaliero di importo elevato per la causale ed il soggetto"/>
    <d v="2025-06-12T00:00:00"/>
    <n v="53850"/>
    <n v="114"/>
    <s v="053850_114"/>
    <s v="Discovery Day"/>
    <s v="Mai valutato"/>
    <m/>
    <n v="202506118061751"/>
    <n v="1143306278902"/>
    <n v="20250611"/>
    <x v="3"/>
    <m/>
    <x v="0"/>
    <s v="A     - Avere"/>
    <n v="125000"/>
    <n v="0"/>
    <n v="4210170"/>
    <s v="DMMLNE59P46D650K"/>
    <s v="DI MAMBRO ELENA"/>
    <s v="600 - Famiglie consumatrici"/>
    <m/>
    <s v="086 - ITALIA"/>
    <n v="907"/>
    <m/>
    <m/>
    <m/>
    <m/>
    <m/>
    <m/>
    <m/>
    <n v="0"/>
    <n v="202506"/>
    <s v="IN CARICO AL GESTORE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917"/>
    <s v="95"/>
    <s v="Versamento giornaliero di importo elevato per la causale ed il soggetto"/>
    <d v="2025-06-12T00:00:00"/>
    <n v="53850"/>
    <n v="108"/>
    <s v="053850_108"/>
    <s v="Discovery Day"/>
    <s v="Mai valutato"/>
    <m/>
    <s v="Vari (11/06/2025)"/>
    <n v="1083300011180"/>
    <n v="20250611"/>
    <x v="0"/>
    <m/>
    <x v="0"/>
    <s v="A     - Avere"/>
    <n v="115507.85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14"/>
    <s v="95"/>
    <s v="Versamento giornaliero di importo elevato per la causale ed il soggetto"/>
    <d v="2025-06-12T00:00:00"/>
    <n v="53850"/>
    <n v="116"/>
    <s v="053850_116"/>
    <s v="Discovery Day"/>
    <s v="Mai valutato"/>
    <m/>
    <n v="202506118061485"/>
    <n v="2343300010453"/>
    <n v="20250611"/>
    <x v="2"/>
    <m/>
    <x v="0"/>
    <s v="A     - Avere"/>
    <n v="87896.5"/>
    <n v="87896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08"/>
    <s v="95"/>
    <s v="Versamento giornaliero di importo elevato per la causale ed il soggetto"/>
    <d v="2025-06-12T00:00:00"/>
    <n v="53850"/>
    <n v="102"/>
    <s v="053850_102"/>
    <s v="Discovery Day"/>
    <s v="Mai valutato"/>
    <m/>
    <n v="202506118061607"/>
    <n v="1023308720728"/>
    <n v="20250611"/>
    <x v="3"/>
    <m/>
    <x v="0"/>
    <s v="A     - Avere"/>
    <n v="160000"/>
    <n v="0"/>
    <n v="558487"/>
    <s v="STRMRA70L46A225P"/>
    <s v="STORSILLO MARIA"/>
    <s v="600 - Famiglie consumatrici"/>
    <m/>
    <s v="086 - ITALIA"/>
    <n v="1648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897"/>
    <s v="95"/>
    <s v="Versamento giornaliero di importo elevato per la causale ed il soggetto"/>
    <d v="2025-06-12T00:00:00"/>
    <n v="53850"/>
    <n v="108"/>
    <s v="053850_108"/>
    <s v="Discovery Day"/>
    <s v="Mai valutato"/>
    <m/>
    <s v="Vari (11/06/2025)"/>
    <n v="1083306291105"/>
    <n v="20250611"/>
    <x v="0"/>
    <m/>
    <x v="0"/>
    <s v="A     - Avere"/>
    <n v="109896.81"/>
    <n v="76840.7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0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93"/>
    <s v="95"/>
    <s v="Versamento giornaliero di importo elevato per la causale ed il soggetto"/>
    <d v="2025-06-12T00:00:00"/>
    <n v="53850"/>
    <n v="188"/>
    <s v="053850_188"/>
    <s v="Discovery Day"/>
    <s v="Mai valutato"/>
    <m/>
    <n v="202506118061973"/>
    <n v="1883309518885"/>
    <n v="20250611"/>
    <x v="1"/>
    <m/>
    <x v="0"/>
    <s v="A     - Avere"/>
    <n v="200000"/>
    <n v="0"/>
    <n v="3062147"/>
    <s v="FLLNNL64L68L049B"/>
    <s v="FULLONE ANTONELLA"/>
    <s v="615 - Altre famiglie produttrici"/>
    <s v="477 - COMMERCIO AL DETTAGLIO DI ALTRI PRODOTTI IN ESERCIZI SPECIALIZZATI"/>
    <s v="086 - ITALIA"/>
    <n v="637"/>
    <m/>
    <m/>
    <m/>
    <m/>
    <m/>
    <m/>
    <m/>
    <n v="0"/>
    <n v="202506"/>
    <s v="IN CARICO AL GESTORE"/>
    <x v="0"/>
    <n v="1"/>
    <n v="3062147"/>
    <n v="1"/>
    <n v="0"/>
    <n v="477"/>
    <n v="615"/>
    <n v="615477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3"/>
    <s v="95"/>
    <s v="Versamento giornaliero di importo elevato per la causale ed il soggetto"/>
    <d v="2025-06-12T00:00:00"/>
    <n v="53850"/>
    <n v="114"/>
    <s v="053850_114"/>
    <s v="Discovery Day"/>
    <s v="Mai valutato"/>
    <m/>
    <n v="202506118061751"/>
    <n v="1143306278902"/>
    <n v="20250611"/>
    <x v="3"/>
    <m/>
    <x v="0"/>
    <s v="A     - Avere"/>
    <n v="125000"/>
    <n v="0"/>
    <n v="4210168"/>
    <s v="SVNGTN61C07H882H"/>
    <s v="SAVINO AGOSTINO"/>
    <s v="600 - Famiglie consumatrici"/>
    <m/>
    <s v="086 - ITALIA"/>
    <n v="907"/>
    <m/>
    <m/>
    <m/>
    <m/>
    <m/>
    <m/>
    <m/>
    <n v="0"/>
    <n v="202506"/>
    <s v="IN CARICO AL GESTORE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876"/>
    <s v="95"/>
    <s v="Versamento giornaliero di importo elevato per la causale ed il soggetto"/>
    <d v="2025-06-11T00:00:00"/>
    <n v="53850"/>
    <n v="121"/>
    <s v="053850_121"/>
    <s v="Discovery Day"/>
    <s v="Mai valutato"/>
    <m/>
    <s v="Vari (10/06/2025)"/>
    <n v="1213300002600"/>
    <n v="20250610"/>
    <x v="0"/>
    <m/>
    <x v="0"/>
    <s v="A     - Avere"/>
    <n v="1045535.28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0"/>
    <n v="1"/>
    <m/>
    <m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75"/>
    <s v="95"/>
    <s v="Versamento giornaliero di importo elevato per la causale ed il soggetto"/>
    <d v="2025-06-11T00:00:00"/>
    <n v="53850"/>
    <n v="121"/>
    <s v="053850_121"/>
    <s v="Discovery Day"/>
    <s v="Mai valutato"/>
    <m/>
    <s v="Vari (10/06/2025)"/>
    <n v="1213300002971"/>
    <n v="20250610"/>
    <x v="0"/>
    <m/>
    <x v="0"/>
    <s v="A     - Avere"/>
    <n v="118962.43"/>
    <n v="0"/>
    <n v="4859756"/>
    <n v="7229510727"/>
    <s v="ORGANIZZAZIONE DI PRODUTTORI PUGLIAVIVA - SOCIETA' CONSORTILE AGRICOLA A R.L. IN"/>
    <s v="430 - Imprese produttive"/>
    <s v="016 - ATTIVITÀ DI SUPPORTO ALL'AGRICOLTURA E ATTIVITÀ SUCCESSIVE ALLA RACCOLTA"/>
    <s v="086 - ITALIA"/>
    <n v="1058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73"/>
    <s v="95"/>
    <s v="Versamento giornaliero di importo elevato per la causale ed il soggetto"/>
    <d v="2025-06-11T00:00:00"/>
    <n v="53850"/>
    <n v="103"/>
    <s v="053850_103"/>
    <s v="Discovery Day"/>
    <s v="Mai valutato"/>
    <m/>
    <n v="202506108058114"/>
    <n v="1033306986160"/>
    <n v="20250610"/>
    <x v="4"/>
    <m/>
    <x v="0"/>
    <s v="A     - Avere"/>
    <n v="141000"/>
    <n v="0"/>
    <n v="557564"/>
    <s v="TCCFMN66H47E155I"/>
    <s v="TUCCI FILOMENA"/>
    <s v="600 - Famiglie consumatrici"/>
    <m/>
    <s v="086 - ITALIA"/>
    <n v="515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64"/>
    <s v="95"/>
    <s v="Versamento giornaliero di importo elevato per la causale ed il soggetto"/>
    <d v="2025-06-11T00:00:00"/>
    <n v="53850"/>
    <n v="104"/>
    <s v="053850_104"/>
    <s v="Discovery Day"/>
    <s v="Mai valutato"/>
    <m/>
    <s v="Vari (10/06/2025)"/>
    <n v="1043304173550"/>
    <n v="20250610"/>
    <x v="0"/>
    <m/>
    <x v="0"/>
    <s v="A     - Avere"/>
    <n v="106353.02"/>
    <n v="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6"/>
    <s v="IN VALUTAZIONE RPR"/>
    <x v="0"/>
    <n v="1"/>
    <n v="417355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62"/>
    <s v="95"/>
    <s v="Versamento giornaliero di importo elevato per la causale ed il soggetto"/>
    <d v="2025-06-11T00:00:00"/>
    <n v="53850"/>
    <n v="161"/>
    <s v="053850_161"/>
    <s v="Discovery Day"/>
    <s v="Mai valutato"/>
    <m/>
    <s v="Vari (10/06/2025)"/>
    <n v="1613300029653"/>
    <n v="20250610"/>
    <x v="0"/>
    <m/>
    <x v="0"/>
    <s v="A     - Avere"/>
    <n v="97229.53"/>
    <n v="86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850"/>
    <s v="95"/>
    <s v="Versamento giornaliero di importo elevato per la causale ed il soggetto"/>
    <d v="2025-06-11T00:00:00"/>
    <n v="53850"/>
    <n v="174"/>
    <s v="053850_174"/>
    <s v="Discovery Day"/>
    <s v="Mai valutato"/>
    <m/>
    <n v="202506108058413"/>
    <n v="1933300021419"/>
    <n v="20250610"/>
    <x v="6"/>
    <m/>
    <x v="0"/>
    <s v="A     - Avere"/>
    <n v="115000"/>
    <n v="0"/>
    <n v="4193406"/>
    <s v="DNSNDR74L09F376T"/>
    <s v="DANESE ANDREA"/>
    <s v="600 - Famiglie consumatrici"/>
    <m/>
    <s v="086 - ITALIA"/>
    <n v="1583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45"/>
    <s v="95"/>
    <s v="Versamento giornaliero di importo elevato per la causale ed il soggetto"/>
    <d v="2025-06-11T00:00:00"/>
    <n v="53850"/>
    <n v="196"/>
    <s v="053850_196"/>
    <s v="Discovery Day"/>
    <s v="Mai valutato"/>
    <m/>
    <n v="202506108058491"/>
    <n v="1963302353139"/>
    <n v="20250610"/>
    <x v="1"/>
    <m/>
    <x v="0"/>
    <s v="A     - Avere"/>
    <n v="116502.98"/>
    <n v="0"/>
    <n v="4799894"/>
    <n v="3147630713"/>
    <s v="TRAVERSI S.R.L."/>
    <s v="430 - Imprese produttive"/>
    <s v="104 - PRODUZIONE DI OLI E GRASSI VEGETALI E ANIMALI"/>
    <s v="086 - ITALIA"/>
    <n v="1453"/>
    <m/>
    <m/>
    <m/>
    <m/>
    <m/>
    <m/>
    <m/>
    <n v="0"/>
    <n v="202506"/>
    <s v="IN CARICO AL GESTORE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42"/>
    <s v="95"/>
    <s v="Versamento giornaliero di importo elevato per la causale ed il soggetto"/>
    <d v="2025-06-11T00:00:00"/>
    <n v="53850"/>
    <n v="116"/>
    <s v="053850_116"/>
    <s v="Discovery Day"/>
    <s v="Mai valutato"/>
    <m/>
    <n v="202506108058199"/>
    <n v="1163307623245"/>
    <n v="20250610"/>
    <x v="3"/>
    <m/>
    <x v="0"/>
    <s v="A     - Avere"/>
    <n v="261560"/>
    <n v="0"/>
    <n v="3725043"/>
    <n v="8672980722"/>
    <s v="FUTUREHOME SRL"/>
    <s v="430 - Imprese produttive"/>
    <s v="412 - COSTRUZIONE DI EDIFICI RESIDENZIALI E NON RESIDENZIALI"/>
    <s v="086 - ITALIA"/>
    <n v="1919"/>
    <m/>
    <m/>
    <m/>
    <m/>
    <m/>
    <m/>
    <m/>
    <n v="0"/>
    <n v="202506"/>
    <s v="IN VALUTAZIONE RPR"/>
    <x v="0"/>
    <n v="1"/>
    <m/>
    <m/>
    <n v="0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837"/>
    <s v="95"/>
    <s v="Versamento giornaliero di importo elevato per la causale ed il soggetto"/>
    <d v="2025-06-11T00:00:00"/>
    <n v="53850"/>
    <n v="103"/>
    <s v="053850_103"/>
    <s v="Discovery Day"/>
    <s v="Mai valutato"/>
    <m/>
    <n v="202506108058114"/>
    <n v="1033306986160"/>
    <n v="20250610"/>
    <x v="4"/>
    <m/>
    <x v="0"/>
    <s v="A     - Avere"/>
    <n v="141000"/>
    <n v="0"/>
    <n v="606758"/>
    <s v="TCCGRZ65C62E155O"/>
    <s v="TUCCI GRAZIA"/>
    <s v="600 - Famiglie consumatrici"/>
    <m/>
    <s v="086 - ITALIA"/>
    <n v="1224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36"/>
    <s v="95"/>
    <s v="Versamento giornaliero di importo elevato per la causale ed il soggetto"/>
    <d v="2025-06-11T00:00:00"/>
    <n v="53850"/>
    <n v="103"/>
    <s v="053850_103"/>
    <s v="Discovery Day"/>
    <s v="Mai valutato"/>
    <m/>
    <n v="202506108058114"/>
    <n v="1033306986160"/>
    <n v="20250610"/>
    <x v="4"/>
    <m/>
    <x v="0"/>
    <s v="A     - Avere"/>
    <n v="141000"/>
    <n v="0"/>
    <n v="4041365"/>
    <s v="TCCGPP74M66E155X"/>
    <s v="TUCCI GIUSEPPINA"/>
    <s v="600 - Famiglie consumatrici"/>
    <m/>
    <s v="086 - ITALIA"/>
    <m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34"/>
    <s v="95"/>
    <s v="Versamento giornaliero di importo elevato per la causale ed il soggetto"/>
    <d v="2025-06-11T00:00:00"/>
    <n v="53850"/>
    <n v="116"/>
    <s v="053850_116"/>
    <s v="Discovery Day"/>
    <s v="Mai valutato"/>
    <m/>
    <n v="202506108057916"/>
    <n v="2343300010453"/>
    <n v="20250610"/>
    <x v="2"/>
    <m/>
    <x v="0"/>
    <s v="A     - Avere"/>
    <n v="136096.6"/>
    <n v="136096.6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33"/>
    <s v="95"/>
    <s v="Versamento giornaliero di importo elevato per la causale ed il soggetto"/>
    <d v="2025-06-11T00:00:00"/>
    <n v="53850"/>
    <n v="103"/>
    <s v="053850_103"/>
    <s v="Discovery Day"/>
    <s v="Mai valutato"/>
    <m/>
    <n v="202506108058114"/>
    <n v="1033306986160"/>
    <n v="20250610"/>
    <x v="4"/>
    <m/>
    <x v="0"/>
    <s v="A     - Avere"/>
    <n v="141000"/>
    <n v="0"/>
    <n v="4055669"/>
    <s v="TCCMRA71T42E155A"/>
    <s v="TUCCI MARIA"/>
    <s v="600 - Famiglie consumatrici"/>
    <m/>
    <s v="086 - ITALIA"/>
    <m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31"/>
    <s v="95"/>
    <s v="Versamento giornaliero di importo elevato per la causale ed il soggetto"/>
    <d v="2025-06-11T00:00:00"/>
    <n v="53850"/>
    <n v="171"/>
    <s v="053850_171"/>
    <s v="Discovery Day"/>
    <s v="Mai valutato"/>
    <m/>
    <s v="Vari (10/06/2025)"/>
    <n v="1713305728950"/>
    <n v="20250610"/>
    <x v="2"/>
    <m/>
    <x v="0"/>
    <s v="A     - Avere"/>
    <n v="191560"/>
    <n v="19156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830"/>
    <s v="95"/>
    <s v="Versamento giornaliero di importo elevato per la causale ed il soggetto"/>
    <d v="2025-06-11T00:00:00"/>
    <n v="53850"/>
    <n v="121"/>
    <s v="053850_121"/>
    <s v="Discovery Day"/>
    <s v="Mai valutato"/>
    <m/>
    <n v="202506108058216"/>
    <n v="1213300010279"/>
    <n v="20250610"/>
    <x v="1"/>
    <m/>
    <x v="0"/>
    <s v="A     - Avere"/>
    <n v="100000"/>
    <n v="0"/>
    <n v="1001714"/>
    <s v="CLMDNC72T12C975L"/>
    <s v="CLEMENTE DOMENICO"/>
    <s v="615 - Altre famiglie produttrici"/>
    <s v="012 - COLTIVAZIONE DI COLTURE PERMANENTI"/>
    <s v="086 - ITALIA"/>
    <n v="928"/>
    <m/>
    <m/>
    <m/>
    <m/>
    <m/>
    <m/>
    <m/>
    <n v="0"/>
    <n v="202506"/>
    <s v="IN CARICO AL GESTORE"/>
    <x v="0"/>
    <n v="1"/>
    <m/>
    <m/>
    <n v="0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823"/>
    <s v="95"/>
    <s v="Versamento giornaliero di importo elevato per la causale ed il soggetto"/>
    <d v="2025-06-10T00:00:00"/>
    <n v="53850"/>
    <n v="103"/>
    <s v="053850_103"/>
    <s v="Discovery Day"/>
    <s v="Mai valutato"/>
    <m/>
    <s v="Vari (09/06/2025)"/>
    <n v="1033306978505"/>
    <n v="20250609"/>
    <x v="0"/>
    <m/>
    <x v="0"/>
    <s v="A     - Avere"/>
    <n v="102000"/>
    <n v="0"/>
    <n v="4917206"/>
    <n v="8210620723"/>
    <s v="EDILIZIA GAUDINO SOCIETA' A RESPONSABILITA' LIMITATA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0"/>
    <n v="1"/>
    <m/>
    <m/>
    <n v="1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22"/>
    <s v="95"/>
    <s v="Versamento giornaliero di importo elevato per la causale ed il soggetto"/>
    <d v="2025-06-10T00:00:00"/>
    <n v="53850"/>
    <n v="111"/>
    <s v="053850_111"/>
    <s v="Discovery Day"/>
    <s v="Mai valutato"/>
    <m/>
    <n v="202506098054794"/>
    <n v="1113302817195"/>
    <n v="20250609"/>
    <x v="1"/>
    <m/>
    <x v="0"/>
    <s v="A     - Avere"/>
    <n v="118493.59"/>
    <n v="0"/>
    <n v="456132"/>
    <s v="CLZDNL75C43A225B"/>
    <s v="CALZONE DANIELA"/>
    <s v="600 - Famiglie consumatrici"/>
    <m/>
    <s v="086 - ITALIA"/>
    <n v="445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17"/>
    <s v="95"/>
    <s v="Versamento giornaliero di importo elevato per la causale ed il soggetto"/>
    <d v="2025-06-10T00:00:00"/>
    <n v="53850"/>
    <n v="161"/>
    <s v="053850_161"/>
    <s v="Discovery Day"/>
    <s v="Mai valutato"/>
    <m/>
    <s v="Vari (09/06/2025)"/>
    <n v="1613300029653"/>
    <n v="20250609"/>
    <x v="0"/>
    <m/>
    <x v="0"/>
    <s v="A     - Avere"/>
    <n v="115427.47"/>
    <n v="108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809"/>
    <s v="95"/>
    <s v="Versamento giornaliero di importo elevato per la causale ed il soggetto"/>
    <d v="2025-06-10T00:00:00"/>
    <n v="53850"/>
    <n v="128"/>
    <s v="053850_128"/>
    <s v="Discovery Day"/>
    <s v="Mai valutato"/>
    <m/>
    <s v="Vari (09/06/2025)"/>
    <n v="1283300001665"/>
    <n v="20250609"/>
    <x v="0"/>
    <m/>
    <x v="0"/>
    <s v="A     - Avere"/>
    <n v="148675.4"/>
    <n v="179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801"/>
    <s v="95"/>
    <s v="Versamento giornaliero di importo elevato per la causale ed il soggetto"/>
    <d v="2025-06-10T00:00:00"/>
    <n v="53850"/>
    <n v="111"/>
    <s v="053850_111"/>
    <s v="Discovery Day"/>
    <s v="Mai valutato"/>
    <m/>
    <n v="202506098054794"/>
    <n v="1113302817195"/>
    <n v="20250609"/>
    <x v="1"/>
    <m/>
    <x v="0"/>
    <s v="A     - Avere"/>
    <n v="118493.59"/>
    <n v="0"/>
    <n v="4425262"/>
    <s v="CLZMTC65B26E326C"/>
    <s v="CALZONE MATTEO CLAUDIO"/>
    <s v="600 - Famiglie consumatrici"/>
    <m/>
    <s v="086 - ITALIA"/>
    <n v="445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98"/>
    <s v="95"/>
    <s v="Versamento giornaliero di importo elevato per la causale ed il soggetto"/>
    <d v="2025-06-10T00:00:00"/>
    <n v="53850"/>
    <n v="129"/>
    <s v="053850_129"/>
    <s v="Discovery Day"/>
    <s v="Mai valutato"/>
    <m/>
    <n v="202506098054845"/>
    <n v="2343300010453"/>
    <n v="20250609"/>
    <x v="1"/>
    <m/>
    <x v="0"/>
    <s v="A     - Avere"/>
    <n v="101566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95"/>
    <s v="95"/>
    <s v="Versamento giornaliero di importo elevato per la causale ed il soggetto"/>
    <d v="2025-06-10T00:00:00"/>
    <n v="53850"/>
    <n v="111"/>
    <s v="053850_111"/>
    <s v="Discovery Day"/>
    <s v="Mai valutato"/>
    <m/>
    <n v="202506098054794"/>
    <n v="1113302817195"/>
    <n v="20250609"/>
    <x v="1"/>
    <m/>
    <x v="0"/>
    <s v="A     - Avere"/>
    <n v="118493.59"/>
    <n v="0"/>
    <n v="541375"/>
    <s v="CLZDNC62R61A662R"/>
    <s v="CALZONE DOMENICA ROSSANA"/>
    <s v="600 - Famiglie consumatrici"/>
    <m/>
    <s v="086 - ITALIA"/>
    <n v="593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94"/>
    <s v="95"/>
    <s v="Versamento giornaliero di importo elevato per la causale ed il soggetto"/>
    <d v="2025-06-10T00:00:00"/>
    <n v="53850"/>
    <n v="108"/>
    <s v="053850_108"/>
    <s v="Discovery Day"/>
    <s v="Mai valutato"/>
    <m/>
    <s v="Vari (09/06/2025)"/>
    <n v="1083306291105"/>
    <n v="20250609"/>
    <x v="0"/>
    <m/>
    <x v="0"/>
    <s v="A     - Avere"/>
    <n v="166170.51999999999"/>
    <n v="85891.5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0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790"/>
    <s v="95"/>
    <s v="Versamento giornaliero di importo elevato per la causale ed il soggetto"/>
    <d v="2025-06-10T00:00:00"/>
    <n v="53850"/>
    <n v="116"/>
    <s v="053850_116"/>
    <s v="Discovery Day"/>
    <s v="Mai valutato"/>
    <m/>
    <s v="Vari (09/06/2025)"/>
    <n v="1163307623465"/>
    <n v="20250609"/>
    <x v="0"/>
    <m/>
    <x v="0"/>
    <s v="A     - Avere"/>
    <n v="95000"/>
    <n v="0"/>
    <n v="3738297"/>
    <n v="8684570727"/>
    <s v="NOVAGORA' S.R.L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0"/>
    <n v="1"/>
    <m/>
    <m/>
    <n v="1"/>
    <n v="412"/>
    <n v="430"/>
    <n v="430412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785"/>
    <s v="95"/>
    <s v="Versamento giornaliero di importo elevato per la causale ed il soggetto"/>
    <d v="2025-06-10T00:00:00"/>
    <n v="53850"/>
    <n v="143"/>
    <s v="053850_143"/>
    <s v="Discovery Day"/>
    <s v="Mai valutato"/>
    <m/>
    <n v="202506098054888"/>
    <n v="1433300351202"/>
    <n v="20250609"/>
    <x v="6"/>
    <m/>
    <x v="0"/>
    <s v="A     - Avere"/>
    <n v="140000"/>
    <n v="0"/>
    <n v="4625323"/>
    <s v="DMNRNZ56R07A892W"/>
    <s v="DAMONE ORONZO"/>
    <s v="600 - Famiglie consumatrici"/>
    <m/>
    <s v="086 - ITALIA"/>
    <n v="860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776"/>
    <s v="95"/>
    <s v="Versamento giornaliero di importo elevato per la causale ed il soggetto"/>
    <d v="2025-06-10T00:00:00"/>
    <n v="53850"/>
    <n v="175"/>
    <s v="053850_175"/>
    <s v="Discovery Day"/>
    <s v="Mai valutato"/>
    <m/>
    <s v="Vari (09/06/2025)"/>
    <n v="1753302203127"/>
    <n v="20250609"/>
    <x v="0"/>
    <m/>
    <x v="0"/>
    <s v="A     - Avere"/>
    <n v="130423.76"/>
    <n v="33195"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s v="IN VALUTAZIONE RPR"/>
    <x v="0"/>
    <n v="1"/>
    <n v="4160138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774"/>
    <s v="95"/>
    <s v="Versamento giornaliero di importo elevato per la causale ed il soggetto"/>
    <d v="2025-06-10T00:00:00"/>
    <n v="53850"/>
    <n v="111"/>
    <s v="053850_111"/>
    <s v="Discovery Day"/>
    <s v="Mai valutato"/>
    <m/>
    <n v="202506098054794"/>
    <n v="1113302817195"/>
    <n v="20250609"/>
    <x v="1"/>
    <m/>
    <x v="0"/>
    <s v="A     - Avere"/>
    <n v="118493.59"/>
    <n v="0"/>
    <n v="4425270"/>
    <s v="CLZFLV71A14E326W"/>
    <s v="CALZONE FLAVIO"/>
    <s v="600 - Famiglie consumatrici"/>
    <m/>
    <s v="086 - ITALIA"/>
    <n v="593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67"/>
    <s v="95"/>
    <s v="Versamento giornaliero di importo elevato per la causale ed il soggetto"/>
    <d v="2025-06-10T00:00:00"/>
    <n v="53850"/>
    <n v="287"/>
    <s v="053850_287"/>
    <s v="Discovery Day"/>
    <s v="Mai valutato"/>
    <m/>
    <s v="Vari (09/06/2025)"/>
    <n v="2873300001853"/>
    <n v="20250609"/>
    <x v="0"/>
    <m/>
    <x v="0"/>
    <s v="A     - Avere"/>
    <n v="104280.22"/>
    <n v="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s v="IN VALUTAZIONE RPR"/>
    <x v="0"/>
    <n v="1"/>
    <n v="3722213"/>
    <n v="1"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765"/>
    <s v="95"/>
    <s v="Versamento giornaliero di importo elevato per la causale ed il soggetto"/>
    <d v="2025-06-10T00:00:00"/>
    <n v="53850"/>
    <n v="111"/>
    <s v="053850_111"/>
    <s v="Discovery Day"/>
    <s v="Mai valutato"/>
    <m/>
    <n v="202506098054794"/>
    <n v="1113302817195"/>
    <n v="20250609"/>
    <x v="1"/>
    <m/>
    <x v="0"/>
    <s v="A     - Avere"/>
    <n v="118493.59"/>
    <n v="0"/>
    <n v="1001090"/>
    <s v="CLZNLM63T65L049A"/>
    <s v="CALZONE ANGELA MARIA STEFANIA"/>
    <s v="600 - Famiglie consumatrici"/>
    <m/>
    <s v="086 - ITALIA"/>
    <n v="1430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64"/>
    <s v="95"/>
    <s v="Versamento giornaliero di importo elevato per la causale ed il soggetto"/>
    <d v="2025-06-10T00:00:00"/>
    <n v="53850"/>
    <n v="143"/>
    <s v="053850_143"/>
    <s v="Discovery Day"/>
    <s v="Mai valutato"/>
    <m/>
    <n v="202506098054888"/>
    <n v="1433300351202"/>
    <n v="20250609"/>
    <x v="6"/>
    <m/>
    <x v="0"/>
    <s v="A     - Avere"/>
    <n v="140000"/>
    <n v="0"/>
    <n v="4625326"/>
    <s v="FZANGL64C47A662T"/>
    <s v="FAZIO ANGELA"/>
    <s v="600 - Famiglie consumatrici"/>
    <m/>
    <s v="086 - ITALIA"/>
    <m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763"/>
    <s v="95"/>
    <s v="Versamento giornaliero di importo elevato per la causale ed il soggetto"/>
    <d v="2025-06-10T00:00:00"/>
    <n v="53850"/>
    <n v="182"/>
    <s v="053850_182"/>
    <s v="Discovery Day"/>
    <s v="Mai valutato"/>
    <m/>
    <s v="Vari (09/06/2025)"/>
    <n v="1823300169301"/>
    <n v="20250609"/>
    <x v="2"/>
    <m/>
    <x v="0"/>
    <s v="A     - Avere"/>
    <n v="43875"/>
    <n v="4387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s v="IN CARICO AL GESTORE"/>
    <x v="0"/>
    <n v="1"/>
    <n v="4284957"/>
    <n v="1"/>
    <n v="0"/>
    <n v="920"/>
    <n v="615"/>
    <n v="615920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755"/>
    <s v="95"/>
    <s v="Versamento giornaliero di importo elevato per la causale ed il soggetto"/>
    <d v="2025-06-07T00:00:00"/>
    <n v="53850"/>
    <n v="171"/>
    <s v="053850_171"/>
    <s v="Discovery Day"/>
    <s v="Mai valutato"/>
    <m/>
    <s v="Vari (06/06/2025)"/>
    <n v="1713302214147"/>
    <n v="20250606"/>
    <x v="2"/>
    <m/>
    <x v="0"/>
    <s v="A     - Avere"/>
    <n v="128126.37"/>
    <n v="128126.37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54"/>
    <s v="95"/>
    <s v="Versamento giornaliero di importo elevato per la causale ed il soggetto"/>
    <d v="2025-06-07T00:00:00"/>
    <n v="53850"/>
    <n v="116"/>
    <s v="053850_116"/>
    <s v="Discovery Day"/>
    <s v="Mai valutato"/>
    <m/>
    <n v="202506068048048"/>
    <n v="2343300010453"/>
    <n v="20250606"/>
    <x v="2"/>
    <m/>
    <x v="0"/>
    <s v="A     - Avere"/>
    <n v="126487.25"/>
    <n v="126487.2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742"/>
    <s v="95"/>
    <s v="Versamento giornaliero di importo elevato per la causale ed il soggetto"/>
    <d v="2025-06-07T00:00:00"/>
    <n v="53850"/>
    <n v="109"/>
    <s v="053850_109"/>
    <s v="Discovery Day"/>
    <s v="Mai valutato"/>
    <m/>
    <n v="202506068048241"/>
    <n v="1093306674139"/>
    <n v="20250606"/>
    <x v="3"/>
    <m/>
    <x v="0"/>
    <s v="A     - Avere"/>
    <n v="395000"/>
    <n v="0"/>
    <n v="435408"/>
    <s v="MNDGCR53R04A662V"/>
    <s v="AMENDONI GIANCARLO"/>
    <s v="600 - Famiglie consumatrici"/>
    <m/>
    <s v="086 - ITALIA"/>
    <n v="778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729"/>
    <s v="95"/>
    <s v="Versamento giornaliero di importo elevato per la causale ed il soggetto"/>
    <d v="2025-06-07T00:00:00"/>
    <n v="53850"/>
    <n v="161"/>
    <s v="053850_161"/>
    <s v="Discovery Day"/>
    <s v="Mai valutato"/>
    <m/>
    <s v="Vari (06/06/2025)"/>
    <n v="1613300029653"/>
    <n v="20250606"/>
    <x v="0"/>
    <m/>
    <x v="0"/>
    <s v="A     - Avere"/>
    <n v="94634.78"/>
    <n v="104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722"/>
    <s v="95"/>
    <s v="Versamento giornaliero di importo elevato per la causale ed il soggetto"/>
    <d v="2025-06-07T00:00:00"/>
    <n v="53850"/>
    <n v="171"/>
    <s v="053850_171"/>
    <s v="Discovery Day"/>
    <s v="Mai valutato"/>
    <m/>
    <s v="Vari (06/06/2025)"/>
    <n v="1713305728950"/>
    <n v="20250606"/>
    <x v="2"/>
    <m/>
    <x v="0"/>
    <s v="A     - Avere"/>
    <n v="323898.65999999997"/>
    <n v="323898.6599999999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720"/>
    <s v="95"/>
    <s v="Versamento giornaliero di importo elevato per la causale ed il soggetto"/>
    <d v="2025-06-06T00:00:00"/>
    <n v="53850"/>
    <n v="116"/>
    <s v="053850_116"/>
    <s v="Discovery Day"/>
    <s v="Mai valutato"/>
    <m/>
    <n v="202506058044914"/>
    <n v="2343300010453"/>
    <n v="20250605"/>
    <x v="2"/>
    <m/>
    <x v="0"/>
    <s v="A     - Avere"/>
    <n v="88073.8"/>
    <n v="88073.8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16"/>
    <s v="95"/>
    <s v="Versamento giornaliero di importo elevato per la causale ed il soggetto"/>
    <d v="2025-06-06T00:00:00"/>
    <n v="53850"/>
    <n v="174"/>
    <s v="053850_174"/>
    <s v="Discovery Day"/>
    <s v="Mai valutato"/>
    <m/>
    <n v="202506058045380"/>
    <n v="1743302880040"/>
    <n v="20250605"/>
    <x v="3"/>
    <m/>
    <x v="0"/>
    <s v="A     - Avere"/>
    <n v="100687.5"/>
    <n v="0"/>
    <n v="4945451"/>
    <s v="CVLNGL78R24F376R"/>
    <s v="CAVALIERE ANGELO"/>
    <s v="600 - Famiglie consumatrici"/>
    <m/>
    <s v="086 - ITALIA"/>
    <n v="1106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07"/>
    <s v="95"/>
    <s v="Versamento giornaliero di importo elevato per la causale ed il soggetto"/>
    <d v="2025-06-06T00:00:00"/>
    <n v="53850"/>
    <n v="171"/>
    <s v="053850_171"/>
    <s v="Discovery Day"/>
    <s v="Mai valutato"/>
    <m/>
    <s v="Vari (05/06/2025)"/>
    <n v="1713305728950"/>
    <n v="20250605"/>
    <x v="2"/>
    <m/>
    <x v="0"/>
    <s v="A     - Avere"/>
    <n v="448704.1"/>
    <n v="448704.1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697"/>
    <s v="95"/>
    <s v="Versamento giornaliero di importo elevato per la causale ed il soggetto"/>
    <d v="2025-06-06T00:00:00"/>
    <n v="53850"/>
    <n v="110"/>
    <s v="053850_110"/>
    <s v="Discovery Day"/>
    <s v="Mai valutato"/>
    <m/>
    <n v="202506058045177"/>
    <n v="1103306287662"/>
    <n v="20250605"/>
    <x v="1"/>
    <m/>
    <x v="0"/>
    <s v="A     - Avere"/>
    <n v="200000"/>
    <n v="0"/>
    <n v="4014921"/>
    <s v="FRLGCH36S08A669I"/>
    <s v="FIORELLA GIOACCHINO"/>
    <s v="600 - Famiglie consumatrici"/>
    <m/>
    <s v="086 - ITALIA"/>
    <n v="1072"/>
    <m/>
    <m/>
    <m/>
    <m/>
    <m/>
    <m/>
    <m/>
    <n v="0"/>
    <n v="202506"/>
    <s v="IN CARICO AL GESTORE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694"/>
    <s v="95"/>
    <s v="Versamento giornaliero di importo elevato per la causale ed il soggetto"/>
    <d v="2025-06-06T00:00:00"/>
    <n v="53850"/>
    <n v="171"/>
    <s v="053850_171"/>
    <s v="Discovery Day"/>
    <s v="Mai valutato"/>
    <m/>
    <s v="Vari (05/06/2025)"/>
    <n v="1713302214147"/>
    <n v="20250605"/>
    <x v="2"/>
    <m/>
    <x v="0"/>
    <s v="A     - Avere"/>
    <n v="174585"/>
    <n v="17458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0"/>
    <n v="1"/>
    <n v="4199319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692"/>
    <s v="95"/>
    <s v="Versamento giornaliero di importo elevato per la causale ed il soggetto"/>
    <d v="2025-06-06T00:00:00"/>
    <n v="53850"/>
    <n v="114"/>
    <s v="053850_114"/>
    <s v="Discovery Day"/>
    <s v="Mai valutato"/>
    <m/>
    <s v="Vari (05/06/2025)"/>
    <n v="1143306285135"/>
    <n v="20250605"/>
    <x v="0"/>
    <m/>
    <x v="0"/>
    <s v="A     - Avere"/>
    <n v="38550"/>
    <n v="3550"/>
    <n v="3730898"/>
    <s v="BNDPIA35L51D643A"/>
    <s v="BONDANESE PIA"/>
    <s v="615 - Altre famiglie produttrici"/>
    <s v="477 - COMMERCIO AL DETTAGLIO DI ALTRI PRODOTTI IN ESERCIZI SPECIALIZZATI"/>
    <s v="086 - ITALIA"/>
    <n v="869"/>
    <m/>
    <m/>
    <m/>
    <m/>
    <m/>
    <m/>
    <m/>
    <n v="0"/>
    <n v="202506"/>
    <s v="ARCHIVIATA"/>
    <x v="1"/>
    <n v="1"/>
    <n v="3730898"/>
    <n v="1"/>
    <n v="1"/>
    <n v="477"/>
    <n v="615"/>
    <n v="615477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89"/>
    <s v="95"/>
    <s v="Versamento giornaliero di importo elevato per la causale ed il soggetto"/>
    <d v="2025-06-06T00:00:00"/>
    <n v="53850"/>
    <n v="171"/>
    <s v="053850_171"/>
    <s v="Discovery Day"/>
    <s v="Mai valutato"/>
    <m/>
    <n v="202506058045364"/>
    <n v="1713302219001"/>
    <n v="20250605"/>
    <x v="3"/>
    <m/>
    <x v="0"/>
    <s v="A     - Avere"/>
    <n v="150000"/>
    <n v="0"/>
    <n v="602610"/>
    <s v="RFLNCL68E14A893T"/>
    <s v="RIFLESSO NICOLA"/>
    <s v="600 - Famiglie consumatrici"/>
    <m/>
    <s v="086 - ITALIA"/>
    <n v="856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77"/>
    <s v="95"/>
    <s v="Versamento giornaliero di importo elevato per la causale ed il soggetto"/>
    <d v="2025-06-06T00:00:00"/>
    <n v="53850"/>
    <n v="128"/>
    <s v="053850_128"/>
    <s v="Discovery Day"/>
    <s v="Mai valutato"/>
    <m/>
    <s v="Vari (05/06/2025)"/>
    <n v="1283300001665"/>
    <n v="20250605"/>
    <x v="0"/>
    <m/>
    <x v="0"/>
    <s v="A     - Avere"/>
    <n v="122563.95"/>
    <n v="468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1"/>
    <s v="95"/>
    <s v="Versamento giornaliero di importo elevato per la causale ed il soggetto"/>
    <d v="2025-06-05T00:00:00"/>
    <n v="53850"/>
    <n v="104"/>
    <s v="053850_104"/>
    <s v="Discovery Day"/>
    <s v="Mai valutato"/>
    <m/>
    <s v="Vari (04/06/2025)"/>
    <n v="1043304173550"/>
    <n v="20250604"/>
    <x v="0"/>
    <m/>
    <x v="0"/>
    <s v="A     - Avere"/>
    <n v="154309.92000000001"/>
    <n v="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6"/>
    <s v="IN VALUTAZIONE RPR"/>
    <x v="0"/>
    <n v="1"/>
    <n v="417355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69"/>
    <s v="95"/>
    <s v="Versamento giornaliero di importo elevato per la causale ed il soggetto"/>
    <d v="2025-06-05T00:00:00"/>
    <n v="53850"/>
    <n v="149"/>
    <s v="053850_149"/>
    <s v="Discovery Day"/>
    <s v="Mai valutato"/>
    <m/>
    <s v="Vari (04/06/2025)"/>
    <n v="1493300663906"/>
    <n v="20250604"/>
    <x v="0"/>
    <m/>
    <x v="0"/>
    <s v="A     - Avere"/>
    <n v="299570"/>
    <n v="0"/>
    <n v="4178286"/>
    <s v="CHRRRT60L27F839U"/>
    <s v="CHIARI ROBERTO"/>
    <s v="615 - Altre famiglie produttrici"/>
    <s v="691 - ATTIVITÀ DEGLI STUDI LEGALI"/>
    <s v="086 - ITALIA"/>
    <n v="1910"/>
    <m/>
    <m/>
    <m/>
    <m/>
    <m/>
    <m/>
    <m/>
    <n v="0"/>
    <n v="202506"/>
    <s v="ARCHIVIATA"/>
    <x v="1"/>
    <n v="1"/>
    <n v="4178286"/>
    <n v="1"/>
    <n v="1"/>
    <n v="999"/>
    <n v="615"/>
    <n v="615999"/>
    <m/>
    <n v="1"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657"/>
    <s v="95"/>
    <s v="Versamento giornaliero di importo elevato per la causale ed il soggetto"/>
    <d v="2025-06-05T00:00:00"/>
    <n v="53850"/>
    <n v="171"/>
    <s v="053850_171"/>
    <s v="Discovery Day"/>
    <s v="Mai valutato"/>
    <m/>
    <s v="Vari (04/06/2025)"/>
    <n v="1713305728950"/>
    <n v="20250604"/>
    <x v="2"/>
    <m/>
    <x v="0"/>
    <s v="A     - Avere"/>
    <n v="140467.79999999999"/>
    <n v="140467.79999999999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0"/>
    <n v="1"/>
    <n v="572895"/>
    <n v="1"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653"/>
    <s v="95"/>
    <s v="Versamento giornaliero di importo elevato per la causale ed il soggetto"/>
    <d v="2025-06-05T00:00:00"/>
    <n v="53850"/>
    <n v="108"/>
    <s v="053850_108"/>
    <s v="Discovery Day"/>
    <s v="Mai valutato"/>
    <m/>
    <s v="Vari (04/06/2025)"/>
    <n v="1083306290559"/>
    <n v="20250604"/>
    <x v="0"/>
    <m/>
    <x v="0"/>
    <s v="A     - Avere"/>
    <n v="108729.66"/>
    <n v="3000"/>
    <n v="4902977"/>
    <n v="8081970728"/>
    <s v="MICCOLIS S.R.L."/>
    <s v="430 - Imprese produttive"/>
    <s v="015 - COLTIVAZIONI AGRICOLE ASSOCIATE ALL'ALLEVAMENTO DI ANIMALI: ATTIVITÀ MISTA"/>
    <s v="086 - ITALIA"/>
    <n v="1058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50"/>
    <s v="95"/>
    <s v="Versamento giornaliero di importo elevato per la causale ed il soggetto"/>
    <d v="2025-06-05T00:00:00"/>
    <n v="53850"/>
    <n v="121"/>
    <s v="053850_121"/>
    <s v="Discovery Day"/>
    <s v="Mai valutato"/>
    <m/>
    <s v="Vari (04/06/2025)"/>
    <n v="1213300002600"/>
    <n v="20250604"/>
    <x v="0"/>
    <m/>
    <x v="0"/>
    <s v="A     - Avere"/>
    <n v="352979.66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0"/>
    <n v="1"/>
    <m/>
    <m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641"/>
    <s v="95"/>
    <s v="Versamento giornaliero di importo elevato per la causale ed il soggetto"/>
    <d v="2025-06-05T00:00:00"/>
    <n v="53850"/>
    <n v="108"/>
    <s v="053850_108"/>
    <s v="Discovery Day"/>
    <s v="Mai valutato"/>
    <m/>
    <s v="Vari (04/06/2025)"/>
    <n v="1083306291105"/>
    <n v="20250604"/>
    <x v="0"/>
    <m/>
    <x v="0"/>
    <s v="A     - Avere"/>
    <n v="162227.89000000001"/>
    <n v="128144.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0"/>
    <n v="1"/>
    <n v="4227057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39"/>
    <s v="95"/>
    <s v="Versamento giornaliero di importo elevato per la causale ed il soggetto"/>
    <d v="2025-06-05T00:00:00"/>
    <n v="53850"/>
    <n v="118"/>
    <s v="053850_118"/>
    <s v="Discovery Day"/>
    <s v="Mai valutato"/>
    <m/>
    <s v="Vari (04/06/2025)"/>
    <n v="1183306280338"/>
    <n v="20250604"/>
    <x v="0"/>
    <m/>
    <x v="0"/>
    <s v="A     - Avere"/>
    <n v="120000"/>
    <n v="0"/>
    <n v="4979859"/>
    <n v="8669660725"/>
    <s v="ELLECI IMPIANTI S.R.L."/>
    <s v="430 - Imprese produttive"/>
    <s v="432 - INSTALLAZIONE DI IMPIANTI ELETTRICI, IDRAULICI ED ALTRI LAVORI DI COSTRUZIONE E INSTALLAZIONE"/>
    <s v="086 - ITALIA"/>
    <n v="979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28"/>
    <s v="95"/>
    <s v="Versamento giornaliero di importo elevato per la causale ed il soggetto"/>
    <d v="2025-06-04T00:00:00"/>
    <n v="53850"/>
    <n v="102"/>
    <s v="053850_102"/>
    <s v="Discovery Day"/>
    <s v="Mai valutato"/>
    <m/>
    <s v="Vari (03/06/2025)"/>
    <n v="1023300660520"/>
    <n v="20250603"/>
    <x v="0"/>
    <m/>
    <x v="0"/>
    <s v="A     - Avere"/>
    <n v="143846.70000000001"/>
    <n v="5032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6"/>
    <s v="IN CARICO AL GESTORE"/>
    <x v="0"/>
    <n v="1"/>
    <n v="66052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624"/>
    <s v="95"/>
    <s v="Versamento giornaliero di importo elevato per la causale ed il soggetto"/>
    <d v="2025-06-04T00:00:00"/>
    <n v="53850"/>
    <n v="174"/>
    <s v="053850_174"/>
    <s v="Discovery Day"/>
    <s v="Mai valutato"/>
    <m/>
    <s v="Vari (03/06/2025)"/>
    <n v="1743302879671"/>
    <n v="20250603"/>
    <x v="1"/>
    <m/>
    <x v="0"/>
    <s v="A     - Avere"/>
    <n v="100752.25"/>
    <n v="0"/>
    <n v="4866710"/>
    <n v="265680728"/>
    <s v="AS LABRUNA S.R.L."/>
    <s v="430 - Imprese produttive"/>
    <s v="281 - FABBRICAZIONE DI MACCHINE DI IMPIEGO GENERALE"/>
    <s v="086 - ITALIA"/>
    <n v="1058"/>
    <m/>
    <m/>
    <m/>
    <m/>
    <m/>
    <m/>
    <m/>
    <n v="0"/>
    <n v="202506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21"/>
    <s v="95"/>
    <s v="Versamento giornaliero di importo elevato per la causale ed il soggetto"/>
    <d v="2025-06-04T00:00:00"/>
    <n v="53850"/>
    <n v="102"/>
    <s v="053850_102"/>
    <s v="Discovery Day"/>
    <s v="Mai valutato"/>
    <m/>
    <s v="Vari (03/06/2025)"/>
    <n v="1023306273368"/>
    <n v="20250603"/>
    <x v="0"/>
    <m/>
    <x v="0"/>
    <s v="A     - Avere"/>
    <n v="43750"/>
    <n v="0"/>
    <n v="4120919"/>
    <s v="LVGNTN74E31A225D"/>
    <s v="LOVIGLIO ANTONIO"/>
    <s v="615 - Altre famiglie produttrici"/>
    <s v="952 - RIPARAZIONE DI BENI PER USO PERSONALE E PER LA CASA"/>
    <s v="086 - ITALIA"/>
    <n v="1306"/>
    <m/>
    <m/>
    <m/>
    <m/>
    <m/>
    <m/>
    <m/>
    <n v="0"/>
    <n v="202506"/>
    <s v="IN VALUTAZIONE RPR"/>
    <x v="0"/>
    <n v="1"/>
    <m/>
    <m/>
    <n v="1"/>
    <n v="952"/>
    <n v="615"/>
    <n v="615952"/>
    <s v="Classe di rischio 6"/>
    <m/>
    <x v="6"/>
    <n v="37615"/>
    <n v="38129.25"/>
    <n v="38617"/>
    <n v="38985.5"/>
    <n v="39276"/>
    <n v="39430"/>
    <n v="39650"/>
    <n v="39925"/>
    <n v="40004"/>
    <n v="40009.5"/>
    <n v="40505"/>
    <n v="41243.25"/>
    <n v="43919"/>
    <n v="46035.25"/>
    <n v="46659.5"/>
    <n v="48836.25"/>
    <n v="52876.000000000007"/>
    <n v="56324.25"/>
    <n v="59434.5"/>
    <n v="63675.005999999987"/>
    <n v="68166.67999999999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619"/>
    <s v="95"/>
    <s v="Versamento giornaliero di importo elevato per la causale ed il soggetto"/>
    <d v="2025-06-04T00:00:00"/>
    <n v="53850"/>
    <n v="128"/>
    <s v="053850_128"/>
    <s v="Discovery Day"/>
    <s v="Mai valutato"/>
    <m/>
    <s v="Vari (03/06/2025)"/>
    <n v="1283300001665"/>
    <n v="20250603"/>
    <x v="0"/>
    <m/>
    <x v="0"/>
    <s v="A     - Avere"/>
    <n v="205700.1"/>
    <n v="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618"/>
    <s v="95"/>
    <s v="Versamento giornaliero di importo elevato per la causale ed il soggetto"/>
    <d v="2025-06-04T00:00:00"/>
    <n v="53850"/>
    <n v="108"/>
    <s v="053850_108"/>
    <s v="Discovery Day"/>
    <s v="Mai valutato"/>
    <m/>
    <s v="Vari (03/06/2025)"/>
    <n v="1083300011180"/>
    <n v="20250603"/>
    <x v="0"/>
    <m/>
    <x v="0"/>
    <s v="A     - Avere"/>
    <n v="149356.09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s v="IN VALUTAZIONE RPR"/>
    <x v="0"/>
    <n v="1"/>
    <m/>
    <m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617"/>
    <s v="95"/>
    <s v="Versamento giornaliero di importo elevato per la causale ed il soggetto"/>
    <d v="2025-06-04T00:00:00"/>
    <n v="53850"/>
    <n v="116"/>
    <s v="053850_116"/>
    <s v="Discovery Day"/>
    <s v="Mai valutato"/>
    <m/>
    <n v="202506038037062"/>
    <n v="2343300010453"/>
    <n v="20250603"/>
    <x v="2"/>
    <m/>
    <x v="0"/>
    <s v="A     - Avere"/>
    <n v="159640.85"/>
    <n v="159640.8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0"/>
    <n v="1"/>
    <n v="4247777"/>
    <n v="1"/>
    <n v="0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612"/>
    <s v="95"/>
    <s v="Versamento giornaliero di importo elevato per la causale ed il soggetto"/>
    <d v="2025-06-04T00:00:00"/>
    <n v="53850"/>
    <n v="128"/>
    <s v="053850_128"/>
    <s v="Discovery Day"/>
    <s v="Mai valutato"/>
    <m/>
    <s v="Vari (03/06/2025)"/>
    <n v="1093306672844"/>
    <n v="20250603"/>
    <x v="0"/>
    <m/>
    <x v="0"/>
    <s v="A     - Avere"/>
    <n v="143575"/>
    <n v="1060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6"/>
    <s v="IN CARICO AL GESTORE"/>
    <x v="0"/>
    <n v="1"/>
    <n v="440311"/>
    <n v="1"/>
    <n v="1"/>
    <n v="451"/>
    <n v="430"/>
    <n v="430451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08"/>
    <s v="95"/>
    <s v="Versamento giornaliero di importo elevato per la causale ed il soggetto"/>
    <d v="2025-06-04T00:00:00"/>
    <n v="53850"/>
    <n v="102"/>
    <s v="053850_102"/>
    <s v="Discovery Day"/>
    <s v="Mai valutato"/>
    <m/>
    <n v="202506038037699"/>
    <n v="1023308722151"/>
    <n v="20250603"/>
    <x v="3"/>
    <m/>
    <x v="0"/>
    <s v="A     - Avere"/>
    <n v="200000"/>
    <n v="0"/>
    <n v="430073"/>
    <s v="MRNNDR69H02A225C"/>
    <s v="MARINELLI ANDREA"/>
    <s v="600 - Famiglie consumatrici"/>
    <m/>
    <s v="086 - ITALIA"/>
    <n v="1648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606"/>
    <s v="95"/>
    <s v="Versamento giornaliero di importo elevato per la causale ed il soggetto"/>
    <d v="2025-06-04T00:00:00"/>
    <n v="53850"/>
    <n v="175"/>
    <s v="053850_175"/>
    <s v="Discovery Day"/>
    <s v="Mai valutato"/>
    <m/>
    <s v="Vari (03/06/2025)"/>
    <n v="1753302203127"/>
    <n v="20250603"/>
    <x v="0"/>
    <m/>
    <x v="0"/>
    <s v="A     - Avere"/>
    <n v="120377.64"/>
    <n v="20695"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s v="IN VALUTAZIONE RPR"/>
    <x v="0"/>
    <n v="1"/>
    <n v="4160138"/>
    <n v="1"/>
    <n v="1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99"/>
    <s v="95"/>
    <s v="Versamento giornaliero di importo elevato per la causale ed il soggetto"/>
    <d v="2025-06-04T00:00:00"/>
    <n v="53850"/>
    <n v="114"/>
    <s v="053850_114"/>
    <s v="Discovery Day"/>
    <s v="Mai valutato"/>
    <m/>
    <s v="Vari (03/06/2025)"/>
    <n v="1143306280621"/>
    <n v="20250603"/>
    <x v="5"/>
    <m/>
    <x v="0"/>
    <s v="A     - Avere"/>
    <n v="85150"/>
    <n v="8515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s v="ARCHIVIATA"/>
    <x v="1"/>
    <n v="1"/>
    <n v="4658875"/>
    <n v="1"/>
    <n v="0"/>
    <n v="477"/>
    <n v="430"/>
    <n v="430477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85"/>
    <s v="95"/>
    <s v="Versamento giornaliero di importo elevato per la causale ed il soggetto"/>
    <d v="2025-06-04T00:00:00"/>
    <n v="53850"/>
    <n v="104"/>
    <s v="053850_104"/>
    <s v="Discovery Day"/>
    <s v="Mai valutato"/>
    <m/>
    <n v="202506038037778"/>
    <n v="1043301449156"/>
    <n v="20250603"/>
    <x v="1"/>
    <m/>
    <x v="0"/>
    <s v="A     - Avere"/>
    <n v="125646.6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6"/>
    <s v="IN CARICO AL RESPONSABILE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84"/>
    <s v="95"/>
    <s v="Versamento giornaliero di importo elevato per la causale ed il soggetto"/>
    <d v="2025-06-04T00:00:00"/>
    <n v="53850"/>
    <n v="192"/>
    <s v="053850_192"/>
    <s v="Discovery Day"/>
    <s v="Mai valutato"/>
    <m/>
    <s v="Vari (03/06/2025)"/>
    <n v="1923300180351"/>
    <n v="20250603"/>
    <x v="1"/>
    <m/>
    <x v="0"/>
    <s v="A     - Avere"/>
    <n v="171008.36"/>
    <n v="0"/>
    <n v="4365602"/>
    <n v="2514190731"/>
    <s v="TRE P. ABBIGLIAMENTO S.R.L."/>
    <s v="430 - Imprese produttive"/>
    <s v="141 - CONFEZIONE DI ARTICOLI DI ABBIGLIAMENTO (ESCLUSO ABBIGLIAMENTO IN PELLICCIA)"/>
    <s v="086 - ITALIA"/>
    <n v="1066"/>
    <m/>
    <m/>
    <m/>
    <m/>
    <m/>
    <m/>
    <m/>
    <n v="0"/>
    <n v="202506"/>
    <s v="IN VALUTAZIONE RPR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82"/>
    <s v="95"/>
    <s v="Versamento giornaliero di importo elevato per la causale ed il soggetto"/>
    <d v="2025-06-04T00:00:00"/>
    <n v="53850"/>
    <n v="268"/>
    <s v="053850_268"/>
    <s v="Discovery Day"/>
    <s v="Mai valutato"/>
    <m/>
    <n v="202506038038380"/>
    <n v="2683300006704"/>
    <n v="20250603"/>
    <x v="1"/>
    <m/>
    <x v="0"/>
    <s v="A     - Avere"/>
    <n v="87295.47"/>
    <n v="0"/>
    <n v="1705138"/>
    <n v="3015600798"/>
    <s v="M.SERVICE SRL"/>
    <s v="430 - Imprese produttive"/>
    <s v="431 - DEMOLIZIONE E PREPARAZIONE DEL CANTIERE EDILE"/>
    <s v="086 - ITALIA"/>
    <n v="1891"/>
    <m/>
    <m/>
    <m/>
    <m/>
    <m/>
    <m/>
    <m/>
    <n v="0"/>
    <n v="202506"/>
    <s v="IN VALUTAZIONE RPR"/>
    <x v="0"/>
    <n v="1"/>
    <m/>
    <m/>
    <n v="0"/>
    <n v="431"/>
    <n v="430"/>
    <n v="430431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78"/>
    <s v="95"/>
    <s v="Versamento giornaliero di importo elevato per la causale ed il soggetto"/>
    <d v="2025-06-04T00:00:00"/>
    <n v="53850"/>
    <n v="161"/>
    <s v="053850_161"/>
    <s v="Discovery Day"/>
    <s v="Mai valutato"/>
    <m/>
    <n v="202506038038064"/>
    <n v="1613300032598"/>
    <n v="20250603"/>
    <x v="1"/>
    <m/>
    <x v="0"/>
    <s v="A     - Avere"/>
    <n v="209289.79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6"/>
    <s v="IN CARICO AL GESTORE"/>
    <x v="0"/>
    <n v="1"/>
    <m/>
    <m/>
    <n v="0"/>
    <n v="999"/>
    <n v="430"/>
    <n v="430999"/>
    <m/>
    <n v="1"/>
    <x v="0"/>
    <n v="101552.46"/>
    <n v="114647.6485"/>
    <n v="118167.008"/>
    <n v="123559.05899999999"/>
    <n v="128796.368"/>
    <n v="130000"/>
    <n v="135819.11300000001"/>
    <n v="145008.255"/>
    <n v="146226.546"/>
    <n v="148171.67300000001"/>
    <n v="156533.16500000001"/>
    <n v="167340.8915"/>
    <n v="179808.78"/>
    <n v="187222.14799999999"/>
    <n v="206328.26500000001"/>
    <n v="220390.6225"/>
    <n v="239280.00000000009"/>
    <n v="298738.61"/>
    <n v="365407.64500000002"/>
    <n v="399465.49400000001"/>
    <n v="515709.1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576"/>
    <s v="95"/>
    <s v="Versamento giornaliero di importo elevato per la causale ed il soggetto"/>
    <d v="2025-06-04T00:00:00"/>
    <n v="53850"/>
    <n v="102"/>
    <s v="053850_102"/>
    <s v="Discovery Day"/>
    <s v="Mai valutato"/>
    <m/>
    <n v="202506038037699"/>
    <n v="1023308722151"/>
    <n v="20250603"/>
    <x v="3"/>
    <m/>
    <x v="0"/>
    <s v="A     - Avere"/>
    <n v="200000"/>
    <n v="0"/>
    <n v="545860"/>
    <s v="CPRNNZ71D41A225F"/>
    <s v="CAPOROSSO ANNUNZIATA"/>
    <s v="600 - Famiglie consumatrici"/>
    <m/>
    <s v="086 - ITALIA"/>
    <n v="1648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74"/>
    <s v="95"/>
    <s v="Versamento giornaliero di importo elevato per la causale ed il soggetto"/>
    <d v="2025-06-04T00:00:00"/>
    <n v="53850"/>
    <n v="188"/>
    <s v="053850_188"/>
    <s v="Discovery Day"/>
    <s v="Mai valutato"/>
    <m/>
    <n v="202506038038229"/>
    <n v="1883300051430"/>
    <n v="20250603"/>
    <x v="3"/>
    <m/>
    <x v="0"/>
    <s v="A     - Avere"/>
    <n v="120000"/>
    <n v="0"/>
    <n v="3002696"/>
    <s v="PTRCLD57P22L049C"/>
    <s v="PETRUZZI CATALDO"/>
    <s v="600 - Famiglie consumatrici"/>
    <m/>
    <s v="086 - ITALIA"/>
    <n v="1112"/>
    <m/>
    <m/>
    <m/>
    <m/>
    <m/>
    <m/>
    <m/>
    <n v="0"/>
    <n v="202506"/>
    <s v="IN VALUTAZIONE RPR"/>
    <x v="0"/>
    <n v="1"/>
    <m/>
    <m/>
    <n v="0"/>
    <n v="999"/>
    <n v="600"/>
    <n v="600999"/>
    <s v="Classe di rischio 7"/>
    <m/>
    <x v="1"/>
    <n v="107500"/>
    <n v="109625"/>
    <n v="110000"/>
    <n v="112750"/>
    <n v="120738"/>
    <n v="129508.75"/>
    <n v="130380"/>
    <n v="133610"/>
    <n v="133800"/>
    <n v="141080"/>
    <n v="147500"/>
    <n v="155382.03049999999"/>
    <n v="165585.11799999999"/>
    <n v="166416.67000000001"/>
    <n v="166416.67000000001"/>
    <n v="173582.95749999999"/>
    <n v="190388.68799999999"/>
    <n v="212150"/>
    <n v="283513.16900000011"/>
    <n v="415377.23"/>
    <n v="415377.2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71"/>
    <s v="95"/>
    <s v="Versamento giornaliero di importo elevato per la causale ed il soggetto"/>
    <d v="2025-06-04T00:00:00"/>
    <n v="53850"/>
    <n v="161"/>
    <s v="053850_161"/>
    <s v="Discovery Day"/>
    <s v="Mai valutato"/>
    <m/>
    <s v="Vari (03/06/2025)"/>
    <n v="1613300029653"/>
    <n v="20250603"/>
    <x v="0"/>
    <m/>
    <x v="0"/>
    <s v="A     - Avere"/>
    <n v="182944.14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s v="ARCHIVIATA"/>
    <x v="1"/>
    <n v="1"/>
    <n v="4088769"/>
    <n v="1"/>
    <n v="1"/>
    <n v="464"/>
    <n v="430"/>
    <n v="430464"/>
    <s v="Classe di rischio 4"/>
    <m/>
    <x v="2"/>
    <n v="76382.789999999994"/>
    <n v="79891.56"/>
    <n v="79937.08"/>
    <n v="88865.89"/>
    <n v="94634.78"/>
    <n v="97229.53"/>
    <n v="98360.01"/>
    <n v="100000"/>
    <n v="104738.68"/>
    <n v="108176.82"/>
    <n v="110891.36"/>
    <n v="115427.47"/>
    <n v="118009.65"/>
    <n v="136718.03"/>
    <n v="148758.49"/>
    <n v="182944.14"/>
    <n v="217448.27"/>
    <n v="222704.65"/>
    <n v="225130.1"/>
    <n v="259946.2"/>
    <n v="270019.8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70"/>
    <s v="95"/>
    <s v="Versamento giornaliero di importo elevato per la causale ed il soggetto"/>
    <d v="2025-06-04T00:00:00"/>
    <n v="53850"/>
    <n v="287"/>
    <s v="053850_287"/>
    <s v="Discovery Day"/>
    <s v="Mai valutato"/>
    <m/>
    <s v="Vari (03/06/2025)"/>
    <n v="2873300001853"/>
    <n v="20250603"/>
    <x v="0"/>
    <m/>
    <x v="0"/>
    <s v="A     - Avere"/>
    <n v="153971.35"/>
    <n v="10073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s v="IN VALUTAZIONE RPR"/>
    <x v="0"/>
    <n v="1"/>
    <n v="3722213"/>
    <n v="1"/>
    <n v="1"/>
    <n v="463"/>
    <n v="430"/>
    <n v="430463"/>
    <s v="Classe di rischio 3"/>
    <m/>
    <x v="3"/>
    <n v="85050"/>
    <n v="89030"/>
    <n v="91669.203999999998"/>
    <n v="93087.394"/>
    <n v="94164.18"/>
    <n v="96798.05"/>
    <n v="100000"/>
    <n v="100000"/>
    <n v="101589.726"/>
    <n v="106295.712"/>
    <n v="110193.28"/>
    <n v="119645.424"/>
    <n v="127698"/>
    <n v="137713.79399999999"/>
    <n v="139806"/>
    <n v="150000"/>
    <n v="161820.22"/>
    <n v="190199.99999999991"/>
    <n v="213800"/>
    <n v="259913.9999999998"/>
    <n v="4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9802B-FBE2-4427-AB9A-ADF764079015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1:G44" firstHeaderRow="0" firstDataRow="1" firstDataCol="2"/>
  <pivotFields count="89"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9">
        <item x="7"/>
        <item x="0"/>
        <item x="4"/>
        <item x="3"/>
        <item x="2"/>
        <item x="5"/>
        <item x="6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6"/>
    <field x="36"/>
  </rowFields>
  <rowItems count="23">
    <i>
      <x/>
      <x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# POSIZIONE" fld="0" subtotal="count" baseField="15" baseItem="3"/>
    <dataField name="% POSIZIONE" fld="0" subtotal="count" baseField="46" baseItem="3" numFmtId="10">
      <extLst>
        <ext xmlns:x14="http://schemas.microsoft.com/office/spreadsheetml/2009/9/main" uri="{E15A36E0-9728-4e99-A89B-3F7291B0FE68}">
          <x14:dataField pivotShowAs="percentOfParent"/>
        </ext>
      </extLst>
    </dataField>
    <dataField name="IMPORTO Min" fld="17" subtotal="min" baseField="46" baseItem="0" numFmtId="44"/>
    <dataField name="IMPORTO Medio" fld="17" subtotal="average" baseField="15" baseItem="3" numFmtId="44"/>
  </dataFields>
  <formats count="20">
    <format dxfId="108">
      <pivotArea outline="0" fieldPosition="0">
        <references count="1">
          <reference field="4294967294" count="1" selected="0">
            <x v="3"/>
          </reference>
        </references>
      </pivotArea>
    </format>
    <format dxfId="107">
      <pivotArea outline="0" fieldPosition="0">
        <references count="1">
          <reference field="4294967294" count="1">
            <x v="1"/>
          </reference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36" type="button" dataOnly="0" labelOnly="1" outline="0" axis="axisRow" fieldPosition="1"/>
    </format>
    <format dxfId="103">
      <pivotArea field="15" type="button" dataOnly="0" labelOnly="1" outline="0"/>
    </format>
    <format dxfId="102">
      <pivotArea dataOnly="0" labelOnly="1" grandRow="1" outline="0" fieldPosition="0"/>
    </format>
    <format dxfId="101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00">
      <pivotArea outline="0" fieldPosition="0">
        <references count="1">
          <reference field="4294967294" count="1" selected="0">
            <x v="2"/>
          </reference>
        </references>
      </pivotArea>
    </format>
    <format dxfId="99">
      <pivotArea outline="0" fieldPosition="0">
        <references count="2">
          <reference field="4294967294" count="1" selected="0">
            <x v="0"/>
          </reference>
          <reference field="46" count="1" selected="0">
            <x v="1"/>
          </reference>
        </references>
      </pivotArea>
    </format>
    <format dxfId="98">
      <pivotArea dataOnly="0" labelOnly="1" outline="0" fieldPosition="0">
        <references count="1">
          <reference field="46" count="1">
            <x v="1"/>
          </reference>
        </references>
      </pivotArea>
    </format>
    <format dxfId="97">
      <pivotArea outline="0" fieldPosition="0">
        <references count="2">
          <reference field="4294967294" count="1" selected="0">
            <x v="0"/>
          </reference>
          <reference field="46" count="1" selected="0">
            <x v="3"/>
          </reference>
        </references>
      </pivotArea>
    </format>
    <format dxfId="96">
      <pivotArea dataOnly="0" labelOnly="1" outline="0" fieldPosition="0">
        <references count="1">
          <reference field="46" count="1">
            <x v="3"/>
          </reference>
        </references>
      </pivotArea>
    </format>
    <format dxfId="95">
      <pivotArea outline="0" fieldPosition="0">
        <references count="2">
          <reference field="4294967294" count="1" selected="0">
            <x v="0"/>
          </reference>
          <reference field="46" count="1" selected="0">
            <x v="4"/>
          </reference>
        </references>
      </pivotArea>
    </format>
    <format dxfId="94">
      <pivotArea dataOnly="0" labelOnly="1" outline="0" fieldPosition="0">
        <references count="1">
          <reference field="46" count="1">
            <x v="4"/>
          </reference>
        </references>
      </pivotArea>
    </format>
    <format dxfId="93">
      <pivotArea outline="0" fieldPosition="0">
        <references count="2">
          <reference field="4294967294" count="1" selected="0">
            <x v="0"/>
          </reference>
          <reference field="46" count="2" selected="0">
            <x v="6"/>
            <x v="7"/>
          </reference>
        </references>
      </pivotArea>
    </format>
    <format dxfId="92">
      <pivotArea dataOnly="0" labelOnly="1" outline="0" fieldPosition="0">
        <references count="1">
          <reference field="46" count="2">
            <x v="6"/>
            <x v="7"/>
          </reference>
        </references>
      </pivotArea>
    </format>
    <format dxfId="91">
      <pivotArea outline="0" fieldPosition="0">
        <references count="3">
          <reference field="4294967294" count="1" selected="0">
            <x v="0"/>
          </reference>
          <reference field="36" count="0" selected="0"/>
          <reference field="46" count="1" selected="0">
            <x v="7"/>
          </reference>
        </references>
      </pivotArea>
    </format>
    <format dxfId="90">
      <pivotArea dataOnly="0" labelOnly="1" outline="0" fieldPosition="0">
        <references count="1">
          <reference field="46" count="1">
            <x v="7"/>
          </reference>
        </references>
      </pivotArea>
    </format>
    <format dxfId="89">
      <pivotArea dataOnly="0" labelOnly="1" outline="0" fieldPosition="0">
        <references count="2">
          <reference field="36" count="0"/>
          <reference field="46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BDD6D-0D16-4577-8CE6-7FD5C08EBAC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:F17" firstHeaderRow="0" firstDataRow="1" firstDataCol="1" rowPageCount="1" colPageCount="1"/>
  <pivotFields count="8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8">
        <item x="7"/>
        <item x="0"/>
        <item x="4"/>
        <item x="3"/>
        <item x="2"/>
        <item x="5"/>
        <item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6" item="0" hier="-1"/>
  </pageFields>
  <dataFields count="4">
    <dataField name="# POSIZIONE" fld="0" subtotal="count" baseField="15" baseItem="3"/>
    <dataField name="% POSIZIONE" fld="0" subtotal="count" showDataAs="percentOfCol" baseField="15" baseItem="3" numFmtId="10"/>
    <dataField name="IMPORTO Min" fld="17" subtotal="min" baseField="46" baseItem="0" numFmtId="44"/>
    <dataField name="IMPORTO Medio" fld="17" subtotal="average" baseField="15" baseItem="3" numFmtId="44"/>
  </dataFields>
  <formats count="19">
    <format dxfId="127">
      <pivotArea outline="0" fieldPosition="0">
        <references count="1">
          <reference field="4294967294" count="1" selected="0">
            <x v="3"/>
          </reference>
        </references>
      </pivotArea>
    </format>
    <format dxfId="126">
      <pivotArea outline="0" fieldPosition="0">
        <references count="1">
          <reference field="4294967294" count="1">
            <x v="1"/>
          </reference>
        </references>
      </pivotArea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36" type="button" dataOnly="0" labelOnly="1" outline="0" axis="axisPage" fieldPosition="0"/>
    </format>
    <format dxfId="122">
      <pivotArea field="15" type="button" dataOnly="0" labelOnly="1" outline="0"/>
    </format>
    <format dxfId="121">
      <pivotArea dataOnly="0" labelOnly="1" grandRow="1" outline="0" fieldPosition="0"/>
    </format>
    <format dxfId="120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19">
      <pivotArea outline="0" fieldPosition="0">
        <references count="1">
          <reference field="4294967294" count="1" selected="0">
            <x v="2"/>
          </reference>
        </references>
      </pivotArea>
    </format>
    <format dxfId="118">
      <pivotArea outline="0" fieldPosition="0">
        <references count="2">
          <reference field="4294967294" count="1" selected="0">
            <x v="0"/>
          </reference>
          <reference field="46" count="1" selected="0">
            <x v="1"/>
          </reference>
        </references>
      </pivotArea>
    </format>
    <format dxfId="117">
      <pivotArea dataOnly="0" labelOnly="1" outline="0" fieldPosition="0">
        <references count="1">
          <reference field="46" count="1">
            <x v="1"/>
          </reference>
        </references>
      </pivotArea>
    </format>
    <format dxfId="116">
      <pivotArea outline="0" fieldPosition="0">
        <references count="2">
          <reference field="4294967294" count="1" selected="0">
            <x v="0"/>
          </reference>
          <reference field="46" count="1" selected="0">
            <x v="3"/>
          </reference>
        </references>
      </pivotArea>
    </format>
    <format dxfId="115">
      <pivotArea dataOnly="0" labelOnly="1" outline="0" fieldPosition="0">
        <references count="1">
          <reference field="46" count="1">
            <x v="3"/>
          </reference>
        </references>
      </pivotArea>
    </format>
    <format dxfId="114">
      <pivotArea outline="0" fieldPosition="0">
        <references count="2">
          <reference field="4294967294" count="1" selected="0">
            <x v="0"/>
          </reference>
          <reference field="46" count="1" selected="0">
            <x v="4"/>
          </reference>
        </references>
      </pivotArea>
    </format>
    <format dxfId="113">
      <pivotArea dataOnly="0" labelOnly="1" outline="0" fieldPosition="0">
        <references count="1">
          <reference field="46" count="1">
            <x v="4"/>
          </reference>
        </references>
      </pivotArea>
    </format>
    <format dxfId="112">
      <pivotArea outline="0" fieldPosition="0">
        <references count="2">
          <reference field="4294967294" count="1" selected="0">
            <x v="0"/>
          </reference>
          <reference field="46" count="2" selected="0">
            <x v="6"/>
            <x v="7"/>
          </reference>
        </references>
      </pivotArea>
    </format>
    <format dxfId="111">
      <pivotArea dataOnly="0" labelOnly="1" outline="0" fieldPosition="0">
        <references count="1">
          <reference field="46" count="2">
            <x v="6"/>
            <x v="7"/>
          </reference>
        </references>
      </pivotArea>
    </format>
    <format dxfId="110">
      <pivotArea outline="0" fieldPosition="0">
        <references count="2">
          <reference field="4294967294" count="1" selected="0">
            <x v="0"/>
          </reference>
          <reference field="46" count="1" selected="0">
            <x v="7"/>
          </reference>
        </references>
      </pivotArea>
    </format>
    <format dxfId="109">
      <pivotArea dataOnly="0" labelOnly="1" outline="0" fieldPosition="0">
        <references count="1">
          <reference field="46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9994B-3866-4616-8B6E-AF312181DECF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x="0"/>
        <item x="5"/>
        <item x="1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h="1" x="3"/>
        <item h="1" x="2"/>
        <item h="1" x="1"/>
        <item h="1" x="5"/>
        <item h="1" x="6"/>
        <item h="1" x="4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6"/>
    <field x="36"/>
  </rowFields>
  <rowItems count="3">
    <i>
      <x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5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3" type="button" dataOnly="0" labelOnly="1" outline="0"/>
    </format>
    <format dxfId="79">
      <pivotArea field="46" type="button" dataOnly="0" labelOnly="1" outline="0" axis="axisRow" fieldPosition="0"/>
    </format>
    <format dxfId="7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8F513-4A7E-4065-8079-99E6DBD03414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x="0"/>
        <item x="5"/>
        <item x="1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h="1" x="3"/>
        <item h="1" x="2"/>
        <item h="1" x="1"/>
        <item h="1" x="5"/>
        <item h="1" x="6"/>
        <item h="1" x="4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2">
    <i>
      <x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6"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13" type="button" dataOnly="0" labelOnly="1" outline="0"/>
    </format>
    <format dxfId="85">
      <pivotArea field="46" type="button" dataOnly="0" labelOnly="1" outline="0" axis="axisRow" fieldPosition="0"/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F7C29-2A76-4A66-967A-E5774952F323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h="1" x="3"/>
        <item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6"/>
      <x v="6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3" type="button" dataOnly="0" labelOnly="1" outline="0" axis="axisRow" fieldPosition="0"/>
    </format>
    <format dxfId="65">
      <pivotArea field="46" type="button" dataOnly="0" labelOnly="1" outline="0" axis="axisRow" fieldPosition="1"/>
    </format>
    <format dxfId="64">
      <pivotArea dataOnly="0" labelOnly="1" outline="0" fieldPosition="0">
        <references count="1">
          <reference field="13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61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BBFC4-CE31-4531-8504-5A99DE0F25C1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h="1" x="3"/>
        <item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6"/>
      <x v="6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3" type="button" dataOnly="0" labelOnly="1" outline="0" axis="axisRow" fieldPosition="0"/>
    </format>
    <format dxfId="74">
      <pivotArea field="46" type="button" dataOnly="0" labelOnly="1" outline="0" axis="axisRow" fieldPosition="1"/>
    </format>
    <format dxfId="73">
      <pivotArea dataOnly="0" labelOnly="1" outline="0" fieldPosition="0">
        <references count="1">
          <reference field="13" count="0"/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70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69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03D4F-B1B3-4695-9DF0-B5EBB00810CD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x="3"/>
        <item h="1"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5"/>
      <x v="6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3" type="button" dataOnly="0" labelOnly="1" outline="0" axis="axisRow" fieldPosition="0"/>
    </format>
    <format dxfId="49">
      <pivotArea field="46" type="button" dataOnly="0" labelOnly="1" outline="0" axis="axisRow" fieldPosition="1"/>
    </format>
    <format dxfId="48">
      <pivotArea dataOnly="0" labelOnly="1" outline="0" fieldPosition="0">
        <references count="1">
          <reference field="13" count="0"/>
        </references>
      </pivotArea>
    </format>
    <format dxfId="47">
      <pivotArea dataOnly="0" labelOnly="1" grandRow="1" outline="0" fieldPosition="0"/>
    </format>
    <format dxfId="46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45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44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D6166-09A7-4AF6-A2EA-F475BD0A3677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x="3"/>
        <item h="1"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5"/>
      <x v="6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3" type="button" dataOnly="0" labelOnly="1" outline="0" axis="axisRow" fieldPosition="0"/>
    </format>
    <format dxfId="57">
      <pivotArea field="46" type="button" dataOnly="0" labelOnly="1" outline="0" axis="axisRow" fieldPosition="1"/>
    </format>
    <format dxfId="56">
      <pivotArea dataOnly="0" labelOnly="1" outline="0" fieldPosition="0">
        <references count="1">
          <reference field="13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53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55C45-663B-4180-9AC2-EB33F10A6010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x="0"/>
        <item x="5"/>
        <item x="1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x="3"/>
        <item h="1" x="2"/>
        <item h="1" x="1"/>
        <item h="1" x="5"/>
        <item h="1" x="6"/>
        <item h="1" x="4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6"/>
    <field x="36"/>
  </rowFields>
  <rowItems count="3">
    <i>
      <x v="1"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5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3" type="button" dataOnly="0" labelOnly="1" outline="0"/>
    </format>
    <format dxfId="34">
      <pivotArea field="46" type="button" dataOnly="0" labelOnly="1" outline="0" axis="axisRow" fieldPosition="0"/>
    </format>
    <format dxfId="3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05998-6570-4C64-A3AD-94D17F35EE83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x="0"/>
        <item x="5"/>
        <item x="1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x="3"/>
        <item h="1" x="2"/>
        <item h="1" x="1"/>
        <item h="1" x="5"/>
        <item h="1" x="6"/>
        <item h="1" x="4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2">
    <i>
      <x v="1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6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3" type="button" dataOnly="0" labelOnly="1" outline="0"/>
    </format>
    <format dxfId="40">
      <pivotArea field="46" type="button" dataOnly="0" labelOnly="1" outline="0" axis="axisRow" fieldPosition="0"/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00440-1D5A-479A-BD6C-3A3D48B677EC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x="0"/>
        <item x="5"/>
        <item x="1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3"/>
        <item x="2"/>
        <item h="1" x="1"/>
        <item h="1" x="5"/>
        <item h="1" x="6"/>
        <item h="1" x="4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6"/>
    <field x="36"/>
  </rowFields>
  <rowItems count="3">
    <i>
      <x v="2"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5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3" type="button" dataOnly="0" labelOnly="1" outline="0"/>
    </format>
    <format dxfId="23">
      <pivotArea field="46" type="button" dataOnly="0" labelOnly="1" outline="0" axis="axisRow" fieldPosition="0"/>
    </format>
    <format dxfId="2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64746-F109-4C08-B1F9-5FBDADFA3EC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x="0"/>
        <item x="5"/>
        <item x="1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3"/>
        <item x="2"/>
        <item h="1" x="1"/>
        <item h="1" x="5"/>
        <item h="1" x="6"/>
        <item h="1" x="4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2">
    <i>
      <x v="2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3" type="button" dataOnly="0" labelOnly="1" outline="0"/>
    </format>
    <format dxfId="29">
      <pivotArea field="46" type="button" dataOnly="0" labelOnly="1" outline="0" axis="axisRow" fieldPosition="0"/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E3065-E98D-497D-9A17-A14EDFBB92C9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x="0"/>
        <item x="5"/>
        <item x="1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3"/>
        <item h="1" x="2"/>
        <item h="1" x="1"/>
        <item h="1" x="5"/>
        <item x="6"/>
        <item h="1" x="4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2">
    <i>
      <x v="5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6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3" type="button" dataOnly="0" labelOnly="1" outline="0"/>
    </format>
    <format dxfId="13">
      <pivotArea field="46" type="button" dataOnly="0" labelOnly="1" outline="0" axis="axisRow" fieldPosition="0"/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2A599-A792-49EF-BA51-AEBCB81C9921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x="0"/>
        <item x="5"/>
        <item x="1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3"/>
        <item h="1" x="2"/>
        <item h="1" x="1"/>
        <item h="1" x="5"/>
        <item x="6"/>
        <item h="1" x="4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6"/>
    <field x="36"/>
  </rowFields>
  <rowItems count="3">
    <i>
      <x v="5"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5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3" type="button" dataOnly="0" labelOnly="1" outline="0"/>
    </format>
    <format dxfId="18">
      <pivotArea field="46" type="button" dataOnly="0" labelOnly="1" outline="0" axis="axisRow" fieldPosition="0"/>
    </format>
    <format dxfId="1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1DCB1-19A0-4D7E-8A04-A15053DAF9F6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x="0"/>
        <item x="5"/>
        <item x="1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3"/>
        <item h="1" x="2"/>
        <item x="1"/>
        <item h="1" x="5"/>
        <item h="1" x="6"/>
        <item h="1" x="4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6"/>
    <field x="36"/>
  </rowFields>
  <rowItems count="3">
    <i>
      <x v="3"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13" type="button" dataOnly="0" labelOnly="1" outline="0"/>
    </format>
    <format dxfId="1">
      <pivotArea field="46" type="button" dataOnly="0" labelOnly="1" outline="0" axis="axisRow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D6241-E01A-46E7-B697-D5D754F91AD7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x="0"/>
        <item x="5"/>
        <item x="1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3"/>
        <item h="1" x="2"/>
        <item x="1"/>
        <item h="1" x="5"/>
        <item h="1" x="6"/>
        <item h="1" x="4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2">
    <i>
      <x v="3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6">
    <format dxfId="10">
      <pivotArea type="all" dataOnly="0" outline="0" fieldPosition="0"/>
    </format>
    <format dxfId="9">
      <pivotArea outline="0" collapsedLevelsAreSubtotals="1" fieldPosition="0"/>
    </format>
    <format dxfId="8">
      <pivotArea field="13" type="button" dataOnly="0" labelOnly="1" outline="0"/>
    </format>
    <format dxfId="7">
      <pivotArea field="46" type="button" dataOnly="0" labelOnly="1" outline="0" axis="axisRow" fieldPosition="0"/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EBEC-C982-4088-8EE9-51FC0F20EE5F}">
  <sheetPr>
    <tabColor theme="6" tint="0.59999389629810485"/>
  </sheetPr>
  <dimension ref="B1:W34"/>
  <sheetViews>
    <sheetView showGridLines="0" topLeftCell="D1" zoomScale="55" zoomScaleNormal="85" workbookViewId="0">
      <selection activeCell="N27" sqref="N27"/>
    </sheetView>
  </sheetViews>
  <sheetFormatPr defaultRowHeight="14.5" x14ac:dyDescent="0.35"/>
  <cols>
    <col min="2" max="2" width="6.08984375" hidden="1" customWidth="1"/>
    <col min="4" max="4" width="19" bestFit="1" customWidth="1"/>
    <col min="5" max="5" width="27.1796875" bestFit="1" customWidth="1"/>
    <col min="6" max="6" width="16.26953125" bestFit="1" customWidth="1"/>
    <col min="7" max="7" width="16.453125" bestFit="1" customWidth="1"/>
    <col min="8" max="8" width="14.26953125" bestFit="1" customWidth="1"/>
    <col min="9" max="9" width="20.7265625" bestFit="1" customWidth="1"/>
    <col min="10" max="10" width="20.90625" bestFit="1" customWidth="1"/>
    <col min="11" max="11" width="10.453125" bestFit="1" customWidth="1"/>
    <col min="12" max="12" width="15" bestFit="1" customWidth="1"/>
    <col min="13" max="13" width="16.26953125" bestFit="1" customWidth="1"/>
    <col min="14" max="14" width="11.08984375" bestFit="1" customWidth="1"/>
    <col min="15" max="15" width="8" customWidth="1"/>
    <col min="16" max="16" width="12" bestFit="1" customWidth="1"/>
    <col min="17" max="17" width="14.1796875" bestFit="1" customWidth="1"/>
    <col min="18" max="18" width="17.26953125" bestFit="1" customWidth="1"/>
    <col min="19" max="19" width="10" bestFit="1" customWidth="1"/>
    <col min="20" max="20" width="12" customWidth="1"/>
    <col min="21" max="21" width="18.7265625" bestFit="1" customWidth="1"/>
    <col min="22" max="22" width="14.26953125" bestFit="1" customWidth="1"/>
    <col min="23" max="23" width="17.90625" bestFit="1" customWidth="1"/>
    <col min="24" max="24" width="7.1796875" bestFit="1" customWidth="1"/>
  </cols>
  <sheetData>
    <row r="1" spans="2:23" ht="15" thickBot="1" x14ac:dyDescent="0.4"/>
    <row r="2" spans="2:23" ht="14.5" customHeight="1" x14ac:dyDescent="0.35">
      <c r="D2" s="44" t="s">
        <v>819</v>
      </c>
      <c r="E2" s="45"/>
      <c r="F2" s="45"/>
      <c r="G2" s="45"/>
      <c r="H2" s="45"/>
      <c r="I2" s="45"/>
      <c r="J2" s="45"/>
      <c r="K2" s="45"/>
      <c r="L2" s="45"/>
      <c r="M2" s="45"/>
      <c r="N2" s="46"/>
      <c r="O2" s="27"/>
    </row>
    <row r="3" spans="2:23" x14ac:dyDescent="0.35">
      <c r="D3" s="47"/>
      <c r="E3" s="48"/>
      <c r="F3" s="48"/>
      <c r="G3" s="48"/>
      <c r="H3" s="48"/>
      <c r="I3" s="48"/>
      <c r="J3" s="48"/>
      <c r="K3" s="48"/>
      <c r="L3" s="48"/>
      <c r="M3" s="48"/>
      <c r="N3" s="49"/>
      <c r="O3" s="27"/>
    </row>
    <row r="4" spans="2:23" x14ac:dyDescent="0.35">
      <c r="D4" s="47"/>
      <c r="E4" s="48"/>
      <c r="F4" s="48"/>
      <c r="G4" s="48"/>
      <c r="H4" s="48"/>
      <c r="I4" s="48"/>
      <c r="J4" s="48"/>
      <c r="K4" s="48"/>
      <c r="L4" s="48"/>
      <c r="M4" s="48"/>
      <c r="N4" s="49"/>
      <c r="O4" s="27"/>
    </row>
    <row r="5" spans="2:23" x14ac:dyDescent="0.35">
      <c r="D5" s="47"/>
      <c r="E5" s="48"/>
      <c r="F5" s="48"/>
      <c r="G5" s="48"/>
      <c r="H5" s="48"/>
      <c r="I5" s="48"/>
      <c r="J5" s="48"/>
      <c r="K5" s="48"/>
      <c r="L5" s="48"/>
      <c r="M5" s="48"/>
      <c r="N5" s="49"/>
      <c r="O5" s="27"/>
    </row>
    <row r="6" spans="2:23" x14ac:dyDescent="0.35">
      <c r="D6" s="47"/>
      <c r="E6" s="48"/>
      <c r="F6" s="48"/>
      <c r="G6" s="48"/>
      <c r="H6" s="48"/>
      <c r="I6" s="48"/>
      <c r="J6" s="48"/>
      <c r="K6" s="48"/>
      <c r="L6" s="48"/>
      <c r="M6" s="48"/>
      <c r="N6" s="49"/>
      <c r="O6" s="27"/>
    </row>
    <row r="7" spans="2:23" ht="15" thickBot="1" x14ac:dyDescent="0.4">
      <c r="D7" s="50"/>
      <c r="E7" s="51"/>
      <c r="F7" s="51"/>
      <c r="G7" s="51"/>
      <c r="H7" s="51"/>
      <c r="I7" s="51"/>
      <c r="J7" s="51"/>
      <c r="K7" s="51"/>
      <c r="L7" s="51"/>
      <c r="M7" s="51"/>
      <c r="N7" s="52"/>
      <c r="O7" s="27"/>
    </row>
    <row r="9" spans="2:23" x14ac:dyDescent="0.35">
      <c r="E9" s="6"/>
      <c r="F9" s="53" t="s">
        <v>835</v>
      </c>
      <c r="G9" s="53"/>
      <c r="H9" s="53"/>
      <c r="I9" s="53" t="s">
        <v>836</v>
      </c>
      <c r="J9" s="53"/>
      <c r="K9" s="53"/>
      <c r="L9" s="6"/>
      <c r="M9" s="6"/>
      <c r="N9" s="6"/>
    </row>
    <row r="10" spans="2:23" x14ac:dyDescent="0.35">
      <c r="B10" s="11" t="s">
        <v>228</v>
      </c>
      <c r="F10" s="12" t="s">
        <v>226</v>
      </c>
      <c r="G10" s="12" t="s">
        <v>251</v>
      </c>
      <c r="H10" s="12" t="s">
        <v>229</v>
      </c>
      <c r="I10" s="12" t="s">
        <v>226</v>
      </c>
      <c r="J10" s="12" t="s">
        <v>251</v>
      </c>
      <c r="K10" s="12" t="s">
        <v>229</v>
      </c>
      <c r="L10" s="12" t="s">
        <v>227</v>
      </c>
      <c r="M10" s="12" t="s">
        <v>841</v>
      </c>
      <c r="N10" s="12" t="s">
        <v>125</v>
      </c>
      <c r="P10" s="23" t="s">
        <v>246</v>
      </c>
      <c r="Q10" s="23" t="s">
        <v>249</v>
      </c>
      <c r="R10" s="23" t="s">
        <v>247</v>
      </c>
      <c r="S10" s="23" t="s">
        <v>248</v>
      </c>
      <c r="U10" s="12" t="s">
        <v>242</v>
      </c>
      <c r="V10" s="12" t="s">
        <v>243</v>
      </c>
      <c r="W10" s="12" t="s">
        <v>244</v>
      </c>
    </row>
    <row r="11" spans="2:23" x14ac:dyDescent="0.35">
      <c r="B11" s="11"/>
      <c r="E11" s="9" t="s">
        <v>639</v>
      </c>
      <c r="F11" s="3">
        <v>1</v>
      </c>
      <c r="G11" s="3">
        <f>F11</f>
        <v>1</v>
      </c>
      <c r="H11" s="4"/>
      <c r="I11" s="3">
        <v>1</v>
      </c>
      <c r="J11" s="3">
        <f>I11</f>
        <v>1</v>
      </c>
      <c r="K11" s="40">
        <f t="shared" ref="K11:K19" si="0">(I11-J11)/I11</f>
        <v>0</v>
      </c>
      <c r="L11" s="16">
        <v>120000</v>
      </c>
      <c r="M11" s="16">
        <f>L11</f>
        <v>120000</v>
      </c>
      <c r="N11" s="13"/>
      <c r="P11" s="28">
        <f>M11-L11</f>
        <v>0</v>
      </c>
      <c r="Q11" s="24">
        <v>0</v>
      </c>
      <c r="R11" s="25">
        <f>S11*Q11</f>
        <v>0</v>
      </c>
      <c r="S11" s="26">
        <f>F11</f>
        <v>1</v>
      </c>
      <c r="U11" s="33"/>
      <c r="V11" s="33"/>
      <c r="W11" s="33"/>
    </row>
    <row r="12" spans="2:23" ht="14.5" customHeight="1" x14ac:dyDescent="0.35">
      <c r="B12" s="5" t="s">
        <v>376</v>
      </c>
      <c r="E12" s="9" t="s">
        <v>57</v>
      </c>
      <c r="F12" s="34">
        <v>179</v>
      </c>
      <c r="G12" s="34">
        <f ca="1">IF(N12="","",INDEX(INDIRECT("'"&amp;B12&amp;"'!B17:Y26"),MATCH("Totale",INDIRECT("'"&amp;B12&amp;"'!A17:A26"),0),MATCH(N12,INDIRECT("'"&amp;B12&amp;"'!B17:Y17"),0)))</f>
        <v>94</v>
      </c>
      <c r="H12" s="35">
        <f t="shared" ref="H12:H19" ca="1" si="1">(F12-G12)/F12</f>
        <v>0.47486033519553073</v>
      </c>
      <c r="I12" s="34">
        <v>64</v>
      </c>
      <c r="J12" s="34">
        <f ca="1">IF(N12="","",INDEX(INDIRECT("'"&amp;B12&amp;"'!B17:Y26"),MATCH("Falso Positivo",INDIRECT("'"&amp;B12&amp;"'!A17:A26"),0),MATCH(N12,INDIRECT("'"&amp;B12&amp;"'!B17:Y17"),0)))</f>
        <v>32</v>
      </c>
      <c r="K12" s="35">
        <f t="shared" ca="1" si="0"/>
        <v>0.5</v>
      </c>
      <c r="L12" s="36">
        <v>100000</v>
      </c>
      <c r="M12" s="36">
        <f ca="1">IF(N12="","",IF(N12="T0",L12,INDEX(INDIRECT("'"&amp;B12&amp;"'!B17:Y26"),MATCH("Soglia",INDIRECT("'"&amp;B12&amp;"'!A17:A26"),0),MATCH(N12,INDIRECT("'"&amp;B12&amp;"'!B17:Y17"),0))))</f>
        <v>156533.16500000001</v>
      </c>
      <c r="N12" s="37" t="s">
        <v>113</v>
      </c>
      <c r="P12" s="28">
        <f ca="1">M12-L12</f>
        <v>56533.165000000008</v>
      </c>
      <c r="Q12" s="24">
        <f t="shared" ref="Q12:Q18" ca="1" si="2">(M12-L12)/L12</f>
        <v>0.56533165000000007</v>
      </c>
      <c r="R12" s="25">
        <f ca="1">S12*Q12</f>
        <v>101.19436535000001</v>
      </c>
      <c r="S12" s="26">
        <f t="shared" ref="S12:S18" si="3">F12</f>
        <v>179</v>
      </c>
      <c r="T12" s="41"/>
      <c r="U12" s="13" t="s">
        <v>104</v>
      </c>
      <c r="V12" s="13" t="s">
        <v>108</v>
      </c>
      <c r="W12" s="13" t="s">
        <v>113</v>
      </c>
    </row>
    <row r="13" spans="2:23" x14ac:dyDescent="0.35">
      <c r="B13" s="5" t="s">
        <v>377</v>
      </c>
      <c r="E13" s="9" t="s">
        <v>272</v>
      </c>
      <c r="F13" s="3">
        <v>10</v>
      </c>
      <c r="G13" s="3">
        <f>F13</f>
        <v>10</v>
      </c>
      <c r="H13" s="4">
        <f t="shared" si="1"/>
        <v>0</v>
      </c>
      <c r="I13" s="3">
        <v>7</v>
      </c>
      <c r="J13" s="3">
        <f>I13</f>
        <v>7</v>
      </c>
      <c r="K13" s="4">
        <f t="shared" si="0"/>
        <v>0</v>
      </c>
      <c r="L13" s="16">
        <v>95000</v>
      </c>
      <c r="M13" s="16">
        <f>L13</f>
        <v>95000</v>
      </c>
      <c r="N13" s="13"/>
      <c r="P13" s="28">
        <f>M13-L13</f>
        <v>0</v>
      </c>
      <c r="Q13" s="24">
        <f t="shared" si="2"/>
        <v>0</v>
      </c>
      <c r="R13" s="25">
        <f>S13*Q13</f>
        <v>0</v>
      </c>
      <c r="S13" s="26">
        <f t="shared" si="3"/>
        <v>10</v>
      </c>
      <c r="T13" s="2"/>
      <c r="U13" s="13"/>
      <c r="V13" s="13"/>
      <c r="W13" s="13"/>
    </row>
    <row r="14" spans="2:23" x14ac:dyDescent="0.35">
      <c r="B14" s="5" t="s">
        <v>379</v>
      </c>
      <c r="E14" s="9" t="s">
        <v>61</v>
      </c>
      <c r="F14" s="34">
        <v>138</v>
      </c>
      <c r="G14" s="34">
        <f ca="1">IF(N14="","",INDEX(INDIRECT("'"&amp;B14&amp;"'!B17:Y26"),MATCH("Totale",INDIRECT("'"&amp;B14&amp;"'!A17:A26"),0),MATCH(N14,INDIRECT("'"&amp;B14&amp;"'!B17:Y17"),0)))</f>
        <v>84</v>
      </c>
      <c r="H14" s="35">
        <f t="shared" ca="1" si="1"/>
        <v>0.39130434782608697</v>
      </c>
      <c r="I14" s="34">
        <v>37</v>
      </c>
      <c r="J14" s="34">
        <f ca="1">IF(N14="","",INDEX(INDIRECT("'"&amp;B14&amp;"'!B17:Y26"),MATCH("Falso Positivo",INDIRECT("'"&amp;B14&amp;"'!A17:A26"),0),MATCH(N14,INDIRECT("'"&amp;B14&amp;"'!B17:Y17"),0)))</f>
        <v>19</v>
      </c>
      <c r="K14" s="35">
        <f t="shared" ca="1" si="0"/>
        <v>0.48648648648648651</v>
      </c>
      <c r="L14" s="36">
        <v>85000</v>
      </c>
      <c r="M14" s="36">
        <f ca="1">IF(N14="","",IF(N14="T0",L14,INDEX(INDIRECT("'"&amp;B14&amp;"'!B17:Y26"),MATCH("Soglia",INDIRECT("'"&amp;B14&amp;"'!A17:A26"),0),MATCH(N14,INDIRECT("'"&amp;B14&amp;"'!B17:Y17"),0))))</f>
        <v>110193.28</v>
      </c>
      <c r="N14" s="37" t="s">
        <v>113</v>
      </c>
      <c r="P14" s="28">
        <f t="shared" ref="P14:P18" ca="1" si="4">M14-L14</f>
        <v>25193.279999999999</v>
      </c>
      <c r="Q14" s="24">
        <f t="shared" ca="1" si="2"/>
        <v>0.29639152941176466</v>
      </c>
      <c r="R14" s="25">
        <f t="shared" ref="R14:R18" ca="1" si="5">S14*Q14</f>
        <v>40.902031058823525</v>
      </c>
      <c r="S14" s="26">
        <f t="shared" si="3"/>
        <v>138</v>
      </c>
      <c r="T14" s="2"/>
      <c r="U14" s="13" t="s">
        <v>104</v>
      </c>
      <c r="V14" s="13" t="s">
        <v>108</v>
      </c>
      <c r="W14" s="13" t="s">
        <v>113</v>
      </c>
    </row>
    <row r="15" spans="2:23" x14ac:dyDescent="0.35">
      <c r="B15" s="5" t="s">
        <v>384</v>
      </c>
      <c r="E15" s="9" t="s">
        <v>79</v>
      </c>
      <c r="F15" s="34">
        <v>24</v>
      </c>
      <c r="G15" s="34">
        <f ca="1">IF(N15="","",INDEX(INDIRECT("'"&amp;B15&amp;"'!B17:Y26"),MATCH("Totale",INDIRECT("'"&amp;B15&amp;"'!A17:A26"),0),MATCH(N15,INDIRECT("'"&amp;B15&amp;"'!B17:Y17"),0)))</f>
        <v>13</v>
      </c>
      <c r="H15" s="35">
        <f t="shared" ca="1" si="1"/>
        <v>0.45833333333333331</v>
      </c>
      <c r="I15" s="34">
        <v>21</v>
      </c>
      <c r="J15" s="34">
        <f ca="1">IF(N15="","",INDEX(INDIRECT("'"&amp;B15&amp;"'!B17:Y26"),MATCH("Falso Positivo",INDIRECT("'"&amp;B15&amp;"'!A17:A26"),0),MATCH(N15,INDIRECT("'"&amp;B15&amp;"'!B17:Y17"),0)))</f>
        <v>11</v>
      </c>
      <c r="K15" s="35">
        <f t="shared" ca="1" si="0"/>
        <v>0.47619047619047616</v>
      </c>
      <c r="L15" s="36">
        <v>75000</v>
      </c>
      <c r="M15" s="36">
        <f ca="1">IF(N15="","",IF(N15="T0",L15,INDEX(INDIRECT("'"&amp;B15&amp;"'!B17:Y26"),MATCH("Soglia",INDIRECT("'"&amp;B15&amp;"'!A17:A26"),0),MATCH(N15,INDIRECT("'"&amp;B15&amp;"'!B17:Y17"),0))))</f>
        <v>110891.36</v>
      </c>
      <c r="N15" s="37" t="s">
        <v>113</v>
      </c>
      <c r="P15" s="28">
        <f t="shared" ca="1" si="4"/>
        <v>35891.360000000001</v>
      </c>
      <c r="Q15" s="24">
        <f t="shared" ca="1" si="2"/>
        <v>0.47855146666666665</v>
      </c>
      <c r="R15" s="25">
        <f t="shared" ca="1" si="5"/>
        <v>11.4852352</v>
      </c>
      <c r="S15" s="26">
        <f t="shared" si="3"/>
        <v>24</v>
      </c>
      <c r="T15" s="2"/>
      <c r="U15" s="13" t="s">
        <v>104</v>
      </c>
      <c r="V15" s="13" t="s">
        <v>108</v>
      </c>
      <c r="W15" s="13" t="s">
        <v>113</v>
      </c>
    </row>
    <row r="16" spans="2:23" x14ac:dyDescent="0.35">
      <c r="B16" s="5" t="s">
        <v>385</v>
      </c>
      <c r="E16" s="9" t="s">
        <v>234</v>
      </c>
      <c r="F16" s="3">
        <v>7</v>
      </c>
      <c r="G16" s="3">
        <f>F16</f>
        <v>7</v>
      </c>
      <c r="H16" s="4">
        <f t="shared" si="1"/>
        <v>0</v>
      </c>
      <c r="I16" s="3">
        <v>7</v>
      </c>
      <c r="J16" s="3">
        <f>I16</f>
        <v>7</v>
      </c>
      <c r="K16" s="4">
        <f t="shared" si="0"/>
        <v>0</v>
      </c>
      <c r="L16" s="16">
        <v>55000</v>
      </c>
      <c r="M16" s="16">
        <f>L16</f>
        <v>55000</v>
      </c>
      <c r="N16" s="13"/>
      <c r="P16" s="28">
        <f t="shared" si="4"/>
        <v>0</v>
      </c>
      <c r="Q16" s="24">
        <f t="shared" si="2"/>
        <v>0</v>
      </c>
      <c r="R16" s="25">
        <f t="shared" si="5"/>
        <v>0</v>
      </c>
      <c r="S16" s="26">
        <f t="shared" si="3"/>
        <v>7</v>
      </c>
      <c r="T16" s="2"/>
      <c r="U16" s="13"/>
      <c r="V16" s="13"/>
      <c r="W16" s="13"/>
    </row>
    <row r="17" spans="2:23" x14ac:dyDescent="0.35">
      <c r="B17" s="5" t="s">
        <v>386</v>
      </c>
      <c r="E17" s="9" t="s">
        <v>270</v>
      </c>
      <c r="F17" s="34">
        <v>21</v>
      </c>
      <c r="G17" s="34">
        <f ca="1">IF(N17="","",INDEX(INDIRECT("'"&amp;B17&amp;"'!B17:Y26"),MATCH("Totale",INDIRECT("'"&amp;B17&amp;"'!A17:A26"),0),MATCH(N17,INDIRECT("'"&amp;B17&amp;"'!B17:Y17"),0)))</f>
        <v>15</v>
      </c>
      <c r="H17" s="35">
        <f t="shared" ca="1" si="1"/>
        <v>0.2857142857142857</v>
      </c>
      <c r="I17" s="34">
        <v>12</v>
      </c>
      <c r="J17" s="34">
        <f ca="1">IF(N17="","",INDEX(INDIRECT("'"&amp;B17&amp;"'!B17:Y26"),MATCH("Falso Positivo",INDIRECT("'"&amp;B17&amp;"'!A17:A26"),0),MATCH(N17,INDIRECT("'"&amp;B17&amp;"'!B17:Y17"),0)))</f>
        <v>6</v>
      </c>
      <c r="K17" s="35">
        <f t="shared" ca="1" si="0"/>
        <v>0.5</v>
      </c>
      <c r="L17" s="36">
        <v>35000</v>
      </c>
      <c r="M17" s="36">
        <f ca="1">IF(N17="","",IF(N17="T0",L17,INDEX(INDIRECT("'"&amp;B17&amp;"'!B17:Y26"),MATCH("Soglia",INDIRECT("'"&amp;B17&amp;"'!A17:A26"),0),MATCH(N17,INDIRECT("'"&amp;B17&amp;"'!B17:Y17"),0))))</f>
        <v>40505</v>
      </c>
      <c r="N17" s="37" t="s">
        <v>113</v>
      </c>
      <c r="P17" s="28">
        <f t="shared" ca="1" si="4"/>
        <v>5505</v>
      </c>
      <c r="Q17" s="24">
        <f t="shared" ca="1" si="2"/>
        <v>0.15728571428571428</v>
      </c>
      <c r="R17" s="25">
        <f t="shared" ca="1" si="5"/>
        <v>3.3029999999999999</v>
      </c>
      <c r="S17" s="26">
        <f t="shared" si="3"/>
        <v>21</v>
      </c>
      <c r="T17" s="2"/>
      <c r="U17" s="13" t="s">
        <v>104</v>
      </c>
      <c r="V17" s="13" t="s">
        <v>108</v>
      </c>
      <c r="W17" s="13" t="s">
        <v>113</v>
      </c>
    </row>
    <row r="18" spans="2:23" x14ac:dyDescent="0.35">
      <c r="B18" s="5" t="s">
        <v>387</v>
      </c>
      <c r="E18" s="9" t="s">
        <v>52</v>
      </c>
      <c r="F18" s="3">
        <v>120</v>
      </c>
      <c r="G18" s="3">
        <f>F18</f>
        <v>120</v>
      </c>
      <c r="H18" s="4"/>
      <c r="I18" s="3">
        <v>18</v>
      </c>
      <c r="J18" s="3">
        <f>I18</f>
        <v>18</v>
      </c>
      <c r="K18" s="4"/>
      <c r="L18" s="16">
        <v>100000</v>
      </c>
      <c r="M18" s="16">
        <f>L18</f>
        <v>100000</v>
      </c>
      <c r="N18" s="3"/>
      <c r="P18" s="28">
        <f t="shared" si="4"/>
        <v>0</v>
      </c>
      <c r="Q18" s="24">
        <f t="shared" si="2"/>
        <v>0</v>
      </c>
      <c r="R18" s="25">
        <f t="shared" si="5"/>
        <v>0</v>
      </c>
      <c r="S18" s="26">
        <f t="shared" si="3"/>
        <v>120</v>
      </c>
      <c r="T18" s="2"/>
      <c r="U18" s="13"/>
      <c r="V18" s="13"/>
      <c r="W18" s="13"/>
    </row>
    <row r="19" spans="2:23" x14ac:dyDescent="0.35">
      <c r="E19" s="9" t="s">
        <v>829</v>
      </c>
      <c r="F19" s="9">
        <f>SUM(F11:F18)</f>
        <v>500</v>
      </c>
      <c r="G19" s="9">
        <f ca="1">SUM(G11:G18)</f>
        <v>344</v>
      </c>
      <c r="H19" s="10">
        <f t="shared" ca="1" si="1"/>
        <v>0.312</v>
      </c>
      <c r="I19" s="9">
        <f>SUM(I11:I18)</f>
        <v>167</v>
      </c>
      <c r="J19" s="9">
        <f ca="1">SUM(J11:J18)</f>
        <v>101</v>
      </c>
      <c r="K19" s="10">
        <f t="shared" ca="1" si="0"/>
        <v>0.39520958083832336</v>
      </c>
      <c r="L19" s="9"/>
      <c r="M19" s="21"/>
      <c r="N19" s="9"/>
      <c r="Q19" s="22"/>
      <c r="R19" s="39">
        <f ca="1">SUM(R11:R18)</f>
        <v>156.88463160882353</v>
      </c>
      <c r="S19" s="38"/>
      <c r="T19" s="22"/>
    </row>
    <row r="21" spans="2:23" x14ac:dyDescent="0.35">
      <c r="P21" s="19"/>
      <c r="Q21" s="19"/>
      <c r="S21" s="19"/>
      <c r="T21" s="19"/>
    </row>
    <row r="22" spans="2:23" x14ac:dyDescent="0.35">
      <c r="F22" s="53" t="s">
        <v>829</v>
      </c>
      <c r="G22" s="53"/>
      <c r="H22" s="53" t="s">
        <v>828</v>
      </c>
      <c r="I22" s="53"/>
      <c r="J22" s="53" t="s">
        <v>250</v>
      </c>
      <c r="K22" s="53"/>
      <c r="P22" s="2"/>
      <c r="Q22" s="2"/>
      <c r="R22" s="2"/>
      <c r="S22" s="2"/>
      <c r="T22" s="2"/>
    </row>
    <row r="23" spans="2:23" x14ac:dyDescent="0.35">
      <c r="F23" s="42" t="s">
        <v>226</v>
      </c>
      <c r="G23" s="42" t="s">
        <v>251</v>
      </c>
      <c r="H23" s="42" t="s">
        <v>226</v>
      </c>
      <c r="I23" s="42" t="s">
        <v>251</v>
      </c>
      <c r="J23" s="42" t="s">
        <v>226</v>
      </c>
      <c r="K23" s="42" t="s">
        <v>251</v>
      </c>
    </row>
    <row r="24" spans="2:23" x14ac:dyDescent="0.35">
      <c r="E24" s="9" t="s">
        <v>380</v>
      </c>
      <c r="F24" s="3">
        <f>COUNTA(INDEX(Data!$1:$1048576,0,MATCH("flag_stato",Data!1:1,0)))-1</f>
        <v>500</v>
      </c>
      <c r="G24" s="3">
        <f ca="1">G19</f>
        <v>344</v>
      </c>
      <c r="H24" s="3">
        <f>COUNTIF(INDEX(Data!$1:$1048576,0,MATCH("flag_stato",Data!1:1,0)),0)</f>
        <v>167</v>
      </c>
      <c r="I24" s="3">
        <f ca="1">J19</f>
        <v>101</v>
      </c>
      <c r="J24" s="13">
        <f>F24-H24</f>
        <v>333</v>
      </c>
      <c r="K24" s="13">
        <f ca="1">G24-I24</f>
        <v>243</v>
      </c>
      <c r="L24" s="2"/>
    </row>
    <row r="25" spans="2:23" x14ac:dyDescent="0.35">
      <c r="E25" s="9" t="s">
        <v>229</v>
      </c>
      <c r="F25" s="54">
        <f ca="1">(F24-G24)/F24</f>
        <v>0.312</v>
      </c>
      <c r="G25" s="54"/>
      <c r="H25" s="54">
        <f ca="1">(H24-I24)/H24</f>
        <v>0.39520958083832336</v>
      </c>
      <c r="I25" s="54"/>
      <c r="J25" s="55">
        <f ca="1">(J24-K24)/J24</f>
        <v>0.27027027027027029</v>
      </c>
      <c r="K25" s="55"/>
      <c r="L25" s="2"/>
    </row>
    <row r="26" spans="2:23" ht="14.5" customHeight="1" x14ac:dyDescent="0.35"/>
    <row r="29" spans="2:23" x14ac:dyDescent="0.35">
      <c r="F29" s="12" t="s">
        <v>837</v>
      </c>
      <c r="G29" s="12" t="s">
        <v>838</v>
      </c>
      <c r="H29" s="12" t="s">
        <v>252</v>
      </c>
      <c r="I29" s="12" t="s">
        <v>839</v>
      </c>
      <c r="J29" s="12" t="s">
        <v>840</v>
      </c>
    </row>
    <row r="30" spans="2:23" x14ac:dyDescent="0.35">
      <c r="F30" s="29" cm="1">
        <f t="array" aca="1" ref="F30" ca="1">MIN(IF(P11:P18&lt;&gt;0,P11:P18))</f>
        <v>5505</v>
      </c>
      <c r="G30" s="30" cm="1">
        <f t="array" aca="1" ref="G30" ca="1">MAX(IF(P11:P18&lt;&gt;0,P11:P18))</f>
        <v>56533.165000000008</v>
      </c>
      <c r="H30" s="17">
        <f ca="1">R19/F24</f>
        <v>0.31376926321764703</v>
      </c>
      <c r="I30" s="17" cm="1">
        <f t="array" aca="1" ref="I30" ca="1">MIN(IF(Q11:Q18&lt;&gt;0,Q11:Q18))</f>
        <v>0.15728571428571428</v>
      </c>
      <c r="J30" s="17" cm="1">
        <f t="array" aca="1" ref="J30" ca="1">MAX(IF(Q11:Q18&lt;&gt;0,Q11:Q18))</f>
        <v>0.56533165000000007</v>
      </c>
    </row>
    <row r="34" ht="14.5" customHeight="1" x14ac:dyDescent="0.35"/>
  </sheetData>
  <mergeCells count="9">
    <mergeCell ref="D2:N7"/>
    <mergeCell ref="I9:K9"/>
    <mergeCell ref="F9:H9"/>
    <mergeCell ref="F25:G25"/>
    <mergeCell ref="H25:I25"/>
    <mergeCell ref="F22:G22"/>
    <mergeCell ref="H22:I22"/>
    <mergeCell ref="J22:K22"/>
    <mergeCell ref="J25:K2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44D727-F9C3-40D1-8987-5023D7BE6A9D}">
          <x14:formula1>
            <xm:f>'Classe 1'!$B$17:$W$17</xm:f>
          </x14:formula1>
          <xm:sqref>N12 N14:N15 N17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1415-8D0E-4E5C-A064-B4F1A407E400}">
  <sheetPr>
    <tabColor theme="6" tint="0.59999389629810485"/>
  </sheetPr>
  <dimension ref="B2:G44"/>
  <sheetViews>
    <sheetView showGridLines="0" topLeftCell="A6" zoomScale="55" zoomScaleNormal="55" workbookViewId="0">
      <selection activeCell="D15" activeCellId="3" sqref="D10 D12 D13 D15"/>
    </sheetView>
  </sheetViews>
  <sheetFormatPr defaultRowHeight="14.5" x14ac:dyDescent="0.35"/>
  <cols>
    <col min="2" max="2" width="15.453125" bestFit="1" customWidth="1"/>
    <col min="3" max="3" width="11.54296875" bestFit="1" customWidth="1"/>
    <col min="4" max="4" width="12.08984375" bestFit="1" customWidth="1"/>
    <col min="5" max="5" width="13.36328125" bestFit="1" customWidth="1"/>
    <col min="6" max="6" width="15.36328125" bestFit="1" customWidth="1"/>
    <col min="7" max="7" width="19.08984375" bestFit="1" customWidth="1"/>
    <col min="8" max="8" width="48.453125" bestFit="1" customWidth="1"/>
    <col min="9" max="9" width="11.54296875" bestFit="1" customWidth="1"/>
    <col min="10" max="10" width="12.08984375" bestFit="1" customWidth="1"/>
    <col min="11" max="11" width="19.08984375" bestFit="1" customWidth="1"/>
    <col min="12" max="19" width="18.6328125" bestFit="1" customWidth="1"/>
    <col min="20" max="20" width="19.6328125" bestFit="1" customWidth="1"/>
  </cols>
  <sheetData>
    <row r="2" spans="2:7" ht="14.5" customHeight="1" x14ac:dyDescent="0.35">
      <c r="B2" s="48" t="s">
        <v>842</v>
      </c>
      <c r="C2" s="48"/>
      <c r="D2" s="48"/>
      <c r="E2" s="48"/>
      <c r="F2" s="48"/>
      <c r="G2" s="48"/>
    </row>
    <row r="3" spans="2:7" x14ac:dyDescent="0.35">
      <c r="B3" s="48"/>
      <c r="C3" s="48"/>
      <c r="D3" s="48"/>
      <c r="E3" s="48"/>
      <c r="F3" s="48"/>
      <c r="G3" s="48"/>
    </row>
    <row r="4" spans="2:7" x14ac:dyDescent="0.35">
      <c r="B4" s="48"/>
      <c r="C4" s="48"/>
      <c r="D4" s="48"/>
      <c r="E4" s="48"/>
      <c r="F4" s="48"/>
      <c r="G4" s="48"/>
    </row>
    <row r="6" spans="2:7" x14ac:dyDescent="0.35">
      <c r="B6" s="14" t="s">
        <v>36</v>
      </c>
      <c r="C6" s="43">
        <v>0</v>
      </c>
    </row>
    <row r="8" spans="2:7" x14ac:dyDescent="0.35">
      <c r="B8" s="14" t="s">
        <v>46</v>
      </c>
      <c r="C8" s="3" t="s">
        <v>100</v>
      </c>
      <c r="D8" s="3" t="s">
        <v>99</v>
      </c>
      <c r="E8" s="3" t="s">
        <v>833</v>
      </c>
      <c r="F8" s="3" t="s">
        <v>834</v>
      </c>
    </row>
    <row r="9" spans="2:7" x14ac:dyDescent="0.35">
      <c r="B9" s="3" t="s">
        <v>639</v>
      </c>
      <c r="C9" s="3">
        <v>1</v>
      </c>
      <c r="D9" s="15">
        <v>5.9880239520958087E-3</v>
      </c>
      <c r="E9" s="8">
        <v>331000</v>
      </c>
      <c r="F9" s="8">
        <v>331000</v>
      </c>
    </row>
    <row r="10" spans="2:7" x14ac:dyDescent="0.35">
      <c r="B10" s="32" t="s">
        <v>57</v>
      </c>
      <c r="C10" s="32">
        <v>64</v>
      </c>
      <c r="D10" s="15">
        <v>0.38323353293413176</v>
      </c>
      <c r="E10" s="8">
        <v>101552.46</v>
      </c>
      <c r="F10" s="8">
        <v>197835.80453125006</v>
      </c>
    </row>
    <row r="11" spans="2:7" x14ac:dyDescent="0.35">
      <c r="B11" s="3" t="s">
        <v>272</v>
      </c>
      <c r="C11" s="3">
        <v>7</v>
      </c>
      <c r="D11" s="15">
        <v>4.1916167664670656E-2</v>
      </c>
      <c r="E11" s="8">
        <v>98000</v>
      </c>
      <c r="F11" s="8">
        <v>137234</v>
      </c>
    </row>
    <row r="12" spans="2:7" x14ac:dyDescent="0.35">
      <c r="B12" s="32" t="s">
        <v>61</v>
      </c>
      <c r="C12" s="32">
        <v>37</v>
      </c>
      <c r="D12" s="15">
        <v>0.22155688622754491</v>
      </c>
      <c r="E12" s="8">
        <v>85050</v>
      </c>
      <c r="F12" s="8">
        <v>139260.96621621621</v>
      </c>
    </row>
    <row r="13" spans="2:7" x14ac:dyDescent="0.35">
      <c r="B13" s="32" t="s">
        <v>79</v>
      </c>
      <c r="C13" s="32">
        <v>21</v>
      </c>
      <c r="D13" s="15">
        <v>0.12574850299401197</v>
      </c>
      <c r="E13" s="8">
        <v>76382.789999999994</v>
      </c>
      <c r="F13" s="8">
        <v>139819.78047619047</v>
      </c>
    </row>
    <row r="14" spans="2:7" x14ac:dyDescent="0.35">
      <c r="B14" s="3" t="s">
        <v>234</v>
      </c>
      <c r="C14" s="3">
        <v>7</v>
      </c>
      <c r="D14" s="15">
        <v>4.1916167664670656E-2</v>
      </c>
      <c r="E14" s="8">
        <v>55650</v>
      </c>
      <c r="F14" s="8">
        <v>64567.142857142855</v>
      </c>
    </row>
    <row r="15" spans="2:7" x14ac:dyDescent="0.35">
      <c r="B15" s="32" t="s">
        <v>270</v>
      </c>
      <c r="C15" s="32">
        <v>12</v>
      </c>
      <c r="D15" s="15">
        <v>7.1856287425149698E-2</v>
      </c>
      <c r="E15" s="8">
        <v>37615</v>
      </c>
      <c r="F15" s="8">
        <v>45939.306666666664</v>
      </c>
    </row>
    <row r="16" spans="2:7" x14ac:dyDescent="0.35">
      <c r="B16" s="3" t="s">
        <v>52</v>
      </c>
      <c r="C16" s="3">
        <v>18</v>
      </c>
      <c r="D16" s="15">
        <v>0.10778443113772455</v>
      </c>
      <c r="E16" s="8">
        <v>107500</v>
      </c>
      <c r="F16" s="8">
        <v>177576.76388888888</v>
      </c>
    </row>
    <row r="17" spans="2:7" x14ac:dyDescent="0.35">
      <c r="B17" s="3" t="s">
        <v>96</v>
      </c>
      <c r="C17" s="3">
        <v>167</v>
      </c>
      <c r="D17" s="15">
        <v>1</v>
      </c>
      <c r="E17" s="8">
        <v>37615</v>
      </c>
      <c r="F17" s="8">
        <v>157135.47341317372</v>
      </c>
    </row>
    <row r="21" spans="2:7" x14ac:dyDescent="0.35">
      <c r="B21" s="14" t="s">
        <v>46</v>
      </c>
      <c r="C21" s="14" t="s">
        <v>36</v>
      </c>
      <c r="D21" s="3" t="s">
        <v>100</v>
      </c>
      <c r="E21" s="3" t="s">
        <v>99</v>
      </c>
      <c r="F21" s="3" t="s">
        <v>833</v>
      </c>
      <c r="G21" s="3" t="s">
        <v>834</v>
      </c>
    </row>
    <row r="22" spans="2:7" x14ac:dyDescent="0.35">
      <c r="B22" s="3" t="s">
        <v>639</v>
      </c>
      <c r="C22" s="3">
        <v>0</v>
      </c>
      <c r="D22" s="3">
        <v>1</v>
      </c>
      <c r="E22" s="15">
        <v>1</v>
      </c>
      <c r="F22" s="8">
        <v>331000</v>
      </c>
      <c r="G22" s="8">
        <v>331000</v>
      </c>
    </row>
    <row r="23" spans="2:7" x14ac:dyDescent="0.35">
      <c r="B23" s="3" t="s">
        <v>820</v>
      </c>
      <c r="C23" s="3"/>
      <c r="D23" s="3">
        <v>1</v>
      </c>
      <c r="E23" s="15">
        <v>1</v>
      </c>
      <c r="F23" s="8">
        <v>331000</v>
      </c>
      <c r="G23" s="8">
        <v>331000</v>
      </c>
    </row>
    <row r="24" spans="2:7" x14ac:dyDescent="0.35">
      <c r="B24" s="32" t="s">
        <v>57</v>
      </c>
      <c r="C24" s="3">
        <v>0</v>
      </c>
      <c r="D24" s="32">
        <v>64</v>
      </c>
      <c r="E24" s="15">
        <v>0.35754189944134079</v>
      </c>
      <c r="F24" s="8">
        <v>101552.46</v>
      </c>
      <c r="G24" s="8">
        <v>197835.80453125003</v>
      </c>
    </row>
    <row r="25" spans="2:7" x14ac:dyDescent="0.35">
      <c r="B25" s="32" t="s">
        <v>57</v>
      </c>
      <c r="C25" s="3">
        <v>1</v>
      </c>
      <c r="D25" s="32">
        <v>115</v>
      </c>
      <c r="E25" s="15">
        <v>0.64245810055865926</v>
      </c>
      <c r="F25" s="8">
        <v>100752.25</v>
      </c>
      <c r="G25" s="8">
        <v>210010.64947826095</v>
      </c>
    </row>
    <row r="26" spans="2:7" x14ac:dyDescent="0.35">
      <c r="B26" s="3" t="s">
        <v>821</v>
      </c>
      <c r="C26" s="3"/>
      <c r="D26" s="3">
        <v>179</v>
      </c>
      <c r="E26" s="15">
        <v>1</v>
      </c>
      <c r="F26" s="8">
        <v>100752.25</v>
      </c>
      <c r="G26" s="8">
        <v>205657.63229050286</v>
      </c>
    </row>
    <row r="27" spans="2:7" x14ac:dyDescent="0.35">
      <c r="B27" s="3" t="s">
        <v>272</v>
      </c>
      <c r="C27" s="3">
        <v>0</v>
      </c>
      <c r="D27" s="3">
        <v>7</v>
      </c>
      <c r="E27" s="15">
        <v>0.7</v>
      </c>
      <c r="F27" s="8">
        <v>98000</v>
      </c>
      <c r="G27" s="8">
        <v>137234</v>
      </c>
    </row>
    <row r="28" spans="2:7" x14ac:dyDescent="0.35">
      <c r="B28" s="3" t="s">
        <v>272</v>
      </c>
      <c r="C28" s="3">
        <v>1</v>
      </c>
      <c r="D28" s="3">
        <v>3</v>
      </c>
      <c r="E28" s="15">
        <v>0.3</v>
      </c>
      <c r="F28" s="8">
        <v>100000</v>
      </c>
      <c r="G28" s="8">
        <v>122029.33333333333</v>
      </c>
    </row>
    <row r="29" spans="2:7" x14ac:dyDescent="0.35">
      <c r="B29" s="3" t="s">
        <v>822</v>
      </c>
      <c r="C29" s="3"/>
      <c r="D29" s="3">
        <v>10</v>
      </c>
      <c r="E29" s="15">
        <v>1</v>
      </c>
      <c r="F29" s="8">
        <v>98000</v>
      </c>
      <c r="G29" s="8">
        <v>132672.6</v>
      </c>
    </row>
    <row r="30" spans="2:7" x14ac:dyDescent="0.35">
      <c r="B30" s="32" t="s">
        <v>61</v>
      </c>
      <c r="C30" s="3">
        <v>0</v>
      </c>
      <c r="D30" s="32">
        <v>37</v>
      </c>
      <c r="E30" s="15">
        <v>0.26811594202898553</v>
      </c>
      <c r="F30" s="8">
        <v>85050</v>
      </c>
      <c r="G30" s="8">
        <v>139260.96621621624</v>
      </c>
    </row>
    <row r="31" spans="2:7" x14ac:dyDescent="0.35">
      <c r="B31" s="32" t="s">
        <v>61</v>
      </c>
      <c r="C31" s="3">
        <v>1</v>
      </c>
      <c r="D31" s="32">
        <v>101</v>
      </c>
      <c r="E31" s="15">
        <v>0.73188405797101452</v>
      </c>
      <c r="F31" s="8">
        <v>87236.69</v>
      </c>
      <c r="G31" s="8">
        <v>212568.67811881189</v>
      </c>
    </row>
    <row r="32" spans="2:7" x14ac:dyDescent="0.35">
      <c r="B32" s="3" t="s">
        <v>823</v>
      </c>
      <c r="C32" s="3"/>
      <c r="D32" s="3">
        <v>138</v>
      </c>
      <c r="E32" s="15">
        <v>1</v>
      </c>
      <c r="F32" s="8">
        <v>85050</v>
      </c>
      <c r="G32" s="8">
        <v>192913.71188405796</v>
      </c>
    </row>
    <row r="33" spans="2:7" x14ac:dyDescent="0.35">
      <c r="B33" s="32" t="s">
        <v>79</v>
      </c>
      <c r="C33" s="3">
        <v>0</v>
      </c>
      <c r="D33" s="32">
        <v>21</v>
      </c>
      <c r="E33" s="15">
        <v>0.875</v>
      </c>
      <c r="F33" s="8">
        <v>76382.789999999994</v>
      </c>
      <c r="G33" s="8">
        <v>139819.78047619047</v>
      </c>
    </row>
    <row r="34" spans="2:7" x14ac:dyDescent="0.35">
      <c r="B34" s="32" t="s">
        <v>79</v>
      </c>
      <c r="C34" s="3">
        <v>1</v>
      </c>
      <c r="D34" s="32">
        <v>3</v>
      </c>
      <c r="E34" s="15">
        <v>0.125</v>
      </c>
      <c r="F34" s="8">
        <v>106353.02</v>
      </c>
      <c r="G34" s="8">
        <v>151127.59333333335</v>
      </c>
    </row>
    <row r="35" spans="2:7" x14ac:dyDescent="0.35">
      <c r="B35" s="3" t="s">
        <v>824</v>
      </c>
      <c r="C35" s="3"/>
      <c r="D35" s="3">
        <v>24</v>
      </c>
      <c r="E35" s="15">
        <v>1</v>
      </c>
      <c r="F35" s="8">
        <v>76382.789999999994</v>
      </c>
      <c r="G35" s="8">
        <v>141233.25708333333</v>
      </c>
    </row>
    <row r="36" spans="2:7" x14ac:dyDescent="0.35">
      <c r="B36" s="3" t="s">
        <v>234</v>
      </c>
      <c r="C36" s="3">
        <v>0</v>
      </c>
      <c r="D36" s="3">
        <v>7</v>
      </c>
      <c r="E36" s="15">
        <v>1</v>
      </c>
      <c r="F36" s="8">
        <v>55650</v>
      </c>
      <c r="G36" s="8">
        <v>64567.142857142855</v>
      </c>
    </row>
    <row r="37" spans="2:7" x14ac:dyDescent="0.35">
      <c r="B37" s="3" t="s">
        <v>825</v>
      </c>
      <c r="C37" s="3"/>
      <c r="D37" s="3">
        <v>7</v>
      </c>
      <c r="E37" s="15">
        <v>1</v>
      </c>
      <c r="F37" s="8">
        <v>55650</v>
      </c>
      <c r="G37" s="8">
        <v>64567.142857142855</v>
      </c>
    </row>
    <row r="38" spans="2:7" x14ac:dyDescent="0.35">
      <c r="B38" s="32" t="s">
        <v>270</v>
      </c>
      <c r="C38" s="3">
        <v>0</v>
      </c>
      <c r="D38" s="32">
        <v>12</v>
      </c>
      <c r="E38" s="15">
        <v>0.5714285714285714</v>
      </c>
      <c r="F38" s="8">
        <v>37615</v>
      </c>
      <c r="G38" s="8">
        <v>45939.306666666664</v>
      </c>
    </row>
    <row r="39" spans="2:7" x14ac:dyDescent="0.35">
      <c r="B39" s="32" t="s">
        <v>270</v>
      </c>
      <c r="C39" s="3">
        <v>1</v>
      </c>
      <c r="D39" s="32">
        <v>9</v>
      </c>
      <c r="E39" s="15">
        <v>0.42857142857142855</v>
      </c>
      <c r="F39" s="8">
        <v>40825</v>
      </c>
      <c r="G39" s="8">
        <v>99112.726666666669</v>
      </c>
    </row>
    <row r="40" spans="2:7" x14ac:dyDescent="0.35">
      <c r="B40" s="3" t="s">
        <v>826</v>
      </c>
      <c r="C40" s="3"/>
      <c r="D40" s="3">
        <v>21</v>
      </c>
      <c r="E40" s="15">
        <v>1</v>
      </c>
      <c r="F40" s="8">
        <v>37615</v>
      </c>
      <c r="G40" s="8">
        <v>68727.915238095244</v>
      </c>
    </row>
    <row r="41" spans="2:7" x14ac:dyDescent="0.35">
      <c r="B41" s="3" t="s">
        <v>52</v>
      </c>
      <c r="C41" s="3">
        <v>0</v>
      </c>
      <c r="D41" s="3">
        <v>18</v>
      </c>
      <c r="E41" s="15">
        <v>0.15</v>
      </c>
      <c r="F41" s="8">
        <v>107500</v>
      </c>
      <c r="G41" s="8">
        <v>177576.76388888891</v>
      </c>
    </row>
    <row r="42" spans="2:7" x14ac:dyDescent="0.35">
      <c r="B42" s="3" t="s">
        <v>52</v>
      </c>
      <c r="C42" s="3">
        <v>1</v>
      </c>
      <c r="D42" s="3">
        <v>102</v>
      </c>
      <c r="E42" s="15">
        <v>0.85</v>
      </c>
      <c r="F42" s="8">
        <v>100687.5</v>
      </c>
      <c r="G42" s="8">
        <v>174965.83519607841</v>
      </c>
    </row>
    <row r="43" spans="2:7" x14ac:dyDescent="0.35">
      <c r="B43" s="3" t="s">
        <v>827</v>
      </c>
      <c r="C43" s="3"/>
      <c r="D43" s="3">
        <v>120</v>
      </c>
      <c r="E43" s="15">
        <v>1</v>
      </c>
      <c r="F43" s="8">
        <v>100687.5</v>
      </c>
      <c r="G43" s="8">
        <v>175357.47449999995</v>
      </c>
    </row>
    <row r="44" spans="2:7" x14ac:dyDescent="0.35">
      <c r="B44" s="3" t="s">
        <v>96</v>
      </c>
      <c r="C44" s="3"/>
      <c r="D44" s="3">
        <v>500</v>
      </c>
      <c r="E44" s="15"/>
      <c r="F44" s="8">
        <v>37615</v>
      </c>
      <c r="G44" s="8">
        <v>182840.57150000011</v>
      </c>
    </row>
  </sheetData>
  <mergeCells count="1">
    <mergeCell ref="B2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18CD-AC61-491C-9C39-D3C8E83DA358}">
  <dimension ref="A1:X25"/>
  <sheetViews>
    <sheetView topLeftCell="A16" zoomScale="40" zoomScaleNormal="40" workbookViewId="0">
      <selection activeCell="A21" sqref="A21"/>
    </sheetView>
  </sheetViews>
  <sheetFormatPr defaultRowHeight="14.5" x14ac:dyDescent="0.35"/>
  <cols>
    <col min="1" max="1" width="18.26953125" bestFit="1" customWidth="1"/>
    <col min="2" max="3" width="26.7265625" bestFit="1" customWidth="1"/>
    <col min="4" max="5" width="26.26953125" bestFit="1" customWidth="1"/>
    <col min="6" max="21" width="26.7265625" bestFit="1" customWidth="1"/>
    <col min="22" max="22" width="27.6328125" bestFit="1" customWidth="1"/>
    <col min="23" max="23" width="33.26953125" bestFit="1" customWidth="1"/>
    <col min="24" max="25" width="34.1796875" bestFit="1" customWidth="1"/>
  </cols>
  <sheetData>
    <row r="1" spans="1:24" ht="14.5" customHeight="1" x14ac:dyDescent="0.35">
      <c r="A1" s="56" t="s">
        <v>375</v>
      </c>
      <c r="B1" s="56"/>
      <c r="C1" s="56"/>
      <c r="D1" s="56"/>
      <c r="E1" s="56"/>
      <c r="F1" s="56"/>
    </row>
    <row r="2" spans="1:24" ht="14.5" customHeight="1" x14ac:dyDescent="0.35">
      <c r="A2" s="56"/>
      <c r="B2" s="56"/>
      <c r="C2" s="56"/>
      <c r="D2" s="56"/>
      <c r="E2" s="56"/>
      <c r="F2" s="56"/>
    </row>
    <row r="3" spans="1:24" ht="14.5" customHeight="1" x14ac:dyDescent="0.35">
      <c r="A3" s="56"/>
      <c r="B3" s="56"/>
      <c r="C3" s="56"/>
      <c r="D3" s="56"/>
      <c r="E3" s="56"/>
      <c r="F3" s="56"/>
    </row>
    <row r="4" spans="1:24" x14ac:dyDescent="0.35">
      <c r="A4" s="2"/>
    </row>
    <row r="5" spans="1:24" x14ac:dyDescent="0.35">
      <c r="A5" t="s">
        <v>46</v>
      </c>
      <c r="B5" t="s">
        <v>182</v>
      </c>
      <c r="C5" t="s">
        <v>183</v>
      </c>
      <c r="D5" t="s">
        <v>184</v>
      </c>
      <c r="E5" t="s">
        <v>185</v>
      </c>
      <c r="F5" t="s">
        <v>186</v>
      </c>
      <c r="G5" t="s">
        <v>187</v>
      </c>
      <c r="H5" t="s">
        <v>188</v>
      </c>
      <c r="I5" t="s">
        <v>189</v>
      </c>
      <c r="J5" t="s">
        <v>190</v>
      </c>
      <c r="K5" t="s">
        <v>191</v>
      </c>
      <c r="L5" t="s">
        <v>192</v>
      </c>
      <c r="M5" t="s">
        <v>193</v>
      </c>
      <c r="N5" t="s">
        <v>194</v>
      </c>
      <c r="O5" t="s">
        <v>195</v>
      </c>
      <c r="P5" t="s">
        <v>196</v>
      </c>
      <c r="Q5" t="s">
        <v>197</v>
      </c>
      <c r="R5" t="s">
        <v>198</v>
      </c>
      <c r="S5" t="s">
        <v>199</v>
      </c>
      <c r="T5" t="s">
        <v>200</v>
      </c>
      <c r="U5" t="s">
        <v>201</v>
      </c>
      <c r="V5" t="s">
        <v>202</v>
      </c>
    </row>
    <row r="6" spans="1:24" x14ac:dyDescent="0.35">
      <c r="A6" t="s">
        <v>57</v>
      </c>
      <c r="B6">
        <v>101552.46</v>
      </c>
      <c r="C6">
        <v>114647.6485</v>
      </c>
      <c r="D6">
        <v>118167.008</v>
      </c>
      <c r="E6">
        <v>123559.05899999999</v>
      </c>
      <c r="F6">
        <v>128796.368</v>
      </c>
      <c r="G6">
        <v>130000</v>
      </c>
      <c r="H6">
        <v>135819.11300000001</v>
      </c>
      <c r="I6">
        <v>145008.255</v>
      </c>
      <c r="J6">
        <v>146226.546</v>
      </c>
      <c r="K6">
        <v>148171.67300000001</v>
      </c>
      <c r="L6">
        <v>156533.16500000001</v>
      </c>
      <c r="M6">
        <v>167340.8915</v>
      </c>
      <c r="N6">
        <v>179808.78</v>
      </c>
      <c r="O6">
        <v>187222.14799999999</v>
      </c>
      <c r="P6">
        <v>206328.26500000001</v>
      </c>
      <c r="Q6">
        <v>220390.6225</v>
      </c>
      <c r="R6">
        <v>239280.00000000009</v>
      </c>
      <c r="S6">
        <v>298738.61</v>
      </c>
      <c r="T6">
        <v>365407.64500000002</v>
      </c>
      <c r="U6">
        <v>399465.49400000001</v>
      </c>
      <c r="V6">
        <v>515709.15</v>
      </c>
    </row>
    <row r="7" spans="1:24" x14ac:dyDescent="0.35">
      <c r="A7" t="s">
        <v>96</v>
      </c>
      <c r="B7">
        <v>101552.46</v>
      </c>
      <c r="C7">
        <v>114647.6485</v>
      </c>
      <c r="D7">
        <v>118167.008</v>
      </c>
      <c r="E7">
        <v>123559.05899999999</v>
      </c>
      <c r="F7">
        <v>128796.368</v>
      </c>
      <c r="G7">
        <v>130000</v>
      </c>
      <c r="H7">
        <v>135819.11300000001</v>
      </c>
      <c r="I7">
        <v>145008.255</v>
      </c>
      <c r="J7">
        <v>146226.546</v>
      </c>
      <c r="K7">
        <v>148171.67300000001</v>
      </c>
      <c r="L7">
        <v>156533.16500000001</v>
      </c>
      <c r="M7">
        <v>167340.8915</v>
      </c>
      <c r="N7">
        <v>179808.78</v>
      </c>
      <c r="O7">
        <v>187222.14799999999</v>
      </c>
      <c r="P7">
        <v>206328.26500000001</v>
      </c>
      <c r="Q7">
        <v>220390.6225</v>
      </c>
      <c r="R7">
        <v>239280.00000000009</v>
      </c>
      <c r="S7">
        <v>298738.61</v>
      </c>
      <c r="T7">
        <v>365407.64500000002</v>
      </c>
      <c r="U7">
        <v>399465.49400000001</v>
      </c>
      <c r="V7">
        <v>515709.15</v>
      </c>
    </row>
    <row r="10" spans="1:24" x14ac:dyDescent="0.35">
      <c r="A10" t="s">
        <v>46</v>
      </c>
      <c r="B10" t="s">
        <v>36</v>
      </c>
      <c r="C10" t="s">
        <v>232</v>
      </c>
      <c r="D10" t="s">
        <v>204</v>
      </c>
      <c r="E10" t="s">
        <v>203</v>
      </c>
      <c r="F10" t="s">
        <v>205</v>
      </c>
      <c r="G10" t="s">
        <v>206</v>
      </c>
      <c r="H10" t="s">
        <v>207</v>
      </c>
      <c r="I10" t="s">
        <v>208</v>
      </c>
      <c r="J10" t="s">
        <v>209</v>
      </c>
      <c r="K10" t="s">
        <v>210</v>
      </c>
      <c r="L10" t="s">
        <v>211</v>
      </c>
      <c r="M10" t="s">
        <v>212</v>
      </c>
      <c r="N10" t="s">
        <v>213</v>
      </c>
      <c r="O10" t="s">
        <v>214</v>
      </c>
      <c r="P10" t="s">
        <v>215</v>
      </c>
      <c r="Q10" t="s">
        <v>216</v>
      </c>
      <c r="R10" t="s">
        <v>217</v>
      </c>
      <c r="S10" t="s">
        <v>218</v>
      </c>
      <c r="T10" t="s">
        <v>219</v>
      </c>
      <c r="U10" t="s">
        <v>220</v>
      </c>
      <c r="V10" t="s">
        <v>221</v>
      </c>
      <c r="W10" t="s">
        <v>222</v>
      </c>
      <c r="X10" t="s">
        <v>223</v>
      </c>
    </row>
    <row r="11" spans="1:24" x14ac:dyDescent="0.35">
      <c r="A11" t="s">
        <v>57</v>
      </c>
      <c r="B11">
        <v>0</v>
      </c>
      <c r="C11">
        <v>64</v>
      </c>
      <c r="D11">
        <v>64</v>
      </c>
      <c r="E11">
        <v>60</v>
      </c>
      <c r="F11">
        <v>57</v>
      </c>
      <c r="G11">
        <v>54</v>
      </c>
      <c r="H11">
        <v>51</v>
      </c>
      <c r="I11">
        <v>49</v>
      </c>
      <c r="J11">
        <v>45</v>
      </c>
      <c r="K11">
        <v>41</v>
      </c>
      <c r="L11">
        <v>38</v>
      </c>
      <c r="M11">
        <v>35</v>
      </c>
      <c r="N11">
        <v>32</v>
      </c>
      <c r="O11">
        <v>29</v>
      </c>
      <c r="P11">
        <v>26</v>
      </c>
      <c r="Q11">
        <v>23</v>
      </c>
      <c r="R11">
        <v>19</v>
      </c>
      <c r="S11">
        <v>16</v>
      </c>
      <c r="T11">
        <v>13</v>
      </c>
      <c r="U11">
        <v>10</v>
      </c>
      <c r="V11">
        <v>7</v>
      </c>
      <c r="W11">
        <v>4</v>
      </c>
      <c r="X11">
        <v>1</v>
      </c>
    </row>
    <row r="12" spans="1:24" x14ac:dyDescent="0.35">
      <c r="A12" t="s">
        <v>57</v>
      </c>
      <c r="B12">
        <v>1</v>
      </c>
      <c r="C12">
        <v>115</v>
      </c>
      <c r="D12">
        <v>114</v>
      </c>
      <c r="E12">
        <v>95</v>
      </c>
      <c r="F12">
        <v>92</v>
      </c>
      <c r="G12">
        <v>86</v>
      </c>
      <c r="H12">
        <v>84</v>
      </c>
      <c r="I12">
        <v>84</v>
      </c>
      <c r="J12">
        <v>78</v>
      </c>
      <c r="K12">
        <v>70</v>
      </c>
      <c r="L12">
        <v>69</v>
      </c>
      <c r="M12">
        <v>68</v>
      </c>
      <c r="N12">
        <v>62</v>
      </c>
      <c r="O12">
        <v>57</v>
      </c>
      <c r="P12">
        <v>48</v>
      </c>
      <c r="Q12">
        <v>46</v>
      </c>
      <c r="R12">
        <v>34</v>
      </c>
      <c r="S12">
        <v>30</v>
      </c>
      <c r="T12">
        <v>29</v>
      </c>
      <c r="U12">
        <v>22</v>
      </c>
      <c r="V12">
        <v>15</v>
      </c>
      <c r="W12">
        <v>11</v>
      </c>
      <c r="X12">
        <v>2</v>
      </c>
    </row>
    <row r="13" spans="1:24" x14ac:dyDescent="0.35">
      <c r="A13" t="s">
        <v>96</v>
      </c>
      <c r="C13">
        <v>179</v>
      </c>
      <c r="D13">
        <v>178</v>
      </c>
      <c r="E13">
        <v>155</v>
      </c>
      <c r="F13">
        <v>149</v>
      </c>
      <c r="G13">
        <v>140</v>
      </c>
      <c r="H13">
        <v>135</v>
      </c>
      <c r="I13">
        <v>133</v>
      </c>
      <c r="J13">
        <v>123</v>
      </c>
      <c r="K13">
        <v>111</v>
      </c>
      <c r="L13">
        <v>107</v>
      </c>
      <c r="M13">
        <v>103</v>
      </c>
      <c r="N13">
        <v>94</v>
      </c>
      <c r="O13">
        <v>86</v>
      </c>
      <c r="P13">
        <v>74</v>
      </c>
      <c r="Q13">
        <v>69</v>
      </c>
      <c r="R13">
        <v>53</v>
      </c>
      <c r="S13">
        <v>46</v>
      </c>
      <c r="T13">
        <v>42</v>
      </c>
      <c r="U13">
        <v>32</v>
      </c>
      <c r="V13">
        <v>22</v>
      </c>
      <c r="W13">
        <v>15</v>
      </c>
      <c r="X13">
        <v>3</v>
      </c>
    </row>
    <row r="16" spans="1:24" x14ac:dyDescent="0.35">
      <c r="G16" t="s">
        <v>225</v>
      </c>
    </row>
    <row r="17" spans="1:23" x14ac:dyDescent="0.35">
      <c r="A17" s="9" t="s">
        <v>125</v>
      </c>
      <c r="B17" s="9" t="s">
        <v>233</v>
      </c>
      <c r="C17" s="9" t="s">
        <v>103</v>
      </c>
      <c r="D17" s="9" t="s">
        <v>104</v>
      </c>
      <c r="E17" s="9" t="s">
        <v>105</v>
      </c>
      <c r="F17" s="9" t="s">
        <v>106</v>
      </c>
      <c r="G17" s="9" t="s">
        <v>107</v>
      </c>
      <c r="H17" s="9" t="s">
        <v>108</v>
      </c>
      <c r="I17" s="9" t="s">
        <v>109</v>
      </c>
      <c r="J17" s="9" t="s">
        <v>110</v>
      </c>
      <c r="K17" s="9" t="s">
        <v>111</v>
      </c>
      <c r="L17" s="9" t="s">
        <v>112</v>
      </c>
      <c r="M17" s="9" t="s">
        <v>113</v>
      </c>
      <c r="N17" s="9" t="s">
        <v>114</v>
      </c>
      <c r="O17" s="9" t="s">
        <v>115</v>
      </c>
      <c r="P17" s="9" t="s">
        <v>116</v>
      </c>
      <c r="Q17" s="9" t="s">
        <v>117</v>
      </c>
      <c r="R17" s="9" t="s">
        <v>118</v>
      </c>
      <c r="S17" s="9" t="s">
        <v>119</v>
      </c>
      <c r="T17" s="9" t="s">
        <v>120</v>
      </c>
      <c r="U17" s="9" t="s">
        <v>121</v>
      </c>
      <c r="V17" s="9" t="s">
        <v>122</v>
      </c>
      <c r="W17" s="9" t="s">
        <v>123</v>
      </c>
    </row>
    <row r="18" spans="1:23" x14ac:dyDescent="0.35">
      <c r="A18" s="9" t="s">
        <v>828</v>
      </c>
      <c r="B18" s="3">
        <f>C11</f>
        <v>64</v>
      </c>
      <c r="C18" s="3">
        <f t="shared" ref="C18:W18" si="0">D11</f>
        <v>64</v>
      </c>
      <c r="D18" s="3">
        <f t="shared" si="0"/>
        <v>60</v>
      </c>
      <c r="E18" s="3">
        <f t="shared" si="0"/>
        <v>57</v>
      </c>
      <c r="F18" s="3">
        <f t="shared" si="0"/>
        <v>54</v>
      </c>
      <c r="G18" s="3">
        <f t="shared" si="0"/>
        <v>51</v>
      </c>
      <c r="H18" s="3">
        <f t="shared" si="0"/>
        <v>49</v>
      </c>
      <c r="I18" s="3">
        <f t="shared" si="0"/>
        <v>45</v>
      </c>
      <c r="J18" s="3">
        <f t="shared" si="0"/>
        <v>41</v>
      </c>
      <c r="K18" s="3">
        <f t="shared" si="0"/>
        <v>38</v>
      </c>
      <c r="L18" s="3">
        <f t="shared" si="0"/>
        <v>35</v>
      </c>
      <c r="M18" s="3">
        <f t="shared" si="0"/>
        <v>32</v>
      </c>
      <c r="N18" s="3">
        <f t="shared" si="0"/>
        <v>29</v>
      </c>
      <c r="O18" s="3">
        <f t="shared" si="0"/>
        <v>26</v>
      </c>
      <c r="P18" s="3">
        <f t="shared" si="0"/>
        <v>23</v>
      </c>
      <c r="Q18" s="3">
        <f t="shared" si="0"/>
        <v>19</v>
      </c>
      <c r="R18" s="3">
        <f t="shared" si="0"/>
        <v>16</v>
      </c>
      <c r="S18" s="3">
        <f t="shared" si="0"/>
        <v>13</v>
      </c>
      <c r="T18" s="3">
        <f t="shared" si="0"/>
        <v>10</v>
      </c>
      <c r="U18" s="3">
        <f t="shared" si="0"/>
        <v>7</v>
      </c>
      <c r="V18" s="3">
        <f t="shared" si="0"/>
        <v>4</v>
      </c>
      <c r="W18" s="3">
        <f t="shared" si="0"/>
        <v>1</v>
      </c>
    </row>
    <row r="19" spans="1:23" x14ac:dyDescent="0.35">
      <c r="A19" s="9" t="s">
        <v>224</v>
      </c>
      <c r="B19" s="3">
        <f>C12</f>
        <v>115</v>
      </c>
      <c r="C19" s="3">
        <f t="shared" ref="C19:W19" si="1">D12</f>
        <v>114</v>
      </c>
      <c r="D19" s="3">
        <f t="shared" si="1"/>
        <v>95</v>
      </c>
      <c r="E19" s="3">
        <f t="shared" si="1"/>
        <v>92</v>
      </c>
      <c r="F19" s="3">
        <f t="shared" si="1"/>
        <v>86</v>
      </c>
      <c r="G19" s="3">
        <f t="shared" si="1"/>
        <v>84</v>
      </c>
      <c r="H19" s="3">
        <f t="shared" si="1"/>
        <v>84</v>
      </c>
      <c r="I19" s="3">
        <f t="shared" si="1"/>
        <v>78</v>
      </c>
      <c r="J19" s="3">
        <f t="shared" si="1"/>
        <v>70</v>
      </c>
      <c r="K19" s="3">
        <f t="shared" si="1"/>
        <v>69</v>
      </c>
      <c r="L19" s="3">
        <f t="shared" si="1"/>
        <v>68</v>
      </c>
      <c r="M19" s="3">
        <f t="shared" si="1"/>
        <v>62</v>
      </c>
      <c r="N19" s="3">
        <f t="shared" si="1"/>
        <v>57</v>
      </c>
      <c r="O19" s="3">
        <f t="shared" si="1"/>
        <v>48</v>
      </c>
      <c r="P19" s="3">
        <f t="shared" si="1"/>
        <v>46</v>
      </c>
      <c r="Q19" s="3">
        <f t="shared" si="1"/>
        <v>34</v>
      </c>
      <c r="R19" s="3">
        <f t="shared" si="1"/>
        <v>30</v>
      </c>
      <c r="S19" s="3">
        <f t="shared" si="1"/>
        <v>29</v>
      </c>
      <c r="T19" s="3">
        <f t="shared" si="1"/>
        <v>22</v>
      </c>
      <c r="U19" s="3">
        <f t="shared" si="1"/>
        <v>15</v>
      </c>
      <c r="V19" s="3">
        <f t="shared" si="1"/>
        <v>11</v>
      </c>
      <c r="W19" s="3">
        <f t="shared" si="1"/>
        <v>2</v>
      </c>
    </row>
    <row r="20" spans="1:23" x14ac:dyDescent="0.35">
      <c r="A20" s="9" t="s">
        <v>829</v>
      </c>
      <c r="B20" s="3">
        <f t="shared" ref="B20" si="2">SUM(B18:B19)</f>
        <v>179</v>
      </c>
      <c r="C20" s="3">
        <f t="shared" ref="C20:W20" si="3">SUM(C18:C19)</f>
        <v>178</v>
      </c>
      <c r="D20" s="3">
        <f t="shared" si="3"/>
        <v>155</v>
      </c>
      <c r="E20" s="3">
        <f t="shared" si="3"/>
        <v>149</v>
      </c>
      <c r="F20" s="3">
        <f t="shared" si="3"/>
        <v>140</v>
      </c>
      <c r="G20" s="3">
        <f t="shared" si="3"/>
        <v>135</v>
      </c>
      <c r="H20" s="3">
        <f t="shared" si="3"/>
        <v>133</v>
      </c>
      <c r="I20" s="3">
        <f t="shared" si="3"/>
        <v>123</v>
      </c>
      <c r="J20" s="3">
        <f t="shared" si="3"/>
        <v>111</v>
      </c>
      <c r="K20" s="3">
        <f t="shared" si="3"/>
        <v>107</v>
      </c>
      <c r="L20" s="3">
        <f t="shared" si="3"/>
        <v>103</v>
      </c>
      <c r="M20" s="3">
        <f t="shared" si="3"/>
        <v>94</v>
      </c>
      <c r="N20" s="3">
        <f t="shared" si="3"/>
        <v>86</v>
      </c>
      <c r="O20" s="3">
        <f t="shared" si="3"/>
        <v>74</v>
      </c>
      <c r="P20" s="3">
        <f t="shared" si="3"/>
        <v>69</v>
      </c>
      <c r="Q20" s="3">
        <f t="shared" si="3"/>
        <v>53</v>
      </c>
      <c r="R20" s="3">
        <f t="shared" si="3"/>
        <v>46</v>
      </c>
      <c r="S20" s="3">
        <f t="shared" si="3"/>
        <v>42</v>
      </c>
      <c r="T20" s="3">
        <f t="shared" si="3"/>
        <v>32</v>
      </c>
      <c r="U20" s="3">
        <f t="shared" si="3"/>
        <v>22</v>
      </c>
      <c r="V20" s="3">
        <f t="shared" si="3"/>
        <v>15</v>
      </c>
      <c r="W20" s="3">
        <f t="shared" si="3"/>
        <v>3</v>
      </c>
    </row>
    <row r="21" spans="1:23" x14ac:dyDescent="0.35">
      <c r="A21" s="9" t="s">
        <v>230</v>
      </c>
      <c r="B21" s="4">
        <f>B19/$B$19</f>
        <v>1</v>
      </c>
      <c r="C21" s="4">
        <f t="shared" ref="C21:W21" si="4">C19/$B$19</f>
        <v>0.99130434782608701</v>
      </c>
      <c r="D21" s="4">
        <f t="shared" si="4"/>
        <v>0.82608695652173914</v>
      </c>
      <c r="E21" s="4">
        <f t="shared" si="4"/>
        <v>0.8</v>
      </c>
      <c r="F21" s="4">
        <f t="shared" si="4"/>
        <v>0.74782608695652175</v>
      </c>
      <c r="G21" s="4">
        <f t="shared" si="4"/>
        <v>0.73043478260869565</v>
      </c>
      <c r="H21" s="4">
        <f t="shared" si="4"/>
        <v>0.73043478260869565</v>
      </c>
      <c r="I21" s="4">
        <f t="shared" si="4"/>
        <v>0.67826086956521736</v>
      </c>
      <c r="J21" s="4">
        <f t="shared" si="4"/>
        <v>0.60869565217391308</v>
      </c>
      <c r="K21" s="4">
        <f t="shared" si="4"/>
        <v>0.6</v>
      </c>
      <c r="L21" s="4">
        <f t="shared" si="4"/>
        <v>0.59130434782608698</v>
      </c>
      <c r="M21" s="4">
        <f t="shared" si="4"/>
        <v>0.53913043478260869</v>
      </c>
      <c r="N21" s="4">
        <f t="shared" si="4"/>
        <v>0.4956521739130435</v>
      </c>
      <c r="O21" s="4">
        <f t="shared" si="4"/>
        <v>0.41739130434782606</v>
      </c>
      <c r="P21" s="4">
        <f t="shared" si="4"/>
        <v>0.4</v>
      </c>
      <c r="Q21" s="4">
        <f t="shared" si="4"/>
        <v>0.29565217391304349</v>
      </c>
      <c r="R21" s="4">
        <f t="shared" si="4"/>
        <v>0.2608695652173913</v>
      </c>
      <c r="S21" s="4">
        <f t="shared" si="4"/>
        <v>0.25217391304347825</v>
      </c>
      <c r="T21" s="4">
        <f t="shared" si="4"/>
        <v>0.19130434782608696</v>
      </c>
      <c r="U21" s="4">
        <f t="shared" si="4"/>
        <v>0.13043478260869565</v>
      </c>
      <c r="V21" s="4">
        <f t="shared" si="4"/>
        <v>9.5652173913043481E-2</v>
      </c>
      <c r="W21" s="4">
        <f t="shared" si="4"/>
        <v>1.7391304347826087E-2</v>
      </c>
    </row>
    <row r="22" spans="1:23" x14ac:dyDescent="0.35">
      <c r="A22" s="9" t="s">
        <v>830</v>
      </c>
      <c r="B22" s="4">
        <f t="shared" ref="B22:W22" si="5">B18/B20</f>
        <v>0.35754189944134079</v>
      </c>
      <c r="C22" s="4">
        <f t="shared" si="5"/>
        <v>0.3595505617977528</v>
      </c>
      <c r="D22" s="4">
        <f t="shared" si="5"/>
        <v>0.38709677419354838</v>
      </c>
      <c r="E22" s="4">
        <f t="shared" si="5"/>
        <v>0.3825503355704698</v>
      </c>
      <c r="F22" s="4">
        <f t="shared" si="5"/>
        <v>0.38571428571428573</v>
      </c>
      <c r="G22" s="4">
        <f t="shared" si="5"/>
        <v>0.37777777777777777</v>
      </c>
      <c r="H22" s="4">
        <f t="shared" si="5"/>
        <v>0.36842105263157893</v>
      </c>
      <c r="I22" s="4">
        <f t="shared" si="5"/>
        <v>0.36585365853658536</v>
      </c>
      <c r="J22" s="4">
        <f t="shared" si="5"/>
        <v>0.36936936936936937</v>
      </c>
      <c r="K22" s="4">
        <f t="shared" si="5"/>
        <v>0.35514018691588783</v>
      </c>
      <c r="L22" s="4">
        <f t="shared" si="5"/>
        <v>0.33980582524271846</v>
      </c>
      <c r="M22" s="4">
        <f t="shared" si="5"/>
        <v>0.34042553191489361</v>
      </c>
      <c r="N22" s="4">
        <f t="shared" si="5"/>
        <v>0.33720930232558138</v>
      </c>
      <c r="O22" s="4">
        <f t="shared" si="5"/>
        <v>0.35135135135135137</v>
      </c>
      <c r="P22" s="4">
        <f t="shared" si="5"/>
        <v>0.33333333333333331</v>
      </c>
      <c r="Q22" s="4">
        <f t="shared" si="5"/>
        <v>0.35849056603773582</v>
      </c>
      <c r="R22" s="4">
        <f t="shared" si="5"/>
        <v>0.34782608695652173</v>
      </c>
      <c r="S22" s="4">
        <f t="shared" si="5"/>
        <v>0.30952380952380953</v>
      </c>
      <c r="T22" s="4">
        <f t="shared" si="5"/>
        <v>0.3125</v>
      </c>
      <c r="U22" s="4">
        <f t="shared" si="5"/>
        <v>0.31818181818181818</v>
      </c>
      <c r="V22" s="4">
        <f t="shared" si="5"/>
        <v>0.26666666666666666</v>
      </c>
      <c r="W22" s="4">
        <f t="shared" si="5"/>
        <v>0.33333333333333331</v>
      </c>
    </row>
    <row r="23" spans="1:23" x14ac:dyDescent="0.35">
      <c r="A23" s="9" t="s">
        <v>831</v>
      </c>
      <c r="B23" s="9"/>
      <c r="C23" s="8">
        <f>B7</f>
        <v>101552.46</v>
      </c>
      <c r="D23" s="8">
        <f t="shared" ref="D23:W23" si="6">C7</f>
        <v>114647.6485</v>
      </c>
      <c r="E23" s="8">
        <f t="shared" si="6"/>
        <v>118167.008</v>
      </c>
      <c r="F23" s="8">
        <f t="shared" si="6"/>
        <v>123559.05899999999</v>
      </c>
      <c r="G23" s="8">
        <f t="shared" si="6"/>
        <v>128796.368</v>
      </c>
      <c r="H23" s="8">
        <f t="shared" si="6"/>
        <v>130000</v>
      </c>
      <c r="I23" s="8">
        <f t="shared" si="6"/>
        <v>135819.11300000001</v>
      </c>
      <c r="J23" s="8">
        <f t="shared" si="6"/>
        <v>145008.255</v>
      </c>
      <c r="K23" s="8">
        <f t="shared" si="6"/>
        <v>146226.546</v>
      </c>
      <c r="L23" s="8">
        <f t="shared" si="6"/>
        <v>148171.67300000001</v>
      </c>
      <c r="M23" s="8">
        <f t="shared" si="6"/>
        <v>156533.16500000001</v>
      </c>
      <c r="N23" s="8">
        <f t="shared" si="6"/>
        <v>167340.8915</v>
      </c>
      <c r="O23" s="8">
        <f t="shared" si="6"/>
        <v>179808.78</v>
      </c>
      <c r="P23" s="8">
        <f t="shared" si="6"/>
        <v>187222.14799999999</v>
      </c>
      <c r="Q23" s="8">
        <f t="shared" si="6"/>
        <v>206328.26500000001</v>
      </c>
      <c r="R23" s="8">
        <f t="shared" si="6"/>
        <v>220390.6225</v>
      </c>
      <c r="S23" s="8">
        <f t="shared" si="6"/>
        <v>239280.00000000009</v>
      </c>
      <c r="T23" s="8">
        <f t="shared" si="6"/>
        <v>298738.61</v>
      </c>
      <c r="U23" s="8">
        <f t="shared" si="6"/>
        <v>365407.64500000002</v>
      </c>
      <c r="V23" s="8">
        <f t="shared" si="6"/>
        <v>399465.49400000001</v>
      </c>
      <c r="W23" s="8">
        <f t="shared" si="6"/>
        <v>515709.15</v>
      </c>
    </row>
    <row r="24" spans="1:23" x14ac:dyDescent="0.35">
      <c r="A24" s="9" t="s">
        <v>832</v>
      </c>
      <c r="B24" s="20">
        <f>$B$18-B18</f>
        <v>0</v>
      </c>
      <c r="C24" s="20">
        <f t="shared" ref="C24:W24" si="7">$B$18-C18</f>
        <v>0</v>
      </c>
      <c r="D24" s="20">
        <f t="shared" si="7"/>
        <v>4</v>
      </c>
      <c r="E24" s="20">
        <f t="shared" si="7"/>
        <v>7</v>
      </c>
      <c r="F24" s="20">
        <f t="shared" si="7"/>
        <v>10</v>
      </c>
      <c r="G24" s="20">
        <f t="shared" si="7"/>
        <v>13</v>
      </c>
      <c r="H24" s="20">
        <f t="shared" si="7"/>
        <v>15</v>
      </c>
      <c r="I24" s="20">
        <f t="shared" si="7"/>
        <v>19</v>
      </c>
      <c r="J24" s="20">
        <f t="shared" si="7"/>
        <v>23</v>
      </c>
      <c r="K24" s="20">
        <f t="shared" si="7"/>
        <v>26</v>
      </c>
      <c r="L24" s="20">
        <f t="shared" si="7"/>
        <v>29</v>
      </c>
      <c r="M24" s="20">
        <f t="shared" si="7"/>
        <v>32</v>
      </c>
      <c r="N24" s="20">
        <f t="shared" si="7"/>
        <v>35</v>
      </c>
      <c r="O24" s="20">
        <f t="shared" si="7"/>
        <v>38</v>
      </c>
      <c r="P24" s="20">
        <f t="shared" si="7"/>
        <v>41</v>
      </c>
      <c r="Q24" s="20">
        <f t="shared" si="7"/>
        <v>45</v>
      </c>
      <c r="R24" s="20">
        <f t="shared" si="7"/>
        <v>48</v>
      </c>
      <c r="S24" s="20">
        <f t="shared" si="7"/>
        <v>51</v>
      </c>
      <c r="T24" s="20">
        <f t="shared" si="7"/>
        <v>54</v>
      </c>
      <c r="U24" s="20">
        <f t="shared" si="7"/>
        <v>57</v>
      </c>
      <c r="V24" s="20">
        <f t="shared" si="7"/>
        <v>60</v>
      </c>
      <c r="W24" s="20">
        <f t="shared" si="7"/>
        <v>63</v>
      </c>
    </row>
    <row r="25" spans="1:23" x14ac:dyDescent="0.35">
      <c r="A25" s="9" t="s">
        <v>245</v>
      </c>
      <c r="B25" s="20">
        <f>$B$19-B19</f>
        <v>0</v>
      </c>
      <c r="C25" s="20">
        <f t="shared" ref="C25:W25" si="8">$B$19-C19</f>
        <v>1</v>
      </c>
      <c r="D25" s="20">
        <f t="shared" si="8"/>
        <v>20</v>
      </c>
      <c r="E25" s="20">
        <f t="shared" si="8"/>
        <v>23</v>
      </c>
      <c r="F25" s="20">
        <f t="shared" si="8"/>
        <v>29</v>
      </c>
      <c r="G25" s="20">
        <f t="shared" si="8"/>
        <v>31</v>
      </c>
      <c r="H25" s="20">
        <f t="shared" si="8"/>
        <v>31</v>
      </c>
      <c r="I25" s="20">
        <f t="shared" si="8"/>
        <v>37</v>
      </c>
      <c r="J25" s="20">
        <f t="shared" si="8"/>
        <v>45</v>
      </c>
      <c r="K25" s="20">
        <f t="shared" si="8"/>
        <v>46</v>
      </c>
      <c r="L25" s="20">
        <f t="shared" si="8"/>
        <v>47</v>
      </c>
      <c r="M25" s="20">
        <f t="shared" si="8"/>
        <v>53</v>
      </c>
      <c r="N25" s="20">
        <f t="shared" si="8"/>
        <v>58</v>
      </c>
      <c r="O25" s="20">
        <f t="shared" si="8"/>
        <v>67</v>
      </c>
      <c r="P25" s="20">
        <f t="shared" si="8"/>
        <v>69</v>
      </c>
      <c r="Q25" s="20">
        <f t="shared" si="8"/>
        <v>81</v>
      </c>
      <c r="R25" s="20">
        <f t="shared" si="8"/>
        <v>85</v>
      </c>
      <c r="S25" s="20">
        <f t="shared" si="8"/>
        <v>86</v>
      </c>
      <c r="T25" s="20">
        <f t="shared" si="8"/>
        <v>93</v>
      </c>
      <c r="U25" s="20">
        <f t="shared" si="8"/>
        <v>100</v>
      </c>
      <c r="V25" s="20">
        <f t="shared" si="8"/>
        <v>104</v>
      </c>
      <c r="W25" s="20">
        <f t="shared" si="8"/>
        <v>113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B81B-B508-4EBD-AD35-46794508C88B}">
  <sheetPr>
    <tabColor rgb="FFFF0000"/>
  </sheetPr>
  <dimension ref="A1:Y25"/>
  <sheetViews>
    <sheetView zoomScale="40" zoomScaleNormal="40" workbookViewId="0">
      <selection activeCell="I34" sqref="I34"/>
    </sheetView>
  </sheetViews>
  <sheetFormatPr defaultRowHeight="14.5" x14ac:dyDescent="0.35"/>
  <cols>
    <col min="1" max="1" width="34" bestFit="1" customWidth="1"/>
    <col min="2" max="2" width="18.6328125" bestFit="1" customWidth="1"/>
    <col min="3" max="3" width="19.453125" bestFit="1" customWidth="1"/>
    <col min="4" max="4" width="25.36328125" bestFit="1" customWidth="1"/>
    <col min="5" max="6" width="33.26953125" bestFit="1" customWidth="1"/>
    <col min="7" max="8" width="32.81640625" bestFit="1" customWidth="1"/>
    <col min="9" max="24" width="33.26953125" bestFit="1" customWidth="1"/>
    <col min="25" max="25" width="34.1796875" bestFit="1" customWidth="1"/>
  </cols>
  <sheetData>
    <row r="1" spans="1:25" x14ac:dyDescent="0.35">
      <c r="A1" s="56" t="s">
        <v>101</v>
      </c>
      <c r="B1" s="56"/>
      <c r="C1" s="56"/>
      <c r="D1" s="56"/>
      <c r="E1" s="56"/>
      <c r="F1" s="56"/>
    </row>
    <row r="2" spans="1:25" x14ac:dyDescent="0.35">
      <c r="A2" s="56"/>
      <c r="B2" s="56"/>
      <c r="C2" s="56"/>
      <c r="D2" s="56"/>
      <c r="E2" s="56"/>
      <c r="F2" s="56"/>
    </row>
    <row r="3" spans="1:25" x14ac:dyDescent="0.35">
      <c r="A3" s="56"/>
      <c r="B3" s="56"/>
      <c r="C3" s="56"/>
      <c r="D3" s="56"/>
      <c r="E3" s="56"/>
      <c r="F3" s="56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182</v>
      </c>
      <c r="D5" t="s">
        <v>183</v>
      </c>
      <c r="E5" t="s">
        <v>184</v>
      </c>
      <c r="F5" t="s">
        <v>185</v>
      </c>
      <c r="G5" t="s">
        <v>186</v>
      </c>
      <c r="H5" t="s">
        <v>187</v>
      </c>
      <c r="I5" t="s">
        <v>188</v>
      </c>
      <c r="J5" t="s">
        <v>189</v>
      </c>
      <c r="K5" t="s">
        <v>190</v>
      </c>
      <c r="L5" t="s">
        <v>191</v>
      </c>
      <c r="M5" t="s">
        <v>192</v>
      </c>
      <c r="N5" t="s">
        <v>193</v>
      </c>
      <c r="O5" t="s">
        <v>194</v>
      </c>
      <c r="P5" t="s">
        <v>195</v>
      </c>
      <c r="Q5" t="s">
        <v>196</v>
      </c>
      <c r="R5" t="s">
        <v>197</v>
      </c>
      <c r="S5" t="s">
        <v>198</v>
      </c>
      <c r="T5" t="s">
        <v>199</v>
      </c>
      <c r="U5" t="s">
        <v>200</v>
      </c>
      <c r="V5" t="s">
        <v>201</v>
      </c>
      <c r="W5" t="s">
        <v>202</v>
      </c>
    </row>
    <row r="6" spans="1:25" x14ac:dyDescent="0.35">
      <c r="A6" t="s">
        <v>172</v>
      </c>
      <c r="B6" t="s">
        <v>52</v>
      </c>
      <c r="C6" s="7">
        <v>200185.1</v>
      </c>
      <c r="D6" s="7">
        <v>200678.35</v>
      </c>
      <c r="E6" s="7">
        <v>200833.98800000001</v>
      </c>
      <c r="F6" s="7">
        <v>203335.45449999999</v>
      </c>
      <c r="G6" s="7">
        <v>206132.084</v>
      </c>
      <c r="H6" s="7">
        <v>210268.38</v>
      </c>
      <c r="I6" s="7">
        <v>240578.77600000001</v>
      </c>
      <c r="J6" s="7">
        <v>246254.52549999999</v>
      </c>
      <c r="K6" s="7">
        <v>249318.614</v>
      </c>
      <c r="L6" s="7">
        <v>279250.00000000012</v>
      </c>
      <c r="M6" s="7">
        <v>297500</v>
      </c>
      <c r="N6" s="7">
        <v>301679.391</v>
      </c>
      <c r="O6" s="7">
        <v>321114.18400000001</v>
      </c>
      <c r="P6" s="7">
        <v>325987.95250000001</v>
      </c>
      <c r="Q6" s="7">
        <v>347664.57799999998</v>
      </c>
      <c r="R6" s="7">
        <v>372571.65</v>
      </c>
      <c r="S6" s="7">
        <v>399884.79399999999</v>
      </c>
      <c r="T6" s="7">
        <v>443839.04049999989</v>
      </c>
      <c r="U6" s="7">
        <v>575445.98</v>
      </c>
      <c r="V6" s="7">
        <v>717686.51049999997</v>
      </c>
      <c r="W6" s="7">
        <v>1154498.28</v>
      </c>
    </row>
    <row r="7" spans="1:25" x14ac:dyDescent="0.35">
      <c r="A7" t="s">
        <v>96</v>
      </c>
      <c r="C7">
        <v>200185.1</v>
      </c>
      <c r="D7">
        <v>200678.35</v>
      </c>
      <c r="E7">
        <v>200833.98800000001</v>
      </c>
      <c r="F7">
        <v>203335.45449999999</v>
      </c>
      <c r="G7">
        <v>206132.084</v>
      </c>
      <c r="H7">
        <v>210268.38</v>
      </c>
      <c r="I7">
        <v>240578.77600000001</v>
      </c>
      <c r="J7">
        <v>246254.52549999999</v>
      </c>
      <c r="K7">
        <v>249318.614</v>
      </c>
      <c r="L7">
        <v>279250.00000000012</v>
      </c>
      <c r="M7">
        <v>297500</v>
      </c>
      <c r="N7">
        <v>301679.391</v>
      </c>
      <c r="O7">
        <v>321114.18400000001</v>
      </c>
      <c r="P7">
        <v>325987.95250000001</v>
      </c>
      <c r="Q7">
        <v>347664.57799999998</v>
      </c>
      <c r="R7">
        <v>372571.65</v>
      </c>
      <c r="S7">
        <v>399884.79399999999</v>
      </c>
      <c r="T7">
        <v>443839.04049999989</v>
      </c>
      <c r="U7">
        <v>575445.98</v>
      </c>
      <c r="V7">
        <v>717686.51049999997</v>
      </c>
      <c r="W7">
        <v>1154498.28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232</v>
      </c>
      <c r="E10" t="s">
        <v>204</v>
      </c>
      <c r="F10" t="s">
        <v>203</v>
      </c>
      <c r="G10" t="s">
        <v>205</v>
      </c>
      <c r="H10" t="s">
        <v>206</v>
      </c>
      <c r="I10" t="s">
        <v>207</v>
      </c>
      <c r="J10" t="s">
        <v>208</v>
      </c>
      <c r="K10" t="s">
        <v>209</v>
      </c>
      <c r="L10" t="s">
        <v>210</v>
      </c>
      <c r="M10" t="s">
        <v>211</v>
      </c>
      <c r="N10" t="s">
        <v>212</v>
      </c>
      <c r="O10" t="s">
        <v>213</v>
      </c>
      <c r="P10" t="s">
        <v>214</v>
      </c>
      <c r="Q10" t="s">
        <v>215</v>
      </c>
      <c r="R10" t="s">
        <v>216</v>
      </c>
      <c r="S10" t="s">
        <v>217</v>
      </c>
      <c r="T10" t="s">
        <v>218</v>
      </c>
      <c r="U10" t="s">
        <v>219</v>
      </c>
      <c r="V10" t="s">
        <v>220</v>
      </c>
      <c r="W10" t="s">
        <v>221</v>
      </c>
      <c r="X10" t="s">
        <v>222</v>
      </c>
      <c r="Y10" t="s">
        <v>223</v>
      </c>
    </row>
    <row r="11" spans="1:25" x14ac:dyDescent="0.35">
      <c r="A11" t="s">
        <v>172</v>
      </c>
      <c r="B11" t="s">
        <v>52</v>
      </c>
      <c r="C11">
        <v>0</v>
      </c>
      <c r="D11">
        <v>38</v>
      </c>
      <c r="E11">
        <v>38</v>
      </c>
      <c r="F11">
        <v>37</v>
      </c>
      <c r="G11">
        <v>34</v>
      </c>
      <c r="H11">
        <v>32</v>
      </c>
      <c r="I11">
        <v>30</v>
      </c>
      <c r="J11">
        <v>28</v>
      </c>
      <c r="K11">
        <v>26</v>
      </c>
      <c r="L11">
        <v>25</v>
      </c>
      <c r="M11">
        <v>23</v>
      </c>
      <c r="N11">
        <v>21</v>
      </c>
      <c r="O11">
        <v>19</v>
      </c>
      <c r="P11">
        <v>17</v>
      </c>
      <c r="Q11">
        <v>15</v>
      </c>
      <c r="R11">
        <v>13</v>
      </c>
      <c r="S11">
        <v>12</v>
      </c>
      <c r="T11">
        <v>10</v>
      </c>
      <c r="U11">
        <v>8</v>
      </c>
      <c r="V11">
        <v>6</v>
      </c>
      <c r="W11">
        <v>5</v>
      </c>
      <c r="X11">
        <v>2</v>
      </c>
      <c r="Y11">
        <v>1</v>
      </c>
    </row>
    <row r="12" spans="1:25" x14ac:dyDescent="0.35">
      <c r="A12" t="s">
        <v>172</v>
      </c>
      <c r="B12" t="s">
        <v>52</v>
      </c>
      <c r="C12">
        <v>1</v>
      </c>
      <c r="D12">
        <v>48</v>
      </c>
      <c r="E12">
        <v>48</v>
      </c>
      <c r="F12">
        <v>45</v>
      </c>
      <c r="G12">
        <v>45</v>
      </c>
      <c r="H12">
        <v>45</v>
      </c>
      <c r="I12">
        <v>45</v>
      </c>
      <c r="J12">
        <v>41</v>
      </c>
      <c r="K12">
        <v>32</v>
      </c>
      <c r="L12">
        <v>30</v>
      </c>
      <c r="M12">
        <v>30</v>
      </c>
      <c r="N12">
        <v>21</v>
      </c>
      <c r="O12">
        <v>17</v>
      </c>
      <c r="P12">
        <v>15</v>
      </c>
      <c r="Q12">
        <v>10</v>
      </c>
      <c r="R12">
        <v>10</v>
      </c>
      <c r="S12">
        <v>10</v>
      </c>
      <c r="T12">
        <v>9</v>
      </c>
      <c r="U12">
        <v>8</v>
      </c>
      <c r="V12">
        <v>6</v>
      </c>
      <c r="W12">
        <v>5</v>
      </c>
      <c r="X12">
        <v>2</v>
      </c>
      <c r="Y12">
        <v>0</v>
      </c>
    </row>
    <row r="13" spans="1:25" x14ac:dyDescent="0.35">
      <c r="A13" t="s">
        <v>96</v>
      </c>
      <c r="D13">
        <v>86</v>
      </c>
      <c r="E13">
        <v>86</v>
      </c>
      <c r="F13">
        <v>82</v>
      </c>
      <c r="G13">
        <v>79</v>
      </c>
      <c r="H13">
        <v>77</v>
      </c>
      <c r="I13">
        <v>75</v>
      </c>
      <c r="J13">
        <v>69</v>
      </c>
      <c r="K13">
        <v>58</v>
      </c>
      <c r="L13">
        <v>55</v>
      </c>
      <c r="M13">
        <v>53</v>
      </c>
      <c r="N13">
        <v>42</v>
      </c>
      <c r="O13">
        <v>36</v>
      </c>
      <c r="P13">
        <v>32</v>
      </c>
      <c r="Q13">
        <v>25</v>
      </c>
      <c r="R13">
        <v>23</v>
      </c>
      <c r="S13">
        <v>22</v>
      </c>
      <c r="T13">
        <v>19</v>
      </c>
      <c r="U13">
        <v>16</v>
      </c>
      <c r="V13">
        <v>12</v>
      </c>
      <c r="W13">
        <v>10</v>
      </c>
      <c r="X13">
        <v>4</v>
      </c>
      <c r="Y13">
        <v>1</v>
      </c>
    </row>
    <row r="16" spans="1:25" x14ac:dyDescent="0.35">
      <c r="H16" t="s">
        <v>225</v>
      </c>
    </row>
    <row r="17" spans="1:23" x14ac:dyDescent="0.35">
      <c r="A17" s="9" t="s">
        <v>125</v>
      </c>
      <c r="B17" s="9" t="s">
        <v>233</v>
      </c>
      <c r="C17" s="9" t="s">
        <v>103</v>
      </c>
      <c r="D17" s="9" t="s">
        <v>104</v>
      </c>
      <c r="E17" s="9" t="s">
        <v>105</v>
      </c>
      <c r="F17" s="9" t="s">
        <v>106</v>
      </c>
      <c r="G17" s="9" t="s">
        <v>107</v>
      </c>
      <c r="H17" s="9" t="s">
        <v>108</v>
      </c>
      <c r="I17" s="9" t="s">
        <v>109</v>
      </c>
      <c r="J17" s="9" t="s">
        <v>110</v>
      </c>
      <c r="K17" s="9" t="s">
        <v>111</v>
      </c>
      <c r="L17" s="9" t="s">
        <v>112</v>
      </c>
      <c r="M17" s="9" t="s">
        <v>113</v>
      </c>
      <c r="N17" s="9" t="s">
        <v>114</v>
      </c>
      <c r="O17" s="9" t="s">
        <v>115</v>
      </c>
      <c r="P17" s="9" t="s">
        <v>116</v>
      </c>
      <c r="Q17" s="9" t="s">
        <v>117</v>
      </c>
      <c r="R17" s="9" t="s">
        <v>118</v>
      </c>
      <c r="S17" s="9" t="s">
        <v>119</v>
      </c>
      <c r="T17" s="9" t="s">
        <v>120</v>
      </c>
      <c r="U17" s="9" t="s">
        <v>121</v>
      </c>
      <c r="V17" s="9" t="s">
        <v>122</v>
      </c>
      <c r="W17" s="9" t="s">
        <v>123</v>
      </c>
    </row>
    <row r="18" spans="1:23" x14ac:dyDescent="0.35">
      <c r="A18" s="9" t="s">
        <v>97</v>
      </c>
      <c r="B18" s="3">
        <f>D11</f>
        <v>38</v>
      </c>
      <c r="C18" s="3">
        <f t="shared" ref="C18:W18" si="0">E11</f>
        <v>38</v>
      </c>
      <c r="D18" s="3">
        <f t="shared" si="0"/>
        <v>37</v>
      </c>
      <c r="E18" s="3">
        <f t="shared" si="0"/>
        <v>34</v>
      </c>
      <c r="F18" s="3">
        <f t="shared" si="0"/>
        <v>32</v>
      </c>
      <c r="G18" s="3">
        <f t="shared" si="0"/>
        <v>30</v>
      </c>
      <c r="H18" s="3">
        <f t="shared" si="0"/>
        <v>28</v>
      </c>
      <c r="I18" s="3">
        <f t="shared" si="0"/>
        <v>26</v>
      </c>
      <c r="J18" s="3">
        <f t="shared" si="0"/>
        <v>25</v>
      </c>
      <c r="K18" s="3">
        <f t="shared" si="0"/>
        <v>23</v>
      </c>
      <c r="L18" s="3">
        <f t="shared" si="0"/>
        <v>21</v>
      </c>
      <c r="M18" s="3">
        <f t="shared" si="0"/>
        <v>19</v>
      </c>
      <c r="N18" s="3">
        <f t="shared" si="0"/>
        <v>17</v>
      </c>
      <c r="O18" s="3">
        <f t="shared" si="0"/>
        <v>15</v>
      </c>
      <c r="P18" s="3">
        <f t="shared" si="0"/>
        <v>13</v>
      </c>
      <c r="Q18" s="3">
        <f t="shared" si="0"/>
        <v>12</v>
      </c>
      <c r="R18" s="3">
        <f t="shared" si="0"/>
        <v>10</v>
      </c>
      <c r="S18" s="3">
        <f t="shared" si="0"/>
        <v>8</v>
      </c>
      <c r="T18" s="3">
        <f t="shared" si="0"/>
        <v>6</v>
      </c>
      <c r="U18" s="3">
        <f t="shared" si="0"/>
        <v>5</v>
      </c>
      <c r="V18" s="3">
        <f t="shared" si="0"/>
        <v>2</v>
      </c>
      <c r="W18" s="3">
        <f t="shared" si="0"/>
        <v>1</v>
      </c>
    </row>
    <row r="19" spans="1:23" x14ac:dyDescent="0.35">
      <c r="A19" s="9" t="s">
        <v>224</v>
      </c>
      <c r="B19" s="3">
        <f>D12</f>
        <v>48</v>
      </c>
      <c r="C19" s="3">
        <f t="shared" ref="C19:W19" si="1">E12</f>
        <v>48</v>
      </c>
      <c r="D19" s="3">
        <f t="shared" si="1"/>
        <v>45</v>
      </c>
      <c r="E19" s="3">
        <f t="shared" si="1"/>
        <v>45</v>
      </c>
      <c r="F19" s="3">
        <f t="shared" si="1"/>
        <v>45</v>
      </c>
      <c r="G19" s="3">
        <f t="shared" si="1"/>
        <v>45</v>
      </c>
      <c r="H19" s="3">
        <f t="shared" si="1"/>
        <v>41</v>
      </c>
      <c r="I19" s="3">
        <f t="shared" si="1"/>
        <v>32</v>
      </c>
      <c r="J19" s="3">
        <f t="shared" si="1"/>
        <v>30</v>
      </c>
      <c r="K19" s="3">
        <f t="shared" si="1"/>
        <v>30</v>
      </c>
      <c r="L19" s="3">
        <f t="shared" si="1"/>
        <v>21</v>
      </c>
      <c r="M19" s="3">
        <f t="shared" si="1"/>
        <v>17</v>
      </c>
      <c r="N19" s="3">
        <f t="shared" si="1"/>
        <v>15</v>
      </c>
      <c r="O19" s="3">
        <f t="shared" si="1"/>
        <v>10</v>
      </c>
      <c r="P19" s="3">
        <f t="shared" si="1"/>
        <v>10</v>
      </c>
      <c r="Q19" s="3">
        <f t="shared" si="1"/>
        <v>10</v>
      </c>
      <c r="R19" s="3">
        <f t="shared" si="1"/>
        <v>9</v>
      </c>
      <c r="S19" s="3">
        <f t="shared" si="1"/>
        <v>8</v>
      </c>
      <c r="T19" s="3">
        <f t="shared" si="1"/>
        <v>6</v>
      </c>
      <c r="U19" s="3">
        <f t="shared" si="1"/>
        <v>5</v>
      </c>
      <c r="V19" s="3">
        <f t="shared" si="1"/>
        <v>2</v>
      </c>
      <c r="W19" s="3">
        <f t="shared" si="1"/>
        <v>0</v>
      </c>
    </row>
    <row r="20" spans="1:23" x14ac:dyDescent="0.35">
      <c r="A20" s="9" t="s">
        <v>98</v>
      </c>
      <c r="B20" s="3">
        <f>SUM(B18:B19)</f>
        <v>86</v>
      </c>
      <c r="C20" s="3">
        <f t="shared" ref="C20:W20" si="2">SUM(C18:C19)</f>
        <v>86</v>
      </c>
      <c r="D20" s="3">
        <f t="shared" si="2"/>
        <v>82</v>
      </c>
      <c r="E20" s="3">
        <f t="shared" si="2"/>
        <v>79</v>
      </c>
      <c r="F20" s="3">
        <f t="shared" si="2"/>
        <v>77</v>
      </c>
      <c r="G20" s="3">
        <f t="shared" si="2"/>
        <v>75</v>
      </c>
      <c r="H20" s="3">
        <f t="shared" si="2"/>
        <v>69</v>
      </c>
      <c r="I20" s="3">
        <f t="shared" si="2"/>
        <v>58</v>
      </c>
      <c r="J20" s="3">
        <f t="shared" si="2"/>
        <v>55</v>
      </c>
      <c r="K20" s="3">
        <f t="shared" si="2"/>
        <v>53</v>
      </c>
      <c r="L20" s="3">
        <f t="shared" si="2"/>
        <v>42</v>
      </c>
      <c r="M20" s="3">
        <f t="shared" si="2"/>
        <v>36</v>
      </c>
      <c r="N20" s="3">
        <f t="shared" si="2"/>
        <v>32</v>
      </c>
      <c r="O20" s="3">
        <f t="shared" si="2"/>
        <v>25</v>
      </c>
      <c r="P20" s="3">
        <f t="shared" si="2"/>
        <v>23</v>
      </c>
      <c r="Q20" s="3">
        <f t="shared" si="2"/>
        <v>22</v>
      </c>
      <c r="R20" s="3">
        <f t="shared" si="2"/>
        <v>19</v>
      </c>
      <c r="S20" s="3">
        <f t="shared" si="2"/>
        <v>16</v>
      </c>
      <c r="T20" s="3">
        <f t="shared" si="2"/>
        <v>12</v>
      </c>
      <c r="U20" s="3">
        <f t="shared" si="2"/>
        <v>10</v>
      </c>
      <c r="V20" s="3">
        <f t="shared" si="2"/>
        <v>4</v>
      </c>
      <c r="W20" s="3">
        <f t="shared" si="2"/>
        <v>1</v>
      </c>
    </row>
    <row r="21" spans="1:23" x14ac:dyDescent="0.35">
      <c r="A21" s="9" t="s">
        <v>230</v>
      </c>
      <c r="B21" s="4">
        <f>B19/$B$19</f>
        <v>1</v>
      </c>
      <c r="C21" s="4">
        <f t="shared" ref="C21:W21" si="3">C19/$B$19</f>
        <v>1</v>
      </c>
      <c r="D21" s="4">
        <f t="shared" si="3"/>
        <v>0.9375</v>
      </c>
      <c r="E21" s="4">
        <f t="shared" si="3"/>
        <v>0.9375</v>
      </c>
      <c r="F21" s="4">
        <f t="shared" si="3"/>
        <v>0.9375</v>
      </c>
      <c r="G21" s="4">
        <f t="shared" si="3"/>
        <v>0.9375</v>
      </c>
      <c r="H21" s="4">
        <f t="shared" si="3"/>
        <v>0.85416666666666663</v>
      </c>
      <c r="I21" s="4">
        <f t="shared" si="3"/>
        <v>0.66666666666666663</v>
      </c>
      <c r="J21" s="4">
        <f t="shared" si="3"/>
        <v>0.625</v>
      </c>
      <c r="K21" s="4">
        <f t="shared" si="3"/>
        <v>0.625</v>
      </c>
      <c r="L21" s="4">
        <f t="shared" si="3"/>
        <v>0.4375</v>
      </c>
      <c r="M21" s="4">
        <f t="shared" si="3"/>
        <v>0.35416666666666669</v>
      </c>
      <c r="N21" s="4">
        <f t="shared" si="3"/>
        <v>0.3125</v>
      </c>
      <c r="O21" s="4">
        <f t="shared" si="3"/>
        <v>0.20833333333333334</v>
      </c>
      <c r="P21" s="4">
        <f t="shared" si="3"/>
        <v>0.20833333333333334</v>
      </c>
      <c r="Q21" s="4">
        <f t="shared" si="3"/>
        <v>0.20833333333333334</v>
      </c>
      <c r="R21" s="4">
        <f t="shared" si="3"/>
        <v>0.1875</v>
      </c>
      <c r="S21" s="4">
        <f t="shared" si="3"/>
        <v>0.16666666666666666</v>
      </c>
      <c r="T21" s="4">
        <f t="shared" si="3"/>
        <v>0.125</v>
      </c>
      <c r="U21" s="4">
        <f t="shared" si="3"/>
        <v>0.10416666666666667</v>
      </c>
      <c r="V21" s="4">
        <f t="shared" si="3"/>
        <v>4.1666666666666664E-2</v>
      </c>
      <c r="W21" s="4">
        <f t="shared" si="3"/>
        <v>0</v>
      </c>
    </row>
    <row r="22" spans="1:23" x14ac:dyDescent="0.35">
      <c r="A22" s="9" t="s">
        <v>124</v>
      </c>
      <c r="B22" s="4">
        <f>B18/B20</f>
        <v>0.44186046511627908</v>
      </c>
      <c r="C22" s="4">
        <f t="shared" ref="C22:W22" si="4">C18/C20</f>
        <v>0.44186046511627908</v>
      </c>
      <c r="D22" s="4">
        <f t="shared" si="4"/>
        <v>0.45121951219512196</v>
      </c>
      <c r="E22" s="4">
        <f t="shared" si="4"/>
        <v>0.43037974683544306</v>
      </c>
      <c r="F22" s="4">
        <f t="shared" si="4"/>
        <v>0.41558441558441561</v>
      </c>
      <c r="G22" s="4">
        <f t="shared" si="4"/>
        <v>0.4</v>
      </c>
      <c r="H22" s="4">
        <f t="shared" si="4"/>
        <v>0.40579710144927539</v>
      </c>
      <c r="I22" s="4">
        <f t="shared" si="4"/>
        <v>0.44827586206896552</v>
      </c>
      <c r="J22" s="4">
        <f t="shared" si="4"/>
        <v>0.45454545454545453</v>
      </c>
      <c r="K22" s="4">
        <f t="shared" si="4"/>
        <v>0.43396226415094341</v>
      </c>
      <c r="L22" s="4">
        <f t="shared" si="4"/>
        <v>0.5</v>
      </c>
      <c r="M22" s="4">
        <f t="shared" si="4"/>
        <v>0.52777777777777779</v>
      </c>
      <c r="N22" s="4">
        <f t="shared" si="4"/>
        <v>0.53125</v>
      </c>
      <c r="O22" s="4">
        <f t="shared" si="4"/>
        <v>0.6</v>
      </c>
      <c r="P22" s="4">
        <f t="shared" si="4"/>
        <v>0.56521739130434778</v>
      </c>
      <c r="Q22" s="4">
        <f t="shared" si="4"/>
        <v>0.54545454545454541</v>
      </c>
      <c r="R22" s="4">
        <f t="shared" si="4"/>
        <v>0.52631578947368418</v>
      </c>
      <c r="S22" s="4">
        <f t="shared" si="4"/>
        <v>0.5</v>
      </c>
      <c r="T22" s="4">
        <f t="shared" si="4"/>
        <v>0.5</v>
      </c>
      <c r="U22" s="4">
        <f t="shared" si="4"/>
        <v>0.5</v>
      </c>
      <c r="V22" s="4">
        <f t="shared" si="4"/>
        <v>0.5</v>
      </c>
      <c r="W22" s="4">
        <f t="shared" si="4"/>
        <v>1</v>
      </c>
    </row>
    <row r="23" spans="1:23" x14ac:dyDescent="0.35">
      <c r="A23" s="9" t="s">
        <v>102</v>
      </c>
      <c r="B23" s="9"/>
      <c r="C23" s="8">
        <f>C7</f>
        <v>200185.1</v>
      </c>
      <c r="D23" s="8">
        <f>D7</f>
        <v>200678.35</v>
      </c>
      <c r="E23" s="8">
        <f t="shared" ref="E23:W23" si="5">E7</f>
        <v>200833.98800000001</v>
      </c>
      <c r="F23" s="8">
        <f t="shared" si="5"/>
        <v>203335.45449999999</v>
      </c>
      <c r="G23" s="8">
        <f t="shared" si="5"/>
        <v>206132.084</v>
      </c>
      <c r="H23" s="8">
        <f t="shared" si="5"/>
        <v>210268.38</v>
      </c>
      <c r="I23" s="8">
        <f t="shared" si="5"/>
        <v>240578.77600000001</v>
      </c>
      <c r="J23" s="8">
        <f t="shared" si="5"/>
        <v>246254.52549999999</v>
      </c>
      <c r="K23" s="8">
        <f t="shared" si="5"/>
        <v>249318.614</v>
      </c>
      <c r="L23" s="8">
        <f t="shared" si="5"/>
        <v>279250.00000000012</v>
      </c>
      <c r="M23" s="8">
        <f t="shared" si="5"/>
        <v>297500</v>
      </c>
      <c r="N23" s="8">
        <f t="shared" si="5"/>
        <v>301679.391</v>
      </c>
      <c r="O23" s="8">
        <f t="shared" si="5"/>
        <v>321114.18400000001</v>
      </c>
      <c r="P23" s="8">
        <f t="shared" si="5"/>
        <v>325987.95250000001</v>
      </c>
      <c r="Q23" s="8">
        <f t="shared" si="5"/>
        <v>347664.57799999998</v>
      </c>
      <c r="R23" s="8">
        <f t="shared" si="5"/>
        <v>372571.65</v>
      </c>
      <c r="S23" s="8">
        <f t="shared" si="5"/>
        <v>399884.79399999999</v>
      </c>
      <c r="T23" s="8">
        <f t="shared" si="5"/>
        <v>443839.04049999989</v>
      </c>
      <c r="U23" s="8">
        <f t="shared" si="5"/>
        <v>575445.98</v>
      </c>
      <c r="V23" s="8">
        <f t="shared" si="5"/>
        <v>717686.51049999997</v>
      </c>
      <c r="W23" s="8">
        <f t="shared" si="5"/>
        <v>1154498.28</v>
      </c>
    </row>
    <row r="24" spans="1:23" x14ac:dyDescent="0.3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23" x14ac:dyDescent="0.3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</sheetData>
  <mergeCells count="1">
    <mergeCell ref="A1:F3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8F63-8C02-4FD9-A808-4E9E9D81BC64}">
  <sheetPr>
    <tabColor rgb="FFFF0000"/>
  </sheetPr>
  <dimension ref="A1:Y25"/>
  <sheetViews>
    <sheetView zoomScale="40" zoomScaleNormal="40" workbookViewId="0">
      <selection activeCell="I41" sqref="I41"/>
    </sheetView>
  </sheetViews>
  <sheetFormatPr defaultRowHeight="14.5" x14ac:dyDescent="0.35"/>
  <cols>
    <col min="1" max="1" width="31.36328125" bestFit="1" customWidth="1"/>
    <col min="2" max="2" width="18.6328125" bestFit="1" customWidth="1"/>
    <col min="3" max="3" width="17" bestFit="1" customWidth="1"/>
    <col min="4" max="4" width="23" bestFit="1" customWidth="1"/>
    <col min="5" max="6" width="31.7265625" bestFit="1" customWidth="1"/>
    <col min="7" max="8" width="31.36328125" bestFit="1" customWidth="1"/>
    <col min="9" max="24" width="31.7265625" bestFit="1" customWidth="1"/>
    <col min="25" max="25" width="32.81640625" bestFit="1" customWidth="1"/>
  </cols>
  <sheetData>
    <row r="1" spans="1:25" x14ac:dyDescent="0.35">
      <c r="A1" s="56" t="s">
        <v>231</v>
      </c>
      <c r="B1" s="56"/>
      <c r="C1" s="56"/>
      <c r="D1" s="56"/>
      <c r="E1" s="56"/>
      <c r="F1" s="56"/>
    </row>
    <row r="2" spans="1:25" x14ac:dyDescent="0.35">
      <c r="A2" s="56"/>
      <c r="B2" s="56"/>
      <c r="C2" s="56"/>
      <c r="D2" s="56"/>
      <c r="E2" s="56"/>
      <c r="F2" s="56"/>
    </row>
    <row r="3" spans="1:25" x14ac:dyDescent="0.35">
      <c r="A3" s="56"/>
      <c r="B3" s="56"/>
      <c r="C3" s="56"/>
      <c r="D3" s="56"/>
      <c r="E3" s="56"/>
      <c r="F3" s="56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182</v>
      </c>
      <c r="D5" t="s">
        <v>183</v>
      </c>
      <c r="E5" t="s">
        <v>184</v>
      </c>
      <c r="F5" t="s">
        <v>185</v>
      </c>
      <c r="G5" t="s">
        <v>186</v>
      </c>
      <c r="H5" t="s">
        <v>187</v>
      </c>
      <c r="I5" t="s">
        <v>188</v>
      </c>
      <c r="J5" t="s">
        <v>189</v>
      </c>
      <c r="K5" t="s">
        <v>190</v>
      </c>
      <c r="L5" t="s">
        <v>191</v>
      </c>
      <c r="M5" t="s">
        <v>192</v>
      </c>
      <c r="N5" t="s">
        <v>193</v>
      </c>
      <c r="O5" t="s">
        <v>194</v>
      </c>
      <c r="P5" t="s">
        <v>195</v>
      </c>
      <c r="Q5" t="s">
        <v>196</v>
      </c>
      <c r="R5" t="s">
        <v>197</v>
      </c>
      <c r="S5" t="s">
        <v>198</v>
      </c>
      <c r="T5" t="s">
        <v>199</v>
      </c>
      <c r="U5" t="s">
        <v>200</v>
      </c>
      <c r="V5" t="s">
        <v>201</v>
      </c>
      <c r="W5" t="s">
        <v>202</v>
      </c>
    </row>
    <row r="6" spans="1:25" x14ac:dyDescent="0.35">
      <c r="A6" t="s">
        <v>171</v>
      </c>
      <c r="B6" t="s">
        <v>52</v>
      </c>
      <c r="C6" s="7">
        <v>202500</v>
      </c>
      <c r="D6" s="7">
        <v>202500</v>
      </c>
      <c r="E6" s="7">
        <v>202500</v>
      </c>
      <c r="F6" s="7">
        <v>202500</v>
      </c>
      <c r="G6" s="7">
        <v>202500</v>
      </c>
      <c r="H6" s="7">
        <v>202500</v>
      </c>
      <c r="I6" s="7">
        <v>202500</v>
      </c>
      <c r="J6" s="7">
        <v>202500</v>
      </c>
      <c r="K6" s="7">
        <v>202655.56</v>
      </c>
      <c r="L6" s="7">
        <v>203161.13</v>
      </c>
      <c r="M6" s="7">
        <v>205963.9</v>
      </c>
      <c r="N6" s="7">
        <v>214477.5</v>
      </c>
      <c r="O6" s="7">
        <v>239730</v>
      </c>
      <c r="P6" s="7">
        <v>248625</v>
      </c>
      <c r="Q6" s="7">
        <v>250000</v>
      </c>
      <c r="R6" s="7">
        <v>250000</v>
      </c>
      <c r="S6" s="7">
        <v>252800</v>
      </c>
      <c r="T6" s="7">
        <v>257232.47500000001</v>
      </c>
      <c r="U6" s="7">
        <v>260254.65</v>
      </c>
      <c r="V6" s="7">
        <v>464072.17499999981</v>
      </c>
      <c r="W6" s="7">
        <v>840000</v>
      </c>
    </row>
    <row r="7" spans="1:25" x14ac:dyDescent="0.35">
      <c r="A7" t="s">
        <v>96</v>
      </c>
      <c r="C7">
        <v>202500</v>
      </c>
      <c r="D7">
        <v>202500</v>
      </c>
      <c r="E7">
        <v>202500</v>
      </c>
      <c r="F7">
        <v>202500</v>
      </c>
      <c r="G7">
        <v>202500</v>
      </c>
      <c r="H7">
        <v>202500</v>
      </c>
      <c r="I7">
        <v>202500</v>
      </c>
      <c r="J7">
        <v>202500</v>
      </c>
      <c r="K7">
        <v>202655.56</v>
      </c>
      <c r="L7">
        <v>203161.13</v>
      </c>
      <c r="M7">
        <v>205963.9</v>
      </c>
      <c r="N7">
        <v>214477.5</v>
      </c>
      <c r="O7">
        <v>239730</v>
      </c>
      <c r="P7">
        <v>248625</v>
      </c>
      <c r="Q7">
        <v>250000</v>
      </c>
      <c r="R7">
        <v>250000</v>
      </c>
      <c r="S7">
        <v>252800</v>
      </c>
      <c r="T7">
        <v>257232.47500000001</v>
      </c>
      <c r="U7">
        <v>260254.65</v>
      </c>
      <c r="V7">
        <v>464072.17499999981</v>
      </c>
      <c r="W7">
        <v>840000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232</v>
      </c>
      <c r="E10" t="s">
        <v>204</v>
      </c>
      <c r="F10" t="s">
        <v>203</v>
      </c>
      <c r="G10" t="s">
        <v>205</v>
      </c>
      <c r="H10" t="s">
        <v>206</v>
      </c>
      <c r="I10" t="s">
        <v>207</v>
      </c>
      <c r="J10" t="s">
        <v>208</v>
      </c>
      <c r="K10" t="s">
        <v>209</v>
      </c>
      <c r="L10" t="s">
        <v>210</v>
      </c>
      <c r="M10" t="s">
        <v>211</v>
      </c>
      <c r="N10" t="s">
        <v>212</v>
      </c>
      <c r="O10" t="s">
        <v>213</v>
      </c>
      <c r="P10" t="s">
        <v>214</v>
      </c>
      <c r="Q10" t="s">
        <v>215</v>
      </c>
      <c r="R10" t="s">
        <v>216</v>
      </c>
      <c r="S10" t="s">
        <v>217</v>
      </c>
      <c r="T10" t="s">
        <v>218</v>
      </c>
      <c r="U10" t="s">
        <v>219</v>
      </c>
      <c r="V10" t="s">
        <v>220</v>
      </c>
      <c r="W10" t="s">
        <v>221</v>
      </c>
      <c r="X10" t="s">
        <v>222</v>
      </c>
      <c r="Y10" t="s">
        <v>223</v>
      </c>
    </row>
    <row r="11" spans="1:25" x14ac:dyDescent="0.35">
      <c r="A11" t="s">
        <v>171</v>
      </c>
      <c r="B11" t="s">
        <v>52</v>
      </c>
      <c r="C11">
        <v>0</v>
      </c>
      <c r="D11">
        <v>14</v>
      </c>
      <c r="E11">
        <v>14</v>
      </c>
      <c r="F11">
        <v>14</v>
      </c>
      <c r="G11">
        <v>14</v>
      </c>
      <c r="H11">
        <v>14</v>
      </c>
      <c r="I11">
        <v>14</v>
      </c>
      <c r="J11">
        <v>14</v>
      </c>
      <c r="K11">
        <v>14</v>
      </c>
      <c r="L11">
        <v>14</v>
      </c>
      <c r="M11">
        <v>8</v>
      </c>
      <c r="N11">
        <v>8</v>
      </c>
      <c r="O11">
        <v>7</v>
      </c>
      <c r="P11">
        <v>6</v>
      </c>
      <c r="Q11">
        <v>6</v>
      </c>
      <c r="R11">
        <v>5</v>
      </c>
      <c r="S11">
        <v>5</v>
      </c>
      <c r="T11">
        <v>5</v>
      </c>
      <c r="U11">
        <v>3</v>
      </c>
      <c r="V11">
        <v>2</v>
      </c>
      <c r="W11">
        <v>2</v>
      </c>
      <c r="X11">
        <v>1</v>
      </c>
      <c r="Y11">
        <v>1</v>
      </c>
    </row>
    <row r="12" spans="1:25" x14ac:dyDescent="0.35">
      <c r="A12" t="s">
        <v>171</v>
      </c>
      <c r="B12" t="s">
        <v>52</v>
      </c>
      <c r="C12">
        <v>1</v>
      </c>
      <c r="D12">
        <v>26</v>
      </c>
      <c r="E12">
        <v>24</v>
      </c>
      <c r="F12">
        <v>24</v>
      </c>
      <c r="G12">
        <v>24</v>
      </c>
      <c r="H12">
        <v>24</v>
      </c>
      <c r="I12">
        <v>24</v>
      </c>
      <c r="J12">
        <v>24</v>
      </c>
      <c r="K12">
        <v>24</v>
      </c>
      <c r="L12">
        <v>24</v>
      </c>
      <c r="M12">
        <v>24</v>
      </c>
      <c r="N12">
        <v>24</v>
      </c>
      <c r="O12">
        <v>23</v>
      </c>
      <c r="P12">
        <v>22</v>
      </c>
      <c r="Q12">
        <v>14</v>
      </c>
      <c r="R12">
        <v>13</v>
      </c>
      <c r="S12">
        <v>13</v>
      </c>
      <c r="T12">
        <v>13</v>
      </c>
      <c r="U12">
        <v>11</v>
      </c>
      <c r="V12">
        <v>11</v>
      </c>
      <c r="W12">
        <v>11</v>
      </c>
      <c r="X12">
        <v>3</v>
      </c>
      <c r="Y12">
        <v>1</v>
      </c>
    </row>
    <row r="13" spans="1:25" x14ac:dyDescent="0.35">
      <c r="A13" t="s">
        <v>96</v>
      </c>
      <c r="D13">
        <v>40</v>
      </c>
      <c r="E13">
        <v>38</v>
      </c>
      <c r="F13">
        <v>38</v>
      </c>
      <c r="G13">
        <v>38</v>
      </c>
      <c r="H13">
        <v>38</v>
      </c>
      <c r="I13">
        <v>38</v>
      </c>
      <c r="J13">
        <v>38</v>
      </c>
      <c r="K13">
        <v>38</v>
      </c>
      <c r="L13">
        <v>38</v>
      </c>
      <c r="M13">
        <v>32</v>
      </c>
      <c r="N13">
        <v>32</v>
      </c>
      <c r="O13">
        <v>30</v>
      </c>
      <c r="P13">
        <v>28</v>
      </c>
      <c r="Q13">
        <v>20</v>
      </c>
      <c r="R13">
        <v>18</v>
      </c>
      <c r="S13">
        <v>18</v>
      </c>
      <c r="T13">
        <v>18</v>
      </c>
      <c r="U13">
        <v>14</v>
      </c>
      <c r="V13">
        <v>13</v>
      </c>
      <c r="W13">
        <v>13</v>
      </c>
      <c r="X13">
        <v>4</v>
      </c>
      <c r="Y13">
        <v>2</v>
      </c>
    </row>
    <row r="16" spans="1:25" x14ac:dyDescent="0.35">
      <c r="H16" t="s">
        <v>225</v>
      </c>
    </row>
    <row r="17" spans="1:23" x14ac:dyDescent="0.35">
      <c r="A17" s="9" t="s">
        <v>125</v>
      </c>
      <c r="B17" s="9" t="s">
        <v>233</v>
      </c>
      <c r="C17" s="9" t="s">
        <v>103</v>
      </c>
      <c r="D17" s="9" t="s">
        <v>104</v>
      </c>
      <c r="E17" s="9" t="s">
        <v>105</v>
      </c>
      <c r="F17" s="9" t="s">
        <v>106</v>
      </c>
      <c r="G17" s="9" t="s">
        <v>107</v>
      </c>
      <c r="H17" s="9" t="s">
        <v>108</v>
      </c>
      <c r="I17" s="9" t="s">
        <v>109</v>
      </c>
      <c r="J17" s="9" t="s">
        <v>110</v>
      </c>
      <c r="K17" s="9" t="s">
        <v>111</v>
      </c>
      <c r="L17" s="9" t="s">
        <v>112</v>
      </c>
      <c r="M17" s="9" t="s">
        <v>113</v>
      </c>
      <c r="N17" s="9" t="s">
        <v>114</v>
      </c>
      <c r="O17" s="9" t="s">
        <v>115</v>
      </c>
      <c r="P17" s="9" t="s">
        <v>116</v>
      </c>
      <c r="Q17" s="9" t="s">
        <v>117</v>
      </c>
      <c r="R17" s="9" t="s">
        <v>118</v>
      </c>
      <c r="S17" s="9" t="s">
        <v>119</v>
      </c>
      <c r="T17" s="9" t="s">
        <v>120</v>
      </c>
      <c r="U17" s="9" t="s">
        <v>121</v>
      </c>
      <c r="V17" s="9" t="s">
        <v>122</v>
      </c>
      <c r="W17" s="9" t="s">
        <v>123</v>
      </c>
    </row>
    <row r="18" spans="1:23" x14ac:dyDescent="0.35">
      <c r="A18" s="9" t="s">
        <v>97</v>
      </c>
      <c r="B18" s="3">
        <f>D11</f>
        <v>14</v>
      </c>
      <c r="C18" s="3">
        <f>E11</f>
        <v>14</v>
      </c>
      <c r="D18" s="3">
        <f t="shared" ref="D18:W18" si="0">F11</f>
        <v>14</v>
      </c>
      <c r="E18" s="3">
        <f t="shared" si="0"/>
        <v>14</v>
      </c>
      <c r="F18" s="3">
        <f t="shared" si="0"/>
        <v>14</v>
      </c>
      <c r="G18" s="3">
        <f t="shared" si="0"/>
        <v>14</v>
      </c>
      <c r="H18" s="3">
        <f t="shared" si="0"/>
        <v>14</v>
      </c>
      <c r="I18" s="3">
        <f t="shared" si="0"/>
        <v>14</v>
      </c>
      <c r="J18" s="3">
        <f t="shared" si="0"/>
        <v>14</v>
      </c>
      <c r="K18" s="3">
        <f t="shared" si="0"/>
        <v>8</v>
      </c>
      <c r="L18" s="3">
        <f t="shared" si="0"/>
        <v>8</v>
      </c>
      <c r="M18" s="3">
        <f t="shared" si="0"/>
        <v>7</v>
      </c>
      <c r="N18" s="3">
        <f t="shared" si="0"/>
        <v>6</v>
      </c>
      <c r="O18" s="3">
        <f t="shared" si="0"/>
        <v>6</v>
      </c>
      <c r="P18" s="3">
        <f t="shared" si="0"/>
        <v>5</v>
      </c>
      <c r="Q18" s="3">
        <f t="shared" si="0"/>
        <v>5</v>
      </c>
      <c r="R18" s="3">
        <f t="shared" si="0"/>
        <v>5</v>
      </c>
      <c r="S18" s="3">
        <f t="shared" si="0"/>
        <v>3</v>
      </c>
      <c r="T18" s="3">
        <f t="shared" si="0"/>
        <v>2</v>
      </c>
      <c r="U18" s="3">
        <f t="shared" si="0"/>
        <v>2</v>
      </c>
      <c r="V18" s="3">
        <f t="shared" si="0"/>
        <v>1</v>
      </c>
      <c r="W18" s="3">
        <f t="shared" si="0"/>
        <v>1</v>
      </c>
    </row>
    <row r="19" spans="1:23" x14ac:dyDescent="0.35">
      <c r="A19" s="9" t="s">
        <v>224</v>
      </c>
      <c r="B19" s="3">
        <f>D12</f>
        <v>26</v>
      </c>
      <c r="C19" s="3">
        <f>E12</f>
        <v>24</v>
      </c>
      <c r="D19" s="3">
        <f t="shared" ref="D19:W19" si="1">F12</f>
        <v>24</v>
      </c>
      <c r="E19" s="3">
        <f t="shared" si="1"/>
        <v>24</v>
      </c>
      <c r="F19" s="3">
        <f t="shared" si="1"/>
        <v>24</v>
      </c>
      <c r="G19" s="3">
        <f t="shared" si="1"/>
        <v>24</v>
      </c>
      <c r="H19" s="3">
        <f t="shared" si="1"/>
        <v>24</v>
      </c>
      <c r="I19" s="3">
        <f t="shared" si="1"/>
        <v>24</v>
      </c>
      <c r="J19" s="3">
        <f t="shared" si="1"/>
        <v>24</v>
      </c>
      <c r="K19" s="3">
        <f t="shared" si="1"/>
        <v>24</v>
      </c>
      <c r="L19" s="3">
        <f t="shared" si="1"/>
        <v>24</v>
      </c>
      <c r="M19" s="3">
        <f t="shared" si="1"/>
        <v>23</v>
      </c>
      <c r="N19" s="3">
        <f t="shared" si="1"/>
        <v>22</v>
      </c>
      <c r="O19" s="3">
        <f t="shared" si="1"/>
        <v>14</v>
      </c>
      <c r="P19" s="3">
        <f t="shared" si="1"/>
        <v>13</v>
      </c>
      <c r="Q19" s="3">
        <f t="shared" si="1"/>
        <v>13</v>
      </c>
      <c r="R19" s="3">
        <f t="shared" si="1"/>
        <v>13</v>
      </c>
      <c r="S19" s="3">
        <f t="shared" si="1"/>
        <v>11</v>
      </c>
      <c r="T19" s="3">
        <f t="shared" si="1"/>
        <v>11</v>
      </c>
      <c r="U19" s="3">
        <f t="shared" si="1"/>
        <v>11</v>
      </c>
      <c r="V19" s="3">
        <f t="shared" si="1"/>
        <v>3</v>
      </c>
      <c r="W19" s="3">
        <f t="shared" si="1"/>
        <v>1</v>
      </c>
    </row>
    <row r="20" spans="1:23" x14ac:dyDescent="0.35">
      <c r="A20" s="9" t="s">
        <v>98</v>
      </c>
      <c r="B20" s="3">
        <f>SUM(B18:B19)</f>
        <v>40</v>
      </c>
      <c r="C20" s="3">
        <f>SUM(C18:C19)</f>
        <v>38</v>
      </c>
      <c r="D20" s="3">
        <f t="shared" ref="D20:W20" si="2">SUM(D18:D19)</f>
        <v>38</v>
      </c>
      <c r="E20" s="3">
        <f t="shared" si="2"/>
        <v>38</v>
      </c>
      <c r="F20" s="3">
        <f t="shared" si="2"/>
        <v>38</v>
      </c>
      <c r="G20" s="3">
        <f t="shared" si="2"/>
        <v>38</v>
      </c>
      <c r="H20" s="3">
        <f t="shared" si="2"/>
        <v>38</v>
      </c>
      <c r="I20" s="3">
        <f t="shared" si="2"/>
        <v>38</v>
      </c>
      <c r="J20" s="3">
        <f t="shared" si="2"/>
        <v>38</v>
      </c>
      <c r="K20" s="3">
        <f t="shared" si="2"/>
        <v>32</v>
      </c>
      <c r="L20" s="3">
        <f t="shared" si="2"/>
        <v>32</v>
      </c>
      <c r="M20" s="3">
        <f t="shared" si="2"/>
        <v>30</v>
      </c>
      <c r="N20" s="3">
        <f t="shared" si="2"/>
        <v>28</v>
      </c>
      <c r="O20" s="3">
        <f t="shared" si="2"/>
        <v>20</v>
      </c>
      <c r="P20" s="3">
        <f t="shared" si="2"/>
        <v>18</v>
      </c>
      <c r="Q20" s="3">
        <f t="shared" si="2"/>
        <v>18</v>
      </c>
      <c r="R20" s="3">
        <f t="shared" si="2"/>
        <v>18</v>
      </c>
      <c r="S20" s="3">
        <f t="shared" si="2"/>
        <v>14</v>
      </c>
      <c r="T20" s="3">
        <f t="shared" si="2"/>
        <v>13</v>
      </c>
      <c r="U20" s="3">
        <f t="shared" si="2"/>
        <v>13</v>
      </c>
      <c r="V20" s="3">
        <f t="shared" si="2"/>
        <v>4</v>
      </c>
      <c r="W20" s="3">
        <f t="shared" si="2"/>
        <v>2</v>
      </c>
    </row>
    <row r="21" spans="1:23" x14ac:dyDescent="0.35">
      <c r="A21" s="9" t="s">
        <v>230</v>
      </c>
      <c r="B21" s="4">
        <f>B19/$B$19</f>
        <v>1</v>
      </c>
      <c r="C21" s="4">
        <f>C19/$B$19</f>
        <v>0.92307692307692313</v>
      </c>
      <c r="D21" s="4">
        <f t="shared" ref="D21:W21" si="3">D19/$B$19</f>
        <v>0.92307692307692313</v>
      </c>
      <c r="E21" s="4">
        <f t="shared" si="3"/>
        <v>0.92307692307692313</v>
      </c>
      <c r="F21" s="4">
        <f t="shared" si="3"/>
        <v>0.92307692307692313</v>
      </c>
      <c r="G21" s="4">
        <f t="shared" si="3"/>
        <v>0.92307692307692313</v>
      </c>
      <c r="H21" s="4">
        <f t="shared" si="3"/>
        <v>0.92307692307692313</v>
      </c>
      <c r="I21" s="4">
        <f t="shared" si="3"/>
        <v>0.92307692307692313</v>
      </c>
      <c r="J21" s="4">
        <f t="shared" si="3"/>
        <v>0.92307692307692313</v>
      </c>
      <c r="K21" s="4">
        <f t="shared" si="3"/>
        <v>0.92307692307692313</v>
      </c>
      <c r="L21" s="4">
        <f t="shared" si="3"/>
        <v>0.92307692307692313</v>
      </c>
      <c r="M21" s="4">
        <f t="shared" si="3"/>
        <v>0.88461538461538458</v>
      </c>
      <c r="N21" s="4">
        <f t="shared" si="3"/>
        <v>0.84615384615384615</v>
      </c>
      <c r="O21" s="4">
        <f t="shared" si="3"/>
        <v>0.53846153846153844</v>
      </c>
      <c r="P21" s="4">
        <f t="shared" si="3"/>
        <v>0.5</v>
      </c>
      <c r="Q21" s="4">
        <f t="shared" si="3"/>
        <v>0.5</v>
      </c>
      <c r="R21" s="4">
        <f t="shared" si="3"/>
        <v>0.5</v>
      </c>
      <c r="S21" s="4">
        <f t="shared" si="3"/>
        <v>0.42307692307692307</v>
      </c>
      <c r="T21" s="4">
        <f t="shared" si="3"/>
        <v>0.42307692307692307</v>
      </c>
      <c r="U21" s="4">
        <f t="shared" si="3"/>
        <v>0.42307692307692307</v>
      </c>
      <c r="V21" s="4">
        <f t="shared" si="3"/>
        <v>0.11538461538461539</v>
      </c>
      <c r="W21" s="4">
        <f t="shared" si="3"/>
        <v>3.8461538461538464E-2</v>
      </c>
    </row>
    <row r="22" spans="1:23" x14ac:dyDescent="0.35">
      <c r="A22" s="9" t="s">
        <v>124</v>
      </c>
      <c r="B22" s="4">
        <f>B18/B20</f>
        <v>0.35</v>
      </c>
      <c r="C22" s="4">
        <f>C18/C20</f>
        <v>0.36842105263157893</v>
      </c>
      <c r="D22" s="4">
        <f t="shared" ref="D22:W22" si="4">D18/D20</f>
        <v>0.36842105263157893</v>
      </c>
      <c r="E22" s="4">
        <f t="shared" si="4"/>
        <v>0.36842105263157893</v>
      </c>
      <c r="F22" s="4">
        <f t="shared" si="4"/>
        <v>0.36842105263157893</v>
      </c>
      <c r="G22" s="4">
        <f t="shared" si="4"/>
        <v>0.36842105263157893</v>
      </c>
      <c r="H22" s="4">
        <f t="shared" si="4"/>
        <v>0.36842105263157893</v>
      </c>
      <c r="I22" s="4">
        <f t="shared" si="4"/>
        <v>0.36842105263157893</v>
      </c>
      <c r="J22" s="4">
        <f t="shared" si="4"/>
        <v>0.36842105263157893</v>
      </c>
      <c r="K22" s="4">
        <f t="shared" si="4"/>
        <v>0.25</v>
      </c>
      <c r="L22" s="4">
        <f t="shared" si="4"/>
        <v>0.25</v>
      </c>
      <c r="M22" s="4">
        <f t="shared" si="4"/>
        <v>0.23333333333333334</v>
      </c>
      <c r="N22" s="4">
        <f t="shared" si="4"/>
        <v>0.21428571428571427</v>
      </c>
      <c r="O22" s="4">
        <f t="shared" si="4"/>
        <v>0.3</v>
      </c>
      <c r="P22" s="4">
        <f t="shared" si="4"/>
        <v>0.27777777777777779</v>
      </c>
      <c r="Q22" s="4">
        <f t="shared" si="4"/>
        <v>0.27777777777777779</v>
      </c>
      <c r="R22" s="4">
        <f t="shared" si="4"/>
        <v>0.27777777777777779</v>
      </c>
      <c r="S22" s="4">
        <f t="shared" si="4"/>
        <v>0.21428571428571427</v>
      </c>
      <c r="T22" s="4">
        <f t="shared" si="4"/>
        <v>0.15384615384615385</v>
      </c>
      <c r="U22" s="4">
        <f t="shared" si="4"/>
        <v>0.15384615384615385</v>
      </c>
      <c r="V22" s="4">
        <f t="shared" si="4"/>
        <v>0.25</v>
      </c>
      <c r="W22" s="4">
        <f t="shared" si="4"/>
        <v>0.5</v>
      </c>
    </row>
    <row r="23" spans="1:23" x14ac:dyDescent="0.35">
      <c r="A23" s="9" t="s">
        <v>102</v>
      </c>
      <c r="B23" s="9"/>
      <c r="C23" s="8">
        <f>C7</f>
        <v>202500</v>
      </c>
      <c r="D23" s="8">
        <f>D7</f>
        <v>202500</v>
      </c>
      <c r="E23" s="8">
        <f t="shared" ref="E23:W23" si="5">E7</f>
        <v>202500</v>
      </c>
      <c r="F23" s="8">
        <f t="shared" si="5"/>
        <v>202500</v>
      </c>
      <c r="G23" s="8">
        <f t="shared" si="5"/>
        <v>202500</v>
      </c>
      <c r="H23" s="8">
        <f t="shared" si="5"/>
        <v>202500</v>
      </c>
      <c r="I23" s="8">
        <f t="shared" si="5"/>
        <v>202500</v>
      </c>
      <c r="J23" s="8">
        <f t="shared" si="5"/>
        <v>202500</v>
      </c>
      <c r="K23" s="8">
        <f t="shared" si="5"/>
        <v>202655.56</v>
      </c>
      <c r="L23" s="8">
        <f t="shared" si="5"/>
        <v>203161.13</v>
      </c>
      <c r="M23" s="8">
        <f t="shared" si="5"/>
        <v>205963.9</v>
      </c>
      <c r="N23" s="8">
        <f t="shared" si="5"/>
        <v>214477.5</v>
      </c>
      <c r="O23" s="8">
        <f t="shared" si="5"/>
        <v>239730</v>
      </c>
      <c r="P23" s="8">
        <f t="shared" si="5"/>
        <v>248625</v>
      </c>
      <c r="Q23" s="8">
        <f t="shared" si="5"/>
        <v>250000</v>
      </c>
      <c r="R23" s="8">
        <f t="shared" si="5"/>
        <v>250000</v>
      </c>
      <c r="S23" s="8">
        <f t="shared" si="5"/>
        <v>252800</v>
      </c>
      <c r="T23" s="8">
        <f t="shared" si="5"/>
        <v>257232.47500000001</v>
      </c>
      <c r="U23" s="8">
        <f t="shared" si="5"/>
        <v>260254.65</v>
      </c>
      <c r="V23" s="8">
        <f t="shared" si="5"/>
        <v>464072.17499999981</v>
      </c>
      <c r="W23" s="8">
        <f t="shared" si="5"/>
        <v>840000</v>
      </c>
    </row>
    <row r="24" spans="1:23" x14ac:dyDescent="0.3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23" x14ac:dyDescent="0.3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</sheetData>
  <mergeCells count="1">
    <mergeCell ref="A1:F3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0422-BC22-4274-BB52-61288D7A4C1E}">
  <dimension ref="A1:X25"/>
  <sheetViews>
    <sheetView topLeftCell="A21" zoomScale="40" zoomScaleNormal="40" workbookViewId="0">
      <selection activeCell="A18" sqref="A18:A25"/>
    </sheetView>
  </sheetViews>
  <sheetFormatPr defaultRowHeight="14.5" x14ac:dyDescent="0.35"/>
  <cols>
    <col min="1" max="1" width="18.7265625" bestFit="1" customWidth="1"/>
    <col min="2" max="2" width="19.453125" bestFit="1" customWidth="1"/>
    <col min="3" max="3" width="25.36328125" bestFit="1" customWidth="1"/>
    <col min="4" max="5" width="33.26953125" bestFit="1" customWidth="1"/>
    <col min="6" max="7" width="32.81640625" bestFit="1" customWidth="1"/>
    <col min="8" max="23" width="33.26953125" bestFit="1" customWidth="1"/>
    <col min="24" max="25" width="34.1796875" bestFit="1" customWidth="1"/>
  </cols>
  <sheetData>
    <row r="1" spans="1:24" ht="14.5" customHeight="1" x14ac:dyDescent="0.35">
      <c r="A1" s="56" t="s">
        <v>378</v>
      </c>
      <c r="B1" s="56"/>
      <c r="C1" s="56"/>
      <c r="D1" s="56"/>
      <c r="E1" s="56"/>
      <c r="F1" s="56"/>
    </row>
    <row r="2" spans="1:24" ht="14.5" customHeight="1" x14ac:dyDescent="0.35">
      <c r="A2" s="56"/>
      <c r="B2" s="56"/>
      <c r="C2" s="56"/>
      <c r="D2" s="56"/>
      <c r="E2" s="56"/>
      <c r="F2" s="56"/>
    </row>
    <row r="3" spans="1:24" ht="14.5" customHeight="1" x14ac:dyDescent="0.35">
      <c r="A3" s="56"/>
      <c r="B3" s="56"/>
      <c r="C3" s="56"/>
      <c r="D3" s="56"/>
      <c r="E3" s="56"/>
      <c r="F3" s="56"/>
    </row>
    <row r="4" spans="1:24" x14ac:dyDescent="0.35">
      <c r="A4" s="2"/>
    </row>
    <row r="5" spans="1:24" x14ac:dyDescent="0.35">
      <c r="A5" t="s">
        <v>46</v>
      </c>
      <c r="B5" t="s">
        <v>182</v>
      </c>
      <c r="C5" t="s">
        <v>183</v>
      </c>
      <c r="D5" t="s">
        <v>184</v>
      </c>
      <c r="E5" t="s">
        <v>185</v>
      </c>
      <c r="F5" t="s">
        <v>186</v>
      </c>
      <c r="G5" t="s">
        <v>187</v>
      </c>
      <c r="H5" t="s">
        <v>188</v>
      </c>
      <c r="I5" t="s">
        <v>189</v>
      </c>
      <c r="J5" t="s">
        <v>190</v>
      </c>
      <c r="K5" t="s">
        <v>191</v>
      </c>
      <c r="L5" t="s">
        <v>192</v>
      </c>
      <c r="M5" t="s">
        <v>193</v>
      </c>
      <c r="N5" t="s">
        <v>194</v>
      </c>
      <c r="O5" t="s">
        <v>195</v>
      </c>
      <c r="P5" t="s">
        <v>196</v>
      </c>
      <c r="Q5" t="s">
        <v>197</v>
      </c>
      <c r="R5" t="s">
        <v>198</v>
      </c>
      <c r="S5" t="s">
        <v>199</v>
      </c>
      <c r="T5" t="s">
        <v>200</v>
      </c>
      <c r="U5" t="s">
        <v>201</v>
      </c>
      <c r="V5" t="s">
        <v>202</v>
      </c>
    </row>
    <row r="6" spans="1:24" x14ac:dyDescent="0.35">
      <c r="A6" t="s">
        <v>61</v>
      </c>
      <c r="B6">
        <v>85050</v>
      </c>
      <c r="C6">
        <v>89030</v>
      </c>
      <c r="D6">
        <v>91669.203999999998</v>
      </c>
      <c r="E6">
        <v>93087.394</v>
      </c>
      <c r="F6">
        <v>94164.18</v>
      </c>
      <c r="G6">
        <v>96798.05</v>
      </c>
      <c r="H6">
        <v>100000</v>
      </c>
      <c r="I6">
        <v>100000</v>
      </c>
      <c r="J6">
        <v>101589.726</v>
      </c>
      <c r="K6">
        <v>106295.712</v>
      </c>
      <c r="L6">
        <v>110193.28</v>
      </c>
      <c r="M6">
        <v>119645.424</v>
      </c>
      <c r="N6">
        <v>127698</v>
      </c>
      <c r="O6">
        <v>137713.79399999999</v>
      </c>
      <c r="P6">
        <v>139806</v>
      </c>
      <c r="Q6">
        <v>150000</v>
      </c>
      <c r="R6">
        <v>161820.22</v>
      </c>
      <c r="S6">
        <v>190199.99999999991</v>
      </c>
      <c r="T6">
        <v>213800</v>
      </c>
      <c r="U6">
        <v>259913.9999999998</v>
      </c>
      <c r="V6">
        <v>440000</v>
      </c>
    </row>
    <row r="7" spans="1:24" x14ac:dyDescent="0.35">
      <c r="A7" t="s">
        <v>96</v>
      </c>
      <c r="B7">
        <v>85050</v>
      </c>
      <c r="C7">
        <v>89030</v>
      </c>
      <c r="D7">
        <v>91669.203999999998</v>
      </c>
      <c r="E7">
        <v>93087.394</v>
      </c>
      <c r="F7">
        <v>94164.18</v>
      </c>
      <c r="G7">
        <v>96798.05</v>
      </c>
      <c r="H7">
        <v>100000</v>
      </c>
      <c r="I7">
        <v>100000</v>
      </c>
      <c r="J7">
        <v>101589.726</v>
      </c>
      <c r="K7">
        <v>106295.712</v>
      </c>
      <c r="L7">
        <v>110193.28</v>
      </c>
      <c r="M7">
        <v>119645.424</v>
      </c>
      <c r="N7">
        <v>127698</v>
      </c>
      <c r="O7">
        <v>137713.79399999999</v>
      </c>
      <c r="P7">
        <v>139806</v>
      </c>
      <c r="Q7">
        <v>150000</v>
      </c>
      <c r="R7">
        <v>161820.22</v>
      </c>
      <c r="S7">
        <v>190199.99999999991</v>
      </c>
      <c r="T7">
        <v>213800</v>
      </c>
      <c r="U7">
        <v>259913.9999999998</v>
      </c>
      <c r="V7">
        <v>440000</v>
      </c>
    </row>
    <row r="10" spans="1:24" x14ac:dyDescent="0.35">
      <c r="A10" t="s">
        <v>46</v>
      </c>
      <c r="B10" t="s">
        <v>36</v>
      </c>
      <c r="C10" t="s">
        <v>232</v>
      </c>
      <c r="D10" t="s">
        <v>204</v>
      </c>
      <c r="E10" t="s">
        <v>203</v>
      </c>
      <c r="F10" t="s">
        <v>205</v>
      </c>
      <c r="G10" t="s">
        <v>206</v>
      </c>
      <c r="H10" t="s">
        <v>207</v>
      </c>
      <c r="I10" t="s">
        <v>208</v>
      </c>
      <c r="J10" t="s">
        <v>209</v>
      </c>
      <c r="K10" t="s">
        <v>210</v>
      </c>
      <c r="L10" t="s">
        <v>211</v>
      </c>
      <c r="M10" t="s">
        <v>212</v>
      </c>
      <c r="N10" t="s">
        <v>213</v>
      </c>
      <c r="O10" t="s">
        <v>214</v>
      </c>
      <c r="P10" t="s">
        <v>215</v>
      </c>
      <c r="Q10" t="s">
        <v>216</v>
      </c>
      <c r="R10" t="s">
        <v>217</v>
      </c>
      <c r="S10" t="s">
        <v>218</v>
      </c>
      <c r="T10" t="s">
        <v>219</v>
      </c>
      <c r="U10" t="s">
        <v>220</v>
      </c>
      <c r="V10" t="s">
        <v>221</v>
      </c>
      <c r="W10" t="s">
        <v>222</v>
      </c>
      <c r="X10" t="s">
        <v>223</v>
      </c>
    </row>
    <row r="11" spans="1:24" x14ac:dyDescent="0.35">
      <c r="A11" t="s">
        <v>61</v>
      </c>
      <c r="B11">
        <v>0</v>
      </c>
      <c r="C11">
        <v>37</v>
      </c>
      <c r="D11">
        <v>37</v>
      </c>
      <c r="E11">
        <v>35</v>
      </c>
      <c r="F11">
        <v>33</v>
      </c>
      <c r="G11">
        <v>31</v>
      </c>
      <c r="H11">
        <v>29</v>
      </c>
      <c r="I11">
        <v>28</v>
      </c>
      <c r="J11">
        <v>27</v>
      </c>
      <c r="K11">
        <v>27</v>
      </c>
      <c r="L11">
        <v>22</v>
      </c>
      <c r="M11">
        <v>20</v>
      </c>
      <c r="N11">
        <v>19</v>
      </c>
      <c r="O11">
        <v>17</v>
      </c>
      <c r="P11">
        <v>15</v>
      </c>
      <c r="Q11">
        <v>13</v>
      </c>
      <c r="R11">
        <v>11</v>
      </c>
      <c r="S11">
        <v>10</v>
      </c>
      <c r="T11">
        <v>8</v>
      </c>
      <c r="U11">
        <v>6</v>
      </c>
      <c r="V11">
        <v>4</v>
      </c>
      <c r="W11">
        <v>2</v>
      </c>
      <c r="X11">
        <v>1</v>
      </c>
    </row>
    <row r="12" spans="1:24" x14ac:dyDescent="0.35">
      <c r="A12" t="s">
        <v>61</v>
      </c>
      <c r="B12">
        <v>1</v>
      </c>
      <c r="C12">
        <v>101</v>
      </c>
      <c r="D12">
        <v>101</v>
      </c>
      <c r="E12">
        <v>96</v>
      </c>
      <c r="F12">
        <v>91</v>
      </c>
      <c r="G12">
        <v>91</v>
      </c>
      <c r="H12">
        <v>91</v>
      </c>
      <c r="I12">
        <v>89</v>
      </c>
      <c r="J12">
        <v>87</v>
      </c>
      <c r="K12">
        <v>87</v>
      </c>
      <c r="L12">
        <v>73</v>
      </c>
      <c r="M12">
        <v>66</v>
      </c>
      <c r="N12">
        <v>65</v>
      </c>
      <c r="O12">
        <v>62</v>
      </c>
      <c r="P12">
        <v>57</v>
      </c>
      <c r="Q12">
        <v>55</v>
      </c>
      <c r="R12">
        <v>54</v>
      </c>
      <c r="S12">
        <v>49</v>
      </c>
      <c r="T12">
        <v>35</v>
      </c>
      <c r="U12">
        <v>27</v>
      </c>
      <c r="V12">
        <v>20</v>
      </c>
      <c r="W12">
        <v>14</v>
      </c>
      <c r="X12">
        <v>10</v>
      </c>
    </row>
    <row r="13" spans="1:24" x14ac:dyDescent="0.35">
      <c r="A13" t="s">
        <v>96</v>
      </c>
      <c r="C13">
        <v>138</v>
      </c>
      <c r="D13">
        <v>138</v>
      </c>
      <c r="E13">
        <v>131</v>
      </c>
      <c r="F13">
        <v>124</v>
      </c>
      <c r="G13">
        <v>122</v>
      </c>
      <c r="H13">
        <v>120</v>
      </c>
      <c r="I13">
        <v>117</v>
      </c>
      <c r="J13">
        <v>114</v>
      </c>
      <c r="K13">
        <v>114</v>
      </c>
      <c r="L13">
        <v>95</v>
      </c>
      <c r="M13">
        <v>86</v>
      </c>
      <c r="N13">
        <v>84</v>
      </c>
      <c r="O13">
        <v>79</v>
      </c>
      <c r="P13">
        <v>72</v>
      </c>
      <c r="Q13">
        <v>68</v>
      </c>
      <c r="R13">
        <v>65</v>
      </c>
      <c r="S13">
        <v>59</v>
      </c>
      <c r="T13">
        <v>43</v>
      </c>
      <c r="U13">
        <v>33</v>
      </c>
      <c r="V13">
        <v>24</v>
      </c>
      <c r="W13">
        <v>16</v>
      </c>
      <c r="X13">
        <v>11</v>
      </c>
    </row>
    <row r="16" spans="1:24" x14ac:dyDescent="0.35">
      <c r="G16" t="s">
        <v>225</v>
      </c>
    </row>
    <row r="17" spans="1:23" x14ac:dyDescent="0.35">
      <c r="A17" s="9" t="s">
        <v>125</v>
      </c>
      <c r="B17" s="9" t="s">
        <v>233</v>
      </c>
      <c r="C17" s="9" t="s">
        <v>103</v>
      </c>
      <c r="D17" s="9" t="s">
        <v>104</v>
      </c>
      <c r="E17" s="9" t="s">
        <v>105</v>
      </c>
      <c r="F17" s="9" t="s">
        <v>106</v>
      </c>
      <c r="G17" s="9" t="s">
        <v>107</v>
      </c>
      <c r="H17" s="9" t="s">
        <v>108</v>
      </c>
      <c r="I17" s="9" t="s">
        <v>109</v>
      </c>
      <c r="J17" s="9" t="s">
        <v>110</v>
      </c>
      <c r="K17" s="9" t="s">
        <v>111</v>
      </c>
      <c r="L17" s="9" t="s">
        <v>112</v>
      </c>
      <c r="M17" s="9" t="s">
        <v>113</v>
      </c>
      <c r="N17" s="9" t="s">
        <v>114</v>
      </c>
      <c r="O17" s="9" t="s">
        <v>115</v>
      </c>
      <c r="P17" s="9" t="s">
        <v>116</v>
      </c>
      <c r="Q17" s="9" t="s">
        <v>117</v>
      </c>
      <c r="R17" s="9" t="s">
        <v>118</v>
      </c>
      <c r="S17" s="9" t="s">
        <v>119</v>
      </c>
      <c r="T17" s="9" t="s">
        <v>120</v>
      </c>
      <c r="U17" s="9" t="s">
        <v>121</v>
      </c>
      <c r="V17" s="9" t="s">
        <v>122</v>
      </c>
      <c r="W17" s="9" t="s">
        <v>123</v>
      </c>
    </row>
    <row r="18" spans="1:23" x14ac:dyDescent="0.35">
      <c r="A18" s="9" t="s">
        <v>828</v>
      </c>
      <c r="B18" s="3">
        <f>C11</f>
        <v>37</v>
      </c>
      <c r="C18" s="3">
        <f>D11</f>
        <v>37</v>
      </c>
      <c r="D18" s="3">
        <f t="shared" ref="D18:W18" si="0">E11</f>
        <v>35</v>
      </c>
      <c r="E18" s="3">
        <f t="shared" si="0"/>
        <v>33</v>
      </c>
      <c r="F18" s="3">
        <f t="shared" si="0"/>
        <v>31</v>
      </c>
      <c r="G18" s="3">
        <f t="shared" si="0"/>
        <v>29</v>
      </c>
      <c r="H18" s="3">
        <f t="shared" si="0"/>
        <v>28</v>
      </c>
      <c r="I18" s="3">
        <f t="shared" si="0"/>
        <v>27</v>
      </c>
      <c r="J18" s="3">
        <f t="shared" si="0"/>
        <v>27</v>
      </c>
      <c r="K18" s="3">
        <f t="shared" si="0"/>
        <v>22</v>
      </c>
      <c r="L18" s="3">
        <f t="shared" si="0"/>
        <v>20</v>
      </c>
      <c r="M18" s="3">
        <f t="shared" si="0"/>
        <v>19</v>
      </c>
      <c r="N18" s="3">
        <f t="shared" si="0"/>
        <v>17</v>
      </c>
      <c r="O18" s="3">
        <f t="shared" si="0"/>
        <v>15</v>
      </c>
      <c r="P18" s="3">
        <f t="shared" si="0"/>
        <v>13</v>
      </c>
      <c r="Q18" s="3">
        <f t="shared" si="0"/>
        <v>11</v>
      </c>
      <c r="R18" s="3">
        <f t="shared" si="0"/>
        <v>10</v>
      </c>
      <c r="S18" s="3">
        <f t="shared" si="0"/>
        <v>8</v>
      </c>
      <c r="T18" s="3">
        <f t="shared" si="0"/>
        <v>6</v>
      </c>
      <c r="U18" s="3">
        <f t="shared" si="0"/>
        <v>4</v>
      </c>
      <c r="V18" s="3">
        <f t="shared" si="0"/>
        <v>2</v>
      </c>
      <c r="W18" s="3">
        <f t="shared" si="0"/>
        <v>1</v>
      </c>
    </row>
    <row r="19" spans="1:23" x14ac:dyDescent="0.35">
      <c r="A19" s="9" t="s">
        <v>224</v>
      </c>
      <c r="B19" s="3">
        <f>C12</f>
        <v>101</v>
      </c>
      <c r="C19" s="3">
        <f>D12</f>
        <v>101</v>
      </c>
      <c r="D19" s="3">
        <f t="shared" ref="D19:W19" si="1">E12</f>
        <v>96</v>
      </c>
      <c r="E19" s="3">
        <f t="shared" si="1"/>
        <v>91</v>
      </c>
      <c r="F19" s="3">
        <f t="shared" si="1"/>
        <v>91</v>
      </c>
      <c r="G19" s="3">
        <f t="shared" si="1"/>
        <v>91</v>
      </c>
      <c r="H19" s="3">
        <f t="shared" si="1"/>
        <v>89</v>
      </c>
      <c r="I19" s="3">
        <f t="shared" si="1"/>
        <v>87</v>
      </c>
      <c r="J19" s="3">
        <f t="shared" si="1"/>
        <v>87</v>
      </c>
      <c r="K19" s="3">
        <f t="shared" si="1"/>
        <v>73</v>
      </c>
      <c r="L19" s="3">
        <f t="shared" si="1"/>
        <v>66</v>
      </c>
      <c r="M19" s="3">
        <f t="shared" si="1"/>
        <v>65</v>
      </c>
      <c r="N19" s="3">
        <f t="shared" si="1"/>
        <v>62</v>
      </c>
      <c r="O19" s="3">
        <f t="shared" si="1"/>
        <v>57</v>
      </c>
      <c r="P19" s="3">
        <f t="shared" si="1"/>
        <v>55</v>
      </c>
      <c r="Q19" s="3">
        <f t="shared" si="1"/>
        <v>54</v>
      </c>
      <c r="R19" s="3">
        <f t="shared" si="1"/>
        <v>49</v>
      </c>
      <c r="S19" s="3">
        <f t="shared" si="1"/>
        <v>35</v>
      </c>
      <c r="T19" s="3">
        <f t="shared" si="1"/>
        <v>27</v>
      </c>
      <c r="U19" s="3">
        <f t="shared" si="1"/>
        <v>20</v>
      </c>
      <c r="V19" s="3">
        <f t="shared" si="1"/>
        <v>14</v>
      </c>
      <c r="W19" s="3">
        <f t="shared" si="1"/>
        <v>10</v>
      </c>
    </row>
    <row r="20" spans="1:23" x14ac:dyDescent="0.35">
      <c r="A20" s="9" t="s">
        <v>829</v>
      </c>
      <c r="B20" s="3">
        <f t="shared" ref="B20" si="2">SUM(B18:B19)</f>
        <v>138</v>
      </c>
      <c r="C20" s="3">
        <f t="shared" ref="C20" si="3">SUM(C18:C19)</f>
        <v>138</v>
      </c>
      <c r="D20" s="3">
        <f t="shared" ref="D20:W20" si="4">SUM(D18:D19)</f>
        <v>131</v>
      </c>
      <c r="E20" s="3">
        <f t="shared" si="4"/>
        <v>124</v>
      </c>
      <c r="F20" s="3">
        <f t="shared" si="4"/>
        <v>122</v>
      </c>
      <c r="G20" s="3">
        <f t="shared" si="4"/>
        <v>120</v>
      </c>
      <c r="H20" s="3">
        <f t="shared" si="4"/>
        <v>117</v>
      </c>
      <c r="I20" s="3">
        <f t="shared" si="4"/>
        <v>114</v>
      </c>
      <c r="J20" s="3">
        <f t="shared" si="4"/>
        <v>114</v>
      </c>
      <c r="K20" s="3">
        <f t="shared" si="4"/>
        <v>95</v>
      </c>
      <c r="L20" s="3">
        <f t="shared" si="4"/>
        <v>86</v>
      </c>
      <c r="M20" s="3">
        <f t="shared" si="4"/>
        <v>84</v>
      </c>
      <c r="N20" s="3">
        <f t="shared" si="4"/>
        <v>79</v>
      </c>
      <c r="O20" s="3">
        <f t="shared" si="4"/>
        <v>72</v>
      </c>
      <c r="P20" s="3">
        <f t="shared" si="4"/>
        <v>68</v>
      </c>
      <c r="Q20" s="3">
        <f t="shared" si="4"/>
        <v>65</v>
      </c>
      <c r="R20" s="3">
        <f t="shared" si="4"/>
        <v>59</v>
      </c>
      <c r="S20" s="3">
        <f t="shared" si="4"/>
        <v>43</v>
      </c>
      <c r="T20" s="3">
        <f t="shared" si="4"/>
        <v>33</v>
      </c>
      <c r="U20" s="3">
        <f t="shared" si="4"/>
        <v>24</v>
      </c>
      <c r="V20" s="3">
        <f t="shared" si="4"/>
        <v>16</v>
      </c>
      <c r="W20" s="3">
        <f t="shared" si="4"/>
        <v>11</v>
      </c>
    </row>
    <row r="21" spans="1:23" x14ac:dyDescent="0.35">
      <c r="A21" s="9" t="s">
        <v>230</v>
      </c>
      <c r="B21" s="4">
        <f>B19/$B$19</f>
        <v>1</v>
      </c>
      <c r="C21" s="4">
        <f>C19/$B$19</f>
        <v>1</v>
      </c>
      <c r="D21" s="4">
        <f t="shared" ref="D21:W21" si="5">D19/$B$19</f>
        <v>0.95049504950495045</v>
      </c>
      <c r="E21" s="4">
        <f t="shared" si="5"/>
        <v>0.90099009900990101</v>
      </c>
      <c r="F21" s="4">
        <f t="shared" si="5"/>
        <v>0.90099009900990101</v>
      </c>
      <c r="G21" s="4">
        <f t="shared" si="5"/>
        <v>0.90099009900990101</v>
      </c>
      <c r="H21" s="4">
        <f t="shared" si="5"/>
        <v>0.88118811881188119</v>
      </c>
      <c r="I21" s="4">
        <f t="shared" si="5"/>
        <v>0.86138613861386137</v>
      </c>
      <c r="J21" s="4">
        <f t="shared" si="5"/>
        <v>0.86138613861386137</v>
      </c>
      <c r="K21" s="4">
        <f t="shared" si="5"/>
        <v>0.72277227722772275</v>
      </c>
      <c r="L21" s="4">
        <f t="shared" si="5"/>
        <v>0.65346534653465349</v>
      </c>
      <c r="M21" s="4">
        <f t="shared" si="5"/>
        <v>0.64356435643564358</v>
      </c>
      <c r="N21" s="4">
        <f t="shared" si="5"/>
        <v>0.61386138613861385</v>
      </c>
      <c r="O21" s="4">
        <f t="shared" si="5"/>
        <v>0.5643564356435643</v>
      </c>
      <c r="P21" s="4">
        <f t="shared" si="5"/>
        <v>0.54455445544554459</v>
      </c>
      <c r="Q21" s="4">
        <f t="shared" si="5"/>
        <v>0.53465346534653468</v>
      </c>
      <c r="R21" s="4">
        <f t="shared" si="5"/>
        <v>0.48514851485148514</v>
      </c>
      <c r="S21" s="4">
        <f t="shared" si="5"/>
        <v>0.34653465346534651</v>
      </c>
      <c r="T21" s="4">
        <f t="shared" si="5"/>
        <v>0.26732673267326734</v>
      </c>
      <c r="U21" s="4">
        <f t="shared" si="5"/>
        <v>0.19801980198019803</v>
      </c>
      <c r="V21" s="4">
        <f t="shared" si="5"/>
        <v>0.13861386138613863</v>
      </c>
      <c r="W21" s="4">
        <f t="shared" si="5"/>
        <v>9.9009900990099015E-2</v>
      </c>
    </row>
    <row r="22" spans="1:23" x14ac:dyDescent="0.35">
      <c r="A22" s="9" t="s">
        <v>830</v>
      </c>
      <c r="B22" s="4">
        <f t="shared" ref="B22" si="6">B18/B20</f>
        <v>0.26811594202898553</v>
      </c>
      <c r="C22" s="4">
        <f t="shared" ref="C22" si="7">C18/C20</f>
        <v>0.26811594202898553</v>
      </c>
      <c r="D22" s="4">
        <f t="shared" ref="D22:W22" si="8">D18/D20</f>
        <v>0.26717557251908397</v>
      </c>
      <c r="E22" s="4">
        <f t="shared" si="8"/>
        <v>0.2661290322580645</v>
      </c>
      <c r="F22" s="4">
        <f t="shared" si="8"/>
        <v>0.25409836065573771</v>
      </c>
      <c r="G22" s="4">
        <f t="shared" si="8"/>
        <v>0.24166666666666667</v>
      </c>
      <c r="H22" s="4">
        <f t="shared" si="8"/>
        <v>0.23931623931623933</v>
      </c>
      <c r="I22" s="4">
        <f t="shared" si="8"/>
        <v>0.23684210526315788</v>
      </c>
      <c r="J22" s="4">
        <f t="shared" si="8"/>
        <v>0.23684210526315788</v>
      </c>
      <c r="K22" s="4">
        <f t="shared" si="8"/>
        <v>0.23157894736842105</v>
      </c>
      <c r="L22" s="4">
        <f t="shared" si="8"/>
        <v>0.23255813953488372</v>
      </c>
      <c r="M22" s="4">
        <f t="shared" si="8"/>
        <v>0.22619047619047619</v>
      </c>
      <c r="N22" s="4">
        <f t="shared" si="8"/>
        <v>0.21518987341772153</v>
      </c>
      <c r="O22" s="4">
        <f t="shared" si="8"/>
        <v>0.20833333333333334</v>
      </c>
      <c r="P22" s="4">
        <f t="shared" si="8"/>
        <v>0.19117647058823528</v>
      </c>
      <c r="Q22" s="4">
        <f t="shared" si="8"/>
        <v>0.16923076923076924</v>
      </c>
      <c r="R22" s="4">
        <f t="shared" si="8"/>
        <v>0.16949152542372881</v>
      </c>
      <c r="S22" s="4">
        <f t="shared" si="8"/>
        <v>0.18604651162790697</v>
      </c>
      <c r="T22" s="4">
        <f t="shared" si="8"/>
        <v>0.18181818181818182</v>
      </c>
      <c r="U22" s="4">
        <f t="shared" si="8"/>
        <v>0.16666666666666666</v>
      </c>
      <c r="V22" s="4">
        <f t="shared" si="8"/>
        <v>0.125</v>
      </c>
      <c r="W22" s="4">
        <f t="shared" si="8"/>
        <v>9.0909090909090912E-2</v>
      </c>
    </row>
    <row r="23" spans="1:23" x14ac:dyDescent="0.35">
      <c r="A23" s="9" t="s">
        <v>831</v>
      </c>
      <c r="B23" s="9"/>
      <c r="C23" s="8">
        <f>B7</f>
        <v>85050</v>
      </c>
      <c r="D23" s="8">
        <f t="shared" ref="D23:W23" si="9">C7</f>
        <v>89030</v>
      </c>
      <c r="E23" s="8">
        <f t="shared" si="9"/>
        <v>91669.203999999998</v>
      </c>
      <c r="F23" s="8">
        <f t="shared" si="9"/>
        <v>93087.394</v>
      </c>
      <c r="G23" s="8">
        <f t="shared" si="9"/>
        <v>94164.18</v>
      </c>
      <c r="H23" s="8">
        <f t="shared" si="9"/>
        <v>96798.05</v>
      </c>
      <c r="I23" s="8">
        <f t="shared" si="9"/>
        <v>100000</v>
      </c>
      <c r="J23" s="8">
        <f t="shared" si="9"/>
        <v>100000</v>
      </c>
      <c r="K23" s="8">
        <f t="shared" si="9"/>
        <v>101589.726</v>
      </c>
      <c r="L23" s="8">
        <f t="shared" si="9"/>
        <v>106295.712</v>
      </c>
      <c r="M23" s="8">
        <f t="shared" si="9"/>
        <v>110193.28</v>
      </c>
      <c r="N23" s="8">
        <f t="shared" si="9"/>
        <v>119645.424</v>
      </c>
      <c r="O23" s="8">
        <f t="shared" si="9"/>
        <v>127698</v>
      </c>
      <c r="P23" s="8">
        <f t="shared" si="9"/>
        <v>137713.79399999999</v>
      </c>
      <c r="Q23" s="8">
        <f t="shared" si="9"/>
        <v>139806</v>
      </c>
      <c r="R23" s="8">
        <f t="shared" si="9"/>
        <v>150000</v>
      </c>
      <c r="S23" s="8">
        <f t="shared" si="9"/>
        <v>161820.22</v>
      </c>
      <c r="T23" s="8">
        <f t="shared" si="9"/>
        <v>190199.99999999991</v>
      </c>
      <c r="U23" s="8">
        <f t="shared" si="9"/>
        <v>213800</v>
      </c>
      <c r="V23" s="8">
        <f t="shared" si="9"/>
        <v>259913.9999999998</v>
      </c>
      <c r="W23" s="8">
        <f t="shared" si="9"/>
        <v>440000</v>
      </c>
    </row>
    <row r="24" spans="1:23" x14ac:dyDescent="0.35">
      <c r="A24" s="9" t="s">
        <v>832</v>
      </c>
      <c r="B24" s="20">
        <f>$B$18-B18</f>
        <v>0</v>
      </c>
      <c r="C24" s="20">
        <f>$B$18-C18</f>
        <v>0</v>
      </c>
      <c r="D24" s="20">
        <f t="shared" ref="D24:W24" si="10">$B$18-D18</f>
        <v>2</v>
      </c>
      <c r="E24" s="20">
        <f t="shared" si="10"/>
        <v>4</v>
      </c>
      <c r="F24" s="20">
        <f t="shared" si="10"/>
        <v>6</v>
      </c>
      <c r="G24" s="20">
        <f t="shared" si="10"/>
        <v>8</v>
      </c>
      <c r="H24" s="20">
        <f t="shared" si="10"/>
        <v>9</v>
      </c>
      <c r="I24" s="20">
        <f t="shared" si="10"/>
        <v>10</v>
      </c>
      <c r="J24" s="20">
        <f t="shared" si="10"/>
        <v>10</v>
      </c>
      <c r="K24" s="20">
        <f t="shared" si="10"/>
        <v>15</v>
      </c>
      <c r="L24" s="20">
        <f t="shared" si="10"/>
        <v>17</v>
      </c>
      <c r="M24" s="20">
        <f t="shared" si="10"/>
        <v>18</v>
      </c>
      <c r="N24" s="20">
        <f t="shared" si="10"/>
        <v>20</v>
      </c>
      <c r="O24" s="20">
        <f t="shared" si="10"/>
        <v>22</v>
      </c>
      <c r="P24" s="20">
        <f t="shared" si="10"/>
        <v>24</v>
      </c>
      <c r="Q24" s="20">
        <f t="shared" si="10"/>
        <v>26</v>
      </c>
      <c r="R24" s="20">
        <f t="shared" si="10"/>
        <v>27</v>
      </c>
      <c r="S24" s="20">
        <f t="shared" si="10"/>
        <v>29</v>
      </c>
      <c r="T24" s="20">
        <f t="shared" si="10"/>
        <v>31</v>
      </c>
      <c r="U24" s="20">
        <f t="shared" si="10"/>
        <v>33</v>
      </c>
      <c r="V24" s="20">
        <f t="shared" si="10"/>
        <v>35</v>
      </c>
      <c r="W24" s="20">
        <f t="shared" si="10"/>
        <v>36</v>
      </c>
    </row>
    <row r="25" spans="1:23" x14ac:dyDescent="0.35">
      <c r="A25" s="9" t="s">
        <v>245</v>
      </c>
      <c r="B25" s="20">
        <f>$B$19-B19</f>
        <v>0</v>
      </c>
      <c r="C25" s="20">
        <f>$B$19-C19</f>
        <v>0</v>
      </c>
      <c r="D25" s="20">
        <f t="shared" ref="D25:W25" si="11">$B$19-D19</f>
        <v>5</v>
      </c>
      <c r="E25" s="20">
        <f t="shared" si="11"/>
        <v>10</v>
      </c>
      <c r="F25" s="20">
        <f t="shared" si="11"/>
        <v>10</v>
      </c>
      <c r="G25" s="20">
        <f t="shared" si="11"/>
        <v>10</v>
      </c>
      <c r="H25" s="20">
        <f t="shared" si="11"/>
        <v>12</v>
      </c>
      <c r="I25" s="20">
        <f t="shared" si="11"/>
        <v>14</v>
      </c>
      <c r="J25" s="20">
        <f t="shared" si="11"/>
        <v>14</v>
      </c>
      <c r="K25" s="20">
        <f t="shared" si="11"/>
        <v>28</v>
      </c>
      <c r="L25" s="20">
        <f t="shared" si="11"/>
        <v>35</v>
      </c>
      <c r="M25" s="20">
        <f t="shared" si="11"/>
        <v>36</v>
      </c>
      <c r="N25" s="20">
        <f t="shared" si="11"/>
        <v>39</v>
      </c>
      <c r="O25" s="20">
        <f t="shared" si="11"/>
        <v>44</v>
      </c>
      <c r="P25" s="20">
        <f t="shared" si="11"/>
        <v>46</v>
      </c>
      <c r="Q25" s="20">
        <f t="shared" si="11"/>
        <v>47</v>
      </c>
      <c r="R25" s="20">
        <f t="shared" si="11"/>
        <v>52</v>
      </c>
      <c r="S25" s="20">
        <f t="shared" si="11"/>
        <v>66</v>
      </c>
      <c r="T25" s="20">
        <f t="shared" si="11"/>
        <v>74</v>
      </c>
      <c r="U25" s="20">
        <f t="shared" si="11"/>
        <v>81</v>
      </c>
      <c r="V25" s="20">
        <f t="shared" si="11"/>
        <v>87</v>
      </c>
      <c r="W25" s="20">
        <f t="shared" si="11"/>
        <v>91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7D38-9994-4CEF-91CB-5960391BCA2D}">
  <dimension ref="A1:X25"/>
  <sheetViews>
    <sheetView tabSelected="1" topLeftCell="E17" zoomScale="40" zoomScaleNormal="40" workbookViewId="0">
      <selection activeCell="A18" sqref="A18:A25"/>
    </sheetView>
  </sheetViews>
  <sheetFormatPr defaultRowHeight="14.5" x14ac:dyDescent="0.35"/>
  <cols>
    <col min="1" max="1" width="18.7265625" bestFit="1" customWidth="1"/>
    <col min="2" max="2" width="19.453125" bestFit="1" customWidth="1"/>
    <col min="3" max="3" width="25.36328125" bestFit="1" customWidth="1"/>
    <col min="4" max="5" width="33.26953125" bestFit="1" customWidth="1"/>
    <col min="6" max="7" width="32.81640625" bestFit="1" customWidth="1"/>
    <col min="8" max="23" width="33.26953125" bestFit="1" customWidth="1"/>
    <col min="24" max="25" width="34.1796875" bestFit="1" customWidth="1"/>
  </cols>
  <sheetData>
    <row r="1" spans="1:24" ht="14.5" customHeight="1" x14ac:dyDescent="0.35">
      <c r="A1" s="56" t="s">
        <v>381</v>
      </c>
      <c r="B1" s="56"/>
      <c r="C1" s="56"/>
      <c r="D1" s="56"/>
      <c r="E1" s="56"/>
      <c r="F1" s="56"/>
    </row>
    <row r="2" spans="1:24" ht="14.5" customHeight="1" x14ac:dyDescent="0.35">
      <c r="A2" s="56"/>
      <c r="B2" s="56"/>
      <c r="C2" s="56"/>
      <c r="D2" s="56"/>
      <c r="E2" s="56"/>
      <c r="F2" s="56"/>
    </row>
    <row r="3" spans="1:24" ht="14.5" customHeight="1" x14ac:dyDescent="0.35">
      <c r="A3" s="56"/>
      <c r="B3" s="56"/>
      <c r="C3" s="56"/>
      <c r="D3" s="56"/>
      <c r="E3" s="56"/>
      <c r="F3" s="56"/>
    </row>
    <row r="4" spans="1:24" x14ac:dyDescent="0.35">
      <c r="A4" s="2"/>
    </row>
    <row r="5" spans="1:24" x14ac:dyDescent="0.35">
      <c r="A5" t="s">
        <v>46</v>
      </c>
      <c r="B5" t="s">
        <v>182</v>
      </c>
      <c r="C5" t="s">
        <v>183</v>
      </c>
      <c r="D5" t="s">
        <v>184</v>
      </c>
      <c r="E5" t="s">
        <v>185</v>
      </c>
      <c r="F5" t="s">
        <v>186</v>
      </c>
      <c r="G5" t="s">
        <v>187</v>
      </c>
      <c r="H5" t="s">
        <v>188</v>
      </c>
      <c r="I5" t="s">
        <v>189</v>
      </c>
      <c r="J5" t="s">
        <v>190</v>
      </c>
      <c r="K5" t="s">
        <v>191</v>
      </c>
      <c r="L5" t="s">
        <v>192</v>
      </c>
      <c r="M5" t="s">
        <v>193</v>
      </c>
      <c r="N5" t="s">
        <v>194</v>
      </c>
      <c r="O5" t="s">
        <v>195</v>
      </c>
      <c r="P5" t="s">
        <v>196</v>
      </c>
      <c r="Q5" t="s">
        <v>197</v>
      </c>
      <c r="R5" t="s">
        <v>198</v>
      </c>
      <c r="S5" t="s">
        <v>199</v>
      </c>
      <c r="T5" t="s">
        <v>200</v>
      </c>
      <c r="U5" t="s">
        <v>201</v>
      </c>
      <c r="V5" t="s">
        <v>202</v>
      </c>
    </row>
    <row r="6" spans="1:24" x14ac:dyDescent="0.35">
      <c r="A6" t="s">
        <v>79</v>
      </c>
      <c r="B6">
        <v>76382.789999999994</v>
      </c>
      <c r="C6">
        <v>79891.56</v>
      </c>
      <c r="D6">
        <v>79937.08</v>
      </c>
      <c r="E6">
        <v>88865.89</v>
      </c>
      <c r="F6">
        <v>94634.78</v>
      </c>
      <c r="G6">
        <v>97229.53</v>
      </c>
      <c r="H6">
        <v>98360.01</v>
      </c>
      <c r="I6">
        <v>100000</v>
      </c>
      <c r="J6">
        <v>104738.68</v>
      </c>
      <c r="K6">
        <v>108176.82</v>
      </c>
      <c r="L6">
        <v>110891.36</v>
      </c>
      <c r="M6">
        <v>115427.47</v>
      </c>
      <c r="N6">
        <v>118009.65</v>
      </c>
      <c r="O6">
        <v>136718.03</v>
      </c>
      <c r="P6">
        <v>148758.49</v>
      </c>
      <c r="Q6">
        <v>182944.14</v>
      </c>
      <c r="R6">
        <v>217448.27</v>
      </c>
      <c r="S6">
        <v>222704.65</v>
      </c>
      <c r="T6">
        <v>225130.1</v>
      </c>
      <c r="U6">
        <v>259946.2</v>
      </c>
      <c r="V6">
        <v>270019.89</v>
      </c>
    </row>
    <row r="7" spans="1:24" x14ac:dyDescent="0.35">
      <c r="A7" t="s">
        <v>96</v>
      </c>
      <c r="B7">
        <v>76382.789999999994</v>
      </c>
      <c r="C7">
        <v>79891.56</v>
      </c>
      <c r="D7">
        <v>79937.08</v>
      </c>
      <c r="E7">
        <v>88865.89</v>
      </c>
      <c r="F7">
        <v>94634.78</v>
      </c>
      <c r="G7">
        <v>97229.53</v>
      </c>
      <c r="H7">
        <v>98360.01</v>
      </c>
      <c r="I7">
        <v>100000</v>
      </c>
      <c r="J7">
        <v>104738.68</v>
      </c>
      <c r="K7">
        <v>108176.82</v>
      </c>
      <c r="L7">
        <v>110891.36</v>
      </c>
      <c r="M7">
        <v>115427.47</v>
      </c>
      <c r="N7">
        <v>118009.65</v>
      </c>
      <c r="O7">
        <v>136718.03</v>
      </c>
      <c r="P7">
        <v>148758.49</v>
      </c>
      <c r="Q7">
        <v>182944.14</v>
      </c>
      <c r="R7">
        <v>217448.27</v>
      </c>
      <c r="S7">
        <v>222704.65</v>
      </c>
      <c r="T7">
        <v>225130.1</v>
      </c>
      <c r="U7">
        <v>259946.2</v>
      </c>
      <c r="V7">
        <v>270019.89</v>
      </c>
    </row>
    <row r="10" spans="1:24" x14ac:dyDescent="0.35">
      <c r="A10" t="s">
        <v>46</v>
      </c>
      <c r="B10" t="s">
        <v>36</v>
      </c>
      <c r="C10" t="s">
        <v>232</v>
      </c>
      <c r="D10" t="s">
        <v>204</v>
      </c>
      <c r="E10" t="s">
        <v>203</v>
      </c>
      <c r="F10" t="s">
        <v>205</v>
      </c>
      <c r="G10" t="s">
        <v>206</v>
      </c>
      <c r="H10" t="s">
        <v>207</v>
      </c>
      <c r="I10" t="s">
        <v>208</v>
      </c>
      <c r="J10" t="s">
        <v>209</v>
      </c>
      <c r="K10" t="s">
        <v>210</v>
      </c>
      <c r="L10" t="s">
        <v>211</v>
      </c>
      <c r="M10" t="s">
        <v>212</v>
      </c>
      <c r="N10" t="s">
        <v>213</v>
      </c>
      <c r="O10" t="s">
        <v>214</v>
      </c>
      <c r="P10" t="s">
        <v>215</v>
      </c>
      <c r="Q10" t="s">
        <v>216</v>
      </c>
      <c r="R10" t="s">
        <v>217</v>
      </c>
      <c r="S10" t="s">
        <v>218</v>
      </c>
      <c r="T10" t="s">
        <v>219</v>
      </c>
      <c r="U10" t="s">
        <v>220</v>
      </c>
      <c r="V10" t="s">
        <v>221</v>
      </c>
      <c r="W10" t="s">
        <v>222</v>
      </c>
      <c r="X10" t="s">
        <v>223</v>
      </c>
    </row>
    <row r="11" spans="1:24" x14ac:dyDescent="0.35">
      <c r="A11" t="s">
        <v>79</v>
      </c>
      <c r="B11">
        <v>0</v>
      </c>
      <c r="C11">
        <v>21</v>
      </c>
      <c r="D11">
        <v>21</v>
      </c>
      <c r="E11">
        <v>20</v>
      </c>
      <c r="F11">
        <v>19</v>
      </c>
      <c r="G11">
        <v>18</v>
      </c>
      <c r="H11">
        <v>17</v>
      </c>
      <c r="I11">
        <v>16</v>
      </c>
      <c r="J11">
        <v>15</v>
      </c>
      <c r="K11">
        <v>14</v>
      </c>
      <c r="L11">
        <v>13</v>
      </c>
      <c r="M11">
        <v>12</v>
      </c>
      <c r="N11">
        <v>11</v>
      </c>
      <c r="O11">
        <v>10</v>
      </c>
      <c r="P11">
        <v>9</v>
      </c>
      <c r="Q11">
        <v>8</v>
      </c>
      <c r="R11">
        <v>7</v>
      </c>
      <c r="S11">
        <v>6</v>
      </c>
      <c r="T11">
        <v>5</v>
      </c>
      <c r="U11">
        <v>4</v>
      </c>
      <c r="V11">
        <v>3</v>
      </c>
      <c r="W11">
        <v>2</v>
      </c>
      <c r="X11">
        <v>1</v>
      </c>
    </row>
    <row r="12" spans="1:24" x14ac:dyDescent="0.35">
      <c r="A12" t="s">
        <v>79</v>
      </c>
      <c r="B12">
        <v>1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5">
      <c r="A13" t="s">
        <v>96</v>
      </c>
      <c r="C13">
        <v>24</v>
      </c>
      <c r="D13">
        <v>24</v>
      </c>
      <c r="E13">
        <v>23</v>
      </c>
      <c r="F13">
        <v>22</v>
      </c>
      <c r="G13">
        <v>21</v>
      </c>
      <c r="H13">
        <v>20</v>
      </c>
      <c r="I13">
        <v>19</v>
      </c>
      <c r="J13">
        <v>18</v>
      </c>
      <c r="K13">
        <v>17</v>
      </c>
      <c r="L13">
        <v>16</v>
      </c>
      <c r="M13">
        <v>14</v>
      </c>
      <c r="N13">
        <v>13</v>
      </c>
      <c r="O13">
        <v>12</v>
      </c>
      <c r="P13">
        <v>11</v>
      </c>
      <c r="Q13">
        <v>10</v>
      </c>
      <c r="R13">
        <v>9</v>
      </c>
      <c r="S13">
        <v>7</v>
      </c>
      <c r="T13">
        <v>5</v>
      </c>
      <c r="U13">
        <v>4</v>
      </c>
      <c r="V13">
        <v>3</v>
      </c>
      <c r="W13">
        <v>2</v>
      </c>
      <c r="X13">
        <v>1</v>
      </c>
    </row>
    <row r="16" spans="1:24" x14ac:dyDescent="0.35">
      <c r="G16" t="s">
        <v>225</v>
      </c>
    </row>
    <row r="17" spans="1:23" x14ac:dyDescent="0.35">
      <c r="A17" s="9" t="s">
        <v>125</v>
      </c>
      <c r="B17" s="9" t="s">
        <v>233</v>
      </c>
      <c r="C17" s="9" t="s">
        <v>103</v>
      </c>
      <c r="D17" s="9" t="s">
        <v>104</v>
      </c>
      <c r="E17" s="9" t="s">
        <v>105</v>
      </c>
      <c r="F17" s="9" t="s">
        <v>106</v>
      </c>
      <c r="G17" s="9" t="s">
        <v>107</v>
      </c>
      <c r="H17" s="9" t="s">
        <v>108</v>
      </c>
      <c r="I17" s="9" t="s">
        <v>109</v>
      </c>
      <c r="J17" s="9" t="s">
        <v>110</v>
      </c>
      <c r="K17" s="9" t="s">
        <v>111</v>
      </c>
      <c r="L17" s="9" t="s">
        <v>112</v>
      </c>
      <c r="M17" s="9" t="s">
        <v>113</v>
      </c>
      <c r="N17" s="9" t="s">
        <v>114</v>
      </c>
      <c r="O17" s="9" t="s">
        <v>115</v>
      </c>
      <c r="P17" s="9" t="s">
        <v>116</v>
      </c>
      <c r="Q17" s="9" t="s">
        <v>117</v>
      </c>
      <c r="R17" s="9" t="s">
        <v>118</v>
      </c>
      <c r="S17" s="9" t="s">
        <v>119</v>
      </c>
      <c r="T17" s="9" t="s">
        <v>120</v>
      </c>
      <c r="U17" s="9" t="s">
        <v>121</v>
      </c>
      <c r="V17" s="9" t="s">
        <v>122</v>
      </c>
      <c r="W17" s="9" t="s">
        <v>123</v>
      </c>
    </row>
    <row r="18" spans="1:23" x14ac:dyDescent="0.35">
      <c r="A18" s="9" t="s">
        <v>828</v>
      </c>
      <c r="B18" s="3">
        <f>C11</f>
        <v>21</v>
      </c>
      <c r="C18" s="3">
        <f>D11</f>
        <v>21</v>
      </c>
      <c r="D18" s="3">
        <f t="shared" ref="D18:W18" si="0">E11</f>
        <v>20</v>
      </c>
      <c r="E18" s="3">
        <f t="shared" si="0"/>
        <v>19</v>
      </c>
      <c r="F18" s="3">
        <f t="shared" si="0"/>
        <v>18</v>
      </c>
      <c r="G18" s="3">
        <f t="shared" si="0"/>
        <v>17</v>
      </c>
      <c r="H18" s="3">
        <f t="shared" si="0"/>
        <v>16</v>
      </c>
      <c r="I18" s="3">
        <f t="shared" si="0"/>
        <v>15</v>
      </c>
      <c r="J18" s="3">
        <f t="shared" si="0"/>
        <v>14</v>
      </c>
      <c r="K18" s="3">
        <f t="shared" si="0"/>
        <v>13</v>
      </c>
      <c r="L18" s="3">
        <f t="shared" si="0"/>
        <v>12</v>
      </c>
      <c r="M18" s="3">
        <f t="shared" si="0"/>
        <v>11</v>
      </c>
      <c r="N18" s="3">
        <f t="shared" si="0"/>
        <v>10</v>
      </c>
      <c r="O18" s="3">
        <f t="shared" si="0"/>
        <v>9</v>
      </c>
      <c r="P18" s="3">
        <f t="shared" si="0"/>
        <v>8</v>
      </c>
      <c r="Q18" s="3">
        <f t="shared" si="0"/>
        <v>7</v>
      </c>
      <c r="R18" s="3">
        <f t="shared" si="0"/>
        <v>6</v>
      </c>
      <c r="S18" s="3">
        <f t="shared" si="0"/>
        <v>5</v>
      </c>
      <c r="T18" s="3">
        <f t="shared" si="0"/>
        <v>4</v>
      </c>
      <c r="U18" s="3">
        <f t="shared" si="0"/>
        <v>3</v>
      </c>
      <c r="V18" s="3">
        <f t="shared" si="0"/>
        <v>2</v>
      </c>
      <c r="W18" s="3">
        <f t="shared" si="0"/>
        <v>1</v>
      </c>
    </row>
    <row r="19" spans="1:23" x14ac:dyDescent="0.35">
      <c r="A19" s="9" t="s">
        <v>224</v>
      </c>
      <c r="B19" s="3">
        <f>C12</f>
        <v>3</v>
      </c>
      <c r="C19" s="3">
        <f>D12</f>
        <v>3</v>
      </c>
      <c r="D19" s="3">
        <f t="shared" ref="D19:W19" si="1">E12</f>
        <v>3</v>
      </c>
      <c r="E19" s="3">
        <f t="shared" si="1"/>
        <v>3</v>
      </c>
      <c r="F19" s="3">
        <f t="shared" si="1"/>
        <v>3</v>
      </c>
      <c r="G19" s="3">
        <f t="shared" si="1"/>
        <v>3</v>
      </c>
      <c r="H19" s="3">
        <f t="shared" si="1"/>
        <v>3</v>
      </c>
      <c r="I19" s="3">
        <f t="shared" si="1"/>
        <v>3</v>
      </c>
      <c r="J19" s="3">
        <f t="shared" si="1"/>
        <v>3</v>
      </c>
      <c r="K19" s="3">
        <f t="shared" si="1"/>
        <v>3</v>
      </c>
      <c r="L19" s="3">
        <f t="shared" si="1"/>
        <v>2</v>
      </c>
      <c r="M19" s="3">
        <f t="shared" si="1"/>
        <v>2</v>
      </c>
      <c r="N19" s="3">
        <f t="shared" si="1"/>
        <v>2</v>
      </c>
      <c r="O19" s="3">
        <f t="shared" si="1"/>
        <v>2</v>
      </c>
      <c r="P19" s="3">
        <f t="shared" si="1"/>
        <v>2</v>
      </c>
      <c r="Q19" s="3">
        <f t="shared" si="1"/>
        <v>2</v>
      </c>
      <c r="R19" s="3">
        <f t="shared" si="1"/>
        <v>1</v>
      </c>
      <c r="S19" s="3">
        <f t="shared" si="1"/>
        <v>0</v>
      </c>
      <c r="T19" s="3">
        <f t="shared" si="1"/>
        <v>0</v>
      </c>
      <c r="U19" s="3">
        <f t="shared" si="1"/>
        <v>0</v>
      </c>
      <c r="V19" s="3">
        <f t="shared" si="1"/>
        <v>0</v>
      </c>
      <c r="W19" s="3">
        <f t="shared" si="1"/>
        <v>0</v>
      </c>
    </row>
    <row r="20" spans="1:23" x14ac:dyDescent="0.35">
      <c r="A20" s="9" t="s">
        <v>829</v>
      </c>
      <c r="B20" s="3">
        <f t="shared" ref="B20" si="2">SUM(B18:B19)</f>
        <v>24</v>
      </c>
      <c r="C20" s="3">
        <f t="shared" ref="C20:W20" si="3">SUM(C18:C19)</f>
        <v>24</v>
      </c>
      <c r="D20" s="3">
        <f t="shared" si="3"/>
        <v>23</v>
      </c>
      <c r="E20" s="3">
        <f t="shared" si="3"/>
        <v>22</v>
      </c>
      <c r="F20" s="3">
        <f t="shared" si="3"/>
        <v>21</v>
      </c>
      <c r="G20" s="3">
        <f t="shared" si="3"/>
        <v>20</v>
      </c>
      <c r="H20" s="3">
        <f t="shared" si="3"/>
        <v>19</v>
      </c>
      <c r="I20" s="3">
        <f t="shared" si="3"/>
        <v>18</v>
      </c>
      <c r="J20" s="3">
        <f t="shared" si="3"/>
        <v>17</v>
      </c>
      <c r="K20" s="3">
        <f t="shared" si="3"/>
        <v>16</v>
      </c>
      <c r="L20" s="3">
        <f t="shared" si="3"/>
        <v>14</v>
      </c>
      <c r="M20" s="3">
        <f t="shared" si="3"/>
        <v>13</v>
      </c>
      <c r="N20" s="3">
        <f t="shared" si="3"/>
        <v>12</v>
      </c>
      <c r="O20" s="3">
        <f t="shared" si="3"/>
        <v>11</v>
      </c>
      <c r="P20" s="3">
        <f t="shared" si="3"/>
        <v>10</v>
      </c>
      <c r="Q20" s="3">
        <f t="shared" si="3"/>
        <v>9</v>
      </c>
      <c r="R20" s="3">
        <f t="shared" si="3"/>
        <v>7</v>
      </c>
      <c r="S20" s="3">
        <f t="shared" si="3"/>
        <v>5</v>
      </c>
      <c r="T20" s="3">
        <f t="shared" si="3"/>
        <v>4</v>
      </c>
      <c r="U20" s="3">
        <f t="shared" si="3"/>
        <v>3</v>
      </c>
      <c r="V20" s="3">
        <f t="shared" si="3"/>
        <v>2</v>
      </c>
      <c r="W20" s="3">
        <f t="shared" si="3"/>
        <v>1</v>
      </c>
    </row>
    <row r="21" spans="1:23" x14ac:dyDescent="0.35">
      <c r="A21" s="9" t="s">
        <v>230</v>
      </c>
      <c r="B21" s="4">
        <f>B19/$B$19</f>
        <v>1</v>
      </c>
      <c r="C21" s="4">
        <f>C19/$B$19</f>
        <v>1</v>
      </c>
      <c r="D21" s="4">
        <f t="shared" ref="D21:W21" si="4">D19/$B$19</f>
        <v>1</v>
      </c>
      <c r="E21" s="4">
        <f t="shared" si="4"/>
        <v>1</v>
      </c>
      <c r="F21" s="4">
        <f t="shared" si="4"/>
        <v>1</v>
      </c>
      <c r="G21" s="4">
        <f t="shared" si="4"/>
        <v>1</v>
      </c>
      <c r="H21" s="4">
        <f t="shared" si="4"/>
        <v>1</v>
      </c>
      <c r="I21" s="4">
        <f t="shared" si="4"/>
        <v>1</v>
      </c>
      <c r="J21" s="4">
        <f t="shared" si="4"/>
        <v>1</v>
      </c>
      <c r="K21" s="4">
        <f t="shared" si="4"/>
        <v>1</v>
      </c>
      <c r="L21" s="4">
        <f t="shared" si="4"/>
        <v>0.66666666666666663</v>
      </c>
      <c r="M21" s="4">
        <f t="shared" si="4"/>
        <v>0.66666666666666663</v>
      </c>
      <c r="N21" s="4">
        <f t="shared" si="4"/>
        <v>0.66666666666666663</v>
      </c>
      <c r="O21" s="4">
        <f t="shared" si="4"/>
        <v>0.66666666666666663</v>
      </c>
      <c r="P21" s="4">
        <f t="shared" si="4"/>
        <v>0.66666666666666663</v>
      </c>
      <c r="Q21" s="4">
        <f t="shared" si="4"/>
        <v>0.66666666666666663</v>
      </c>
      <c r="R21" s="4">
        <f t="shared" si="4"/>
        <v>0.33333333333333331</v>
      </c>
      <c r="S21" s="4">
        <f t="shared" si="4"/>
        <v>0</v>
      </c>
      <c r="T21" s="4">
        <f t="shared" si="4"/>
        <v>0</v>
      </c>
      <c r="U21" s="4">
        <f t="shared" si="4"/>
        <v>0</v>
      </c>
      <c r="V21" s="4">
        <f t="shared" si="4"/>
        <v>0</v>
      </c>
      <c r="W21" s="4">
        <f t="shared" si="4"/>
        <v>0</v>
      </c>
    </row>
    <row r="22" spans="1:23" x14ac:dyDescent="0.35">
      <c r="A22" s="9" t="s">
        <v>830</v>
      </c>
      <c r="B22" s="4">
        <f t="shared" ref="B22" si="5">B18/B20</f>
        <v>0.875</v>
      </c>
      <c r="C22" s="4">
        <f t="shared" ref="C22:W22" si="6">C18/C20</f>
        <v>0.875</v>
      </c>
      <c r="D22" s="4">
        <f t="shared" si="6"/>
        <v>0.86956521739130432</v>
      </c>
      <c r="E22" s="4">
        <f t="shared" si="6"/>
        <v>0.86363636363636365</v>
      </c>
      <c r="F22" s="4">
        <f t="shared" si="6"/>
        <v>0.8571428571428571</v>
      </c>
      <c r="G22" s="4">
        <f t="shared" si="6"/>
        <v>0.85</v>
      </c>
      <c r="H22" s="4">
        <f t="shared" si="6"/>
        <v>0.84210526315789469</v>
      </c>
      <c r="I22" s="4">
        <f t="shared" si="6"/>
        <v>0.83333333333333337</v>
      </c>
      <c r="J22" s="4">
        <f t="shared" si="6"/>
        <v>0.82352941176470584</v>
      </c>
      <c r="K22" s="4">
        <f t="shared" si="6"/>
        <v>0.8125</v>
      </c>
      <c r="L22" s="4">
        <f t="shared" si="6"/>
        <v>0.8571428571428571</v>
      </c>
      <c r="M22" s="4">
        <f t="shared" si="6"/>
        <v>0.84615384615384615</v>
      </c>
      <c r="N22" s="4">
        <f t="shared" si="6"/>
        <v>0.83333333333333337</v>
      </c>
      <c r="O22" s="4">
        <f t="shared" si="6"/>
        <v>0.81818181818181823</v>
      </c>
      <c r="P22" s="4">
        <f t="shared" si="6"/>
        <v>0.8</v>
      </c>
      <c r="Q22" s="4">
        <f t="shared" si="6"/>
        <v>0.77777777777777779</v>
      </c>
      <c r="R22" s="4">
        <f t="shared" si="6"/>
        <v>0.8571428571428571</v>
      </c>
      <c r="S22" s="4">
        <f t="shared" si="6"/>
        <v>1</v>
      </c>
      <c r="T22" s="4">
        <f t="shared" si="6"/>
        <v>1</v>
      </c>
      <c r="U22" s="4">
        <f t="shared" si="6"/>
        <v>1</v>
      </c>
      <c r="V22" s="4">
        <f t="shared" si="6"/>
        <v>1</v>
      </c>
      <c r="W22" s="4">
        <f t="shared" si="6"/>
        <v>1</v>
      </c>
    </row>
    <row r="23" spans="1:23" x14ac:dyDescent="0.35">
      <c r="A23" s="9" t="s">
        <v>831</v>
      </c>
      <c r="B23" s="9"/>
      <c r="C23" s="8">
        <f>B7</f>
        <v>76382.789999999994</v>
      </c>
      <c r="D23" s="8">
        <f t="shared" ref="D23:W23" si="7">C7</f>
        <v>79891.56</v>
      </c>
      <c r="E23" s="8">
        <f t="shared" si="7"/>
        <v>79937.08</v>
      </c>
      <c r="F23" s="8">
        <f t="shared" si="7"/>
        <v>88865.89</v>
      </c>
      <c r="G23" s="8">
        <f t="shared" si="7"/>
        <v>94634.78</v>
      </c>
      <c r="H23" s="8">
        <f t="shared" si="7"/>
        <v>97229.53</v>
      </c>
      <c r="I23" s="8">
        <f t="shared" si="7"/>
        <v>98360.01</v>
      </c>
      <c r="J23" s="8">
        <f t="shared" si="7"/>
        <v>100000</v>
      </c>
      <c r="K23" s="8">
        <f t="shared" si="7"/>
        <v>104738.68</v>
      </c>
      <c r="L23" s="8">
        <f t="shared" si="7"/>
        <v>108176.82</v>
      </c>
      <c r="M23" s="8">
        <f t="shared" si="7"/>
        <v>110891.36</v>
      </c>
      <c r="N23" s="8">
        <f t="shared" si="7"/>
        <v>115427.47</v>
      </c>
      <c r="O23" s="8">
        <f t="shared" si="7"/>
        <v>118009.65</v>
      </c>
      <c r="P23" s="8">
        <f t="shared" si="7"/>
        <v>136718.03</v>
      </c>
      <c r="Q23" s="8">
        <f t="shared" si="7"/>
        <v>148758.49</v>
      </c>
      <c r="R23" s="8">
        <f t="shared" si="7"/>
        <v>182944.14</v>
      </c>
      <c r="S23" s="8">
        <f t="shared" si="7"/>
        <v>217448.27</v>
      </c>
      <c r="T23" s="8">
        <f t="shared" si="7"/>
        <v>222704.65</v>
      </c>
      <c r="U23" s="8">
        <f t="shared" si="7"/>
        <v>225130.1</v>
      </c>
      <c r="V23" s="8">
        <f t="shared" si="7"/>
        <v>259946.2</v>
      </c>
      <c r="W23" s="8">
        <f t="shared" si="7"/>
        <v>270019.89</v>
      </c>
    </row>
    <row r="24" spans="1:23" x14ac:dyDescent="0.35">
      <c r="A24" s="9" t="s">
        <v>832</v>
      </c>
      <c r="B24" s="20">
        <f>$B$18-B18</f>
        <v>0</v>
      </c>
      <c r="C24" s="20">
        <f>$B$18-C18</f>
        <v>0</v>
      </c>
      <c r="D24" s="20">
        <f t="shared" ref="D24:W24" si="8">$B$18-D18</f>
        <v>1</v>
      </c>
      <c r="E24" s="20">
        <f t="shared" si="8"/>
        <v>2</v>
      </c>
      <c r="F24" s="20">
        <f t="shared" si="8"/>
        <v>3</v>
      </c>
      <c r="G24" s="20">
        <f t="shared" si="8"/>
        <v>4</v>
      </c>
      <c r="H24" s="20">
        <f t="shared" si="8"/>
        <v>5</v>
      </c>
      <c r="I24" s="20">
        <f t="shared" si="8"/>
        <v>6</v>
      </c>
      <c r="J24" s="20">
        <f t="shared" si="8"/>
        <v>7</v>
      </c>
      <c r="K24" s="20">
        <f t="shared" si="8"/>
        <v>8</v>
      </c>
      <c r="L24" s="20">
        <f t="shared" si="8"/>
        <v>9</v>
      </c>
      <c r="M24" s="20">
        <f t="shared" si="8"/>
        <v>10</v>
      </c>
      <c r="N24" s="20">
        <f t="shared" si="8"/>
        <v>11</v>
      </c>
      <c r="O24" s="20">
        <f t="shared" si="8"/>
        <v>12</v>
      </c>
      <c r="P24" s="20">
        <f t="shared" si="8"/>
        <v>13</v>
      </c>
      <c r="Q24" s="20">
        <f t="shared" si="8"/>
        <v>14</v>
      </c>
      <c r="R24" s="20">
        <f t="shared" si="8"/>
        <v>15</v>
      </c>
      <c r="S24" s="20">
        <f t="shared" si="8"/>
        <v>16</v>
      </c>
      <c r="T24" s="20">
        <f t="shared" si="8"/>
        <v>17</v>
      </c>
      <c r="U24" s="20">
        <f t="shared" si="8"/>
        <v>18</v>
      </c>
      <c r="V24" s="20">
        <f t="shared" si="8"/>
        <v>19</v>
      </c>
      <c r="W24" s="20">
        <f t="shared" si="8"/>
        <v>20</v>
      </c>
    </row>
    <row r="25" spans="1:23" x14ac:dyDescent="0.35">
      <c r="A25" s="9" t="s">
        <v>245</v>
      </c>
      <c r="B25" s="20">
        <f>$B$19-B19</f>
        <v>0</v>
      </c>
      <c r="C25" s="20">
        <f>$B$19-C19</f>
        <v>0</v>
      </c>
      <c r="D25" s="20">
        <f t="shared" ref="D25:W25" si="9">$B$19-D19</f>
        <v>0</v>
      </c>
      <c r="E25" s="20">
        <f t="shared" si="9"/>
        <v>0</v>
      </c>
      <c r="F25" s="20">
        <f t="shared" si="9"/>
        <v>0</v>
      </c>
      <c r="G25" s="20">
        <f t="shared" si="9"/>
        <v>0</v>
      </c>
      <c r="H25" s="20">
        <f t="shared" si="9"/>
        <v>0</v>
      </c>
      <c r="I25" s="20">
        <f t="shared" si="9"/>
        <v>0</v>
      </c>
      <c r="J25" s="20">
        <f t="shared" si="9"/>
        <v>0</v>
      </c>
      <c r="K25" s="20">
        <f t="shared" si="9"/>
        <v>0</v>
      </c>
      <c r="L25" s="20">
        <f t="shared" si="9"/>
        <v>1</v>
      </c>
      <c r="M25" s="20">
        <f t="shared" si="9"/>
        <v>1</v>
      </c>
      <c r="N25" s="20">
        <f t="shared" si="9"/>
        <v>1</v>
      </c>
      <c r="O25" s="20">
        <f t="shared" si="9"/>
        <v>1</v>
      </c>
      <c r="P25" s="20">
        <f t="shared" si="9"/>
        <v>1</v>
      </c>
      <c r="Q25" s="20">
        <f t="shared" si="9"/>
        <v>1</v>
      </c>
      <c r="R25" s="20">
        <f t="shared" si="9"/>
        <v>2</v>
      </c>
      <c r="S25" s="20">
        <f t="shared" si="9"/>
        <v>3</v>
      </c>
      <c r="T25" s="20">
        <f t="shared" si="9"/>
        <v>3</v>
      </c>
      <c r="U25" s="20">
        <f t="shared" si="9"/>
        <v>3</v>
      </c>
      <c r="V25" s="20">
        <f t="shared" si="9"/>
        <v>3</v>
      </c>
      <c r="W25" s="20">
        <f t="shared" si="9"/>
        <v>3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48C2-D1C7-4F6C-B913-C2024337324D}">
  <dimension ref="A1:X25"/>
  <sheetViews>
    <sheetView zoomScale="40" zoomScaleNormal="40" workbookViewId="0">
      <selection activeCell="A18" sqref="A18:A25"/>
    </sheetView>
  </sheetViews>
  <sheetFormatPr defaultRowHeight="14.5" x14ac:dyDescent="0.35"/>
  <cols>
    <col min="1" max="1" width="18.7265625" bestFit="1" customWidth="1"/>
    <col min="2" max="2" width="19.453125" bestFit="1" customWidth="1"/>
    <col min="3" max="3" width="25.36328125" bestFit="1" customWidth="1"/>
    <col min="4" max="5" width="33.26953125" bestFit="1" customWidth="1"/>
    <col min="6" max="7" width="32.81640625" bestFit="1" customWidth="1"/>
    <col min="8" max="23" width="33.26953125" bestFit="1" customWidth="1"/>
    <col min="24" max="25" width="34.1796875" bestFit="1" customWidth="1"/>
  </cols>
  <sheetData>
    <row r="1" spans="1:24" ht="14.5" customHeight="1" x14ac:dyDescent="0.35">
      <c r="A1" s="56" t="s">
        <v>382</v>
      </c>
      <c r="B1" s="56"/>
      <c r="C1" s="56"/>
      <c r="D1" s="56"/>
      <c r="E1" s="56"/>
      <c r="F1" s="56"/>
    </row>
    <row r="2" spans="1:24" ht="14.5" customHeight="1" x14ac:dyDescent="0.35">
      <c r="A2" s="56"/>
      <c r="B2" s="56"/>
      <c r="C2" s="56"/>
      <c r="D2" s="56"/>
      <c r="E2" s="56"/>
      <c r="F2" s="56"/>
    </row>
    <row r="3" spans="1:24" ht="14.5" customHeight="1" x14ac:dyDescent="0.35">
      <c r="A3" s="56"/>
      <c r="B3" s="56"/>
      <c r="C3" s="56"/>
      <c r="D3" s="56"/>
      <c r="E3" s="56"/>
      <c r="F3" s="56"/>
    </row>
    <row r="4" spans="1:24" x14ac:dyDescent="0.35">
      <c r="A4" s="2"/>
    </row>
    <row r="5" spans="1:24" x14ac:dyDescent="0.35">
      <c r="A5" t="s">
        <v>46</v>
      </c>
      <c r="B5" t="s">
        <v>182</v>
      </c>
      <c r="C5" t="s">
        <v>183</v>
      </c>
      <c r="D5" t="s">
        <v>184</v>
      </c>
      <c r="E5" t="s">
        <v>185</v>
      </c>
      <c r="F5" t="s">
        <v>186</v>
      </c>
      <c r="G5" t="s">
        <v>187</v>
      </c>
      <c r="H5" t="s">
        <v>188</v>
      </c>
      <c r="I5" t="s">
        <v>189</v>
      </c>
      <c r="J5" t="s">
        <v>190</v>
      </c>
      <c r="K5" t="s">
        <v>191</v>
      </c>
      <c r="L5" t="s">
        <v>192</v>
      </c>
      <c r="M5" t="s">
        <v>193</v>
      </c>
      <c r="N5" t="s">
        <v>194</v>
      </c>
      <c r="O5" t="s">
        <v>195</v>
      </c>
      <c r="P5" t="s">
        <v>196</v>
      </c>
      <c r="Q5" t="s">
        <v>197</v>
      </c>
      <c r="R5" t="s">
        <v>198</v>
      </c>
      <c r="S5" t="s">
        <v>199</v>
      </c>
      <c r="T5" t="s">
        <v>200</v>
      </c>
      <c r="U5" t="s">
        <v>201</v>
      </c>
      <c r="V5" t="s">
        <v>202</v>
      </c>
    </row>
    <row r="6" spans="1:24" x14ac:dyDescent="0.35">
      <c r="A6" t="s">
        <v>270</v>
      </c>
      <c r="B6">
        <v>37615</v>
      </c>
      <c r="C6">
        <v>38129.25</v>
      </c>
      <c r="D6">
        <v>38617</v>
      </c>
      <c r="E6">
        <v>38985.5</v>
      </c>
      <c r="F6">
        <v>39276</v>
      </c>
      <c r="G6">
        <v>39430</v>
      </c>
      <c r="H6">
        <v>39650</v>
      </c>
      <c r="I6">
        <v>39925</v>
      </c>
      <c r="J6">
        <v>40004</v>
      </c>
      <c r="K6">
        <v>40009.5</v>
      </c>
      <c r="L6">
        <v>40505</v>
      </c>
      <c r="M6">
        <v>41243.25</v>
      </c>
      <c r="N6">
        <v>43919</v>
      </c>
      <c r="O6">
        <v>46035.25</v>
      </c>
      <c r="P6">
        <v>46659.5</v>
      </c>
      <c r="Q6">
        <v>48836.25</v>
      </c>
      <c r="R6">
        <v>52876.000000000007</v>
      </c>
      <c r="S6">
        <v>56324.25</v>
      </c>
      <c r="T6">
        <v>59434.5</v>
      </c>
      <c r="U6">
        <v>63675.005999999987</v>
      </c>
      <c r="V6">
        <v>68166.679999999993</v>
      </c>
    </row>
    <row r="7" spans="1:24" x14ac:dyDescent="0.35">
      <c r="A7" t="s">
        <v>96</v>
      </c>
      <c r="B7">
        <v>37615</v>
      </c>
      <c r="C7">
        <v>38129.25</v>
      </c>
      <c r="D7">
        <v>38617</v>
      </c>
      <c r="E7">
        <v>38985.5</v>
      </c>
      <c r="F7">
        <v>39276</v>
      </c>
      <c r="G7">
        <v>39430</v>
      </c>
      <c r="H7">
        <v>39650</v>
      </c>
      <c r="I7">
        <v>39925</v>
      </c>
      <c r="J7">
        <v>40004</v>
      </c>
      <c r="K7">
        <v>40009.5</v>
      </c>
      <c r="L7">
        <v>40505</v>
      </c>
      <c r="M7">
        <v>41243.25</v>
      </c>
      <c r="N7">
        <v>43919</v>
      </c>
      <c r="O7">
        <v>46035.25</v>
      </c>
      <c r="P7">
        <v>46659.5</v>
      </c>
      <c r="Q7">
        <v>48836.25</v>
      </c>
      <c r="R7">
        <v>52876.000000000007</v>
      </c>
      <c r="S7">
        <v>56324.25</v>
      </c>
      <c r="T7">
        <v>59434.5</v>
      </c>
      <c r="U7">
        <v>63675.005999999987</v>
      </c>
      <c r="V7">
        <v>68166.679999999993</v>
      </c>
    </row>
    <row r="10" spans="1:24" x14ac:dyDescent="0.35">
      <c r="A10" t="s">
        <v>46</v>
      </c>
      <c r="B10" t="s">
        <v>36</v>
      </c>
      <c r="C10" t="s">
        <v>232</v>
      </c>
      <c r="D10" t="s">
        <v>204</v>
      </c>
      <c r="E10" t="s">
        <v>203</v>
      </c>
      <c r="F10" t="s">
        <v>205</v>
      </c>
      <c r="G10" t="s">
        <v>206</v>
      </c>
      <c r="H10" t="s">
        <v>207</v>
      </c>
      <c r="I10" t="s">
        <v>208</v>
      </c>
      <c r="J10" t="s">
        <v>209</v>
      </c>
      <c r="K10" t="s">
        <v>210</v>
      </c>
      <c r="L10" t="s">
        <v>211</v>
      </c>
      <c r="M10" t="s">
        <v>212</v>
      </c>
      <c r="N10" t="s">
        <v>213</v>
      </c>
      <c r="O10" t="s">
        <v>214</v>
      </c>
      <c r="P10" t="s">
        <v>215</v>
      </c>
      <c r="Q10" t="s">
        <v>216</v>
      </c>
      <c r="R10" t="s">
        <v>217</v>
      </c>
      <c r="S10" t="s">
        <v>218</v>
      </c>
      <c r="T10" t="s">
        <v>219</v>
      </c>
      <c r="U10" t="s">
        <v>220</v>
      </c>
      <c r="V10" t="s">
        <v>221</v>
      </c>
      <c r="W10" t="s">
        <v>222</v>
      </c>
      <c r="X10" t="s">
        <v>223</v>
      </c>
    </row>
    <row r="11" spans="1:24" x14ac:dyDescent="0.35">
      <c r="A11" t="s">
        <v>270</v>
      </c>
      <c r="B11">
        <v>0</v>
      </c>
      <c r="C11">
        <v>12</v>
      </c>
      <c r="D11">
        <v>12</v>
      </c>
      <c r="E11">
        <v>11</v>
      </c>
      <c r="F11">
        <v>10</v>
      </c>
      <c r="G11">
        <v>10</v>
      </c>
      <c r="H11">
        <v>9</v>
      </c>
      <c r="I11">
        <v>9</v>
      </c>
      <c r="J11">
        <v>8</v>
      </c>
      <c r="K11">
        <v>8</v>
      </c>
      <c r="L11">
        <v>7</v>
      </c>
      <c r="M11">
        <v>7</v>
      </c>
      <c r="N11">
        <v>6</v>
      </c>
      <c r="O11">
        <v>5</v>
      </c>
      <c r="P11">
        <v>5</v>
      </c>
      <c r="Q11">
        <v>4</v>
      </c>
      <c r="R11">
        <v>4</v>
      </c>
      <c r="S11">
        <v>3</v>
      </c>
      <c r="T11">
        <v>3</v>
      </c>
      <c r="U11">
        <v>2</v>
      </c>
      <c r="V11">
        <v>2</v>
      </c>
      <c r="W11">
        <v>1</v>
      </c>
      <c r="X11">
        <v>1</v>
      </c>
    </row>
    <row r="12" spans="1:24" x14ac:dyDescent="0.35">
      <c r="A12" t="s">
        <v>270</v>
      </c>
      <c r="B12">
        <v>1</v>
      </c>
      <c r="C12">
        <v>9</v>
      </c>
      <c r="D12">
        <v>9</v>
      </c>
      <c r="E12">
        <v>9</v>
      </c>
      <c r="F12">
        <v>9</v>
      </c>
      <c r="G12">
        <v>9</v>
      </c>
      <c r="H12">
        <v>9</v>
      </c>
      <c r="I12">
        <v>9</v>
      </c>
      <c r="J12">
        <v>9</v>
      </c>
      <c r="K12">
        <v>9</v>
      </c>
      <c r="L12">
        <v>9</v>
      </c>
      <c r="M12">
        <v>9</v>
      </c>
      <c r="N12">
        <v>9</v>
      </c>
      <c r="O12">
        <v>8</v>
      </c>
      <c r="P12">
        <v>6</v>
      </c>
      <c r="Q12">
        <v>5</v>
      </c>
      <c r="R12">
        <v>5</v>
      </c>
      <c r="S12">
        <v>5</v>
      </c>
      <c r="T12">
        <v>4</v>
      </c>
      <c r="U12">
        <v>4</v>
      </c>
      <c r="V12">
        <v>4</v>
      </c>
      <c r="W12">
        <v>4</v>
      </c>
      <c r="X12">
        <v>4</v>
      </c>
    </row>
    <row r="13" spans="1:24" x14ac:dyDescent="0.35">
      <c r="A13" t="s">
        <v>96</v>
      </c>
      <c r="C13">
        <v>21</v>
      </c>
      <c r="D13">
        <v>21</v>
      </c>
      <c r="E13">
        <v>20</v>
      </c>
      <c r="F13">
        <v>19</v>
      </c>
      <c r="G13">
        <v>19</v>
      </c>
      <c r="H13">
        <v>18</v>
      </c>
      <c r="I13">
        <v>18</v>
      </c>
      <c r="J13">
        <v>17</v>
      </c>
      <c r="K13">
        <v>17</v>
      </c>
      <c r="L13">
        <v>16</v>
      </c>
      <c r="M13">
        <v>16</v>
      </c>
      <c r="N13">
        <v>15</v>
      </c>
      <c r="O13">
        <v>13</v>
      </c>
      <c r="P13">
        <v>11</v>
      </c>
      <c r="Q13">
        <v>9</v>
      </c>
      <c r="R13">
        <v>9</v>
      </c>
      <c r="S13">
        <v>8</v>
      </c>
      <c r="T13">
        <v>7</v>
      </c>
      <c r="U13">
        <v>6</v>
      </c>
      <c r="V13">
        <v>6</v>
      </c>
      <c r="W13">
        <v>5</v>
      </c>
      <c r="X13">
        <v>5</v>
      </c>
    </row>
    <row r="16" spans="1:24" x14ac:dyDescent="0.35">
      <c r="G16" t="s">
        <v>225</v>
      </c>
    </row>
    <row r="17" spans="1:23" x14ac:dyDescent="0.35">
      <c r="A17" s="9" t="s">
        <v>125</v>
      </c>
      <c r="B17" s="9" t="s">
        <v>233</v>
      </c>
      <c r="C17" s="9" t="s">
        <v>103</v>
      </c>
      <c r="D17" s="9" t="s">
        <v>104</v>
      </c>
      <c r="E17" s="9" t="s">
        <v>105</v>
      </c>
      <c r="F17" s="9" t="s">
        <v>106</v>
      </c>
      <c r="G17" s="9" t="s">
        <v>107</v>
      </c>
      <c r="H17" s="9" t="s">
        <v>108</v>
      </c>
      <c r="I17" s="9" t="s">
        <v>109</v>
      </c>
      <c r="J17" s="9" t="s">
        <v>110</v>
      </c>
      <c r="K17" s="9" t="s">
        <v>111</v>
      </c>
      <c r="L17" s="9" t="s">
        <v>112</v>
      </c>
      <c r="M17" s="9" t="s">
        <v>113</v>
      </c>
      <c r="N17" s="9" t="s">
        <v>114</v>
      </c>
      <c r="O17" s="9" t="s">
        <v>115</v>
      </c>
      <c r="P17" s="9" t="s">
        <v>116</v>
      </c>
      <c r="Q17" s="9" t="s">
        <v>117</v>
      </c>
      <c r="R17" s="9" t="s">
        <v>118</v>
      </c>
      <c r="S17" s="9" t="s">
        <v>119</v>
      </c>
      <c r="T17" s="9" t="s">
        <v>120</v>
      </c>
      <c r="U17" s="9" t="s">
        <v>121</v>
      </c>
      <c r="V17" s="9" t="s">
        <v>122</v>
      </c>
      <c r="W17" s="9" t="s">
        <v>123</v>
      </c>
    </row>
    <row r="18" spans="1:23" x14ac:dyDescent="0.35">
      <c r="A18" s="9" t="s">
        <v>828</v>
      </c>
      <c r="B18" s="3">
        <f>C11</f>
        <v>12</v>
      </c>
      <c r="C18" s="3">
        <f>D11</f>
        <v>12</v>
      </c>
      <c r="D18" s="3">
        <f t="shared" ref="D18:W18" si="0">E11</f>
        <v>11</v>
      </c>
      <c r="E18" s="3">
        <f t="shared" si="0"/>
        <v>10</v>
      </c>
      <c r="F18" s="3">
        <f t="shared" si="0"/>
        <v>10</v>
      </c>
      <c r="G18" s="3">
        <f t="shared" si="0"/>
        <v>9</v>
      </c>
      <c r="H18" s="3">
        <f t="shared" si="0"/>
        <v>9</v>
      </c>
      <c r="I18" s="3">
        <f t="shared" si="0"/>
        <v>8</v>
      </c>
      <c r="J18" s="3">
        <f t="shared" si="0"/>
        <v>8</v>
      </c>
      <c r="K18" s="3">
        <f t="shared" si="0"/>
        <v>7</v>
      </c>
      <c r="L18" s="3">
        <f t="shared" si="0"/>
        <v>7</v>
      </c>
      <c r="M18" s="3">
        <f t="shared" si="0"/>
        <v>6</v>
      </c>
      <c r="N18" s="3">
        <f t="shared" si="0"/>
        <v>5</v>
      </c>
      <c r="O18" s="3">
        <f t="shared" si="0"/>
        <v>5</v>
      </c>
      <c r="P18" s="3">
        <f t="shared" si="0"/>
        <v>4</v>
      </c>
      <c r="Q18" s="3">
        <f t="shared" si="0"/>
        <v>4</v>
      </c>
      <c r="R18" s="3">
        <f t="shared" si="0"/>
        <v>3</v>
      </c>
      <c r="S18" s="3">
        <f t="shared" si="0"/>
        <v>3</v>
      </c>
      <c r="T18" s="3">
        <f t="shared" si="0"/>
        <v>2</v>
      </c>
      <c r="U18" s="3">
        <f t="shared" si="0"/>
        <v>2</v>
      </c>
      <c r="V18" s="3">
        <f t="shared" si="0"/>
        <v>1</v>
      </c>
      <c r="W18" s="3">
        <f t="shared" si="0"/>
        <v>1</v>
      </c>
    </row>
    <row r="19" spans="1:23" x14ac:dyDescent="0.35">
      <c r="A19" s="9" t="s">
        <v>224</v>
      </c>
      <c r="B19" s="3">
        <f>C12</f>
        <v>9</v>
      </c>
      <c r="C19" s="3">
        <f>D12</f>
        <v>9</v>
      </c>
      <c r="D19" s="3">
        <f t="shared" ref="D19:W19" si="1">E12</f>
        <v>9</v>
      </c>
      <c r="E19" s="3">
        <f t="shared" si="1"/>
        <v>9</v>
      </c>
      <c r="F19" s="3">
        <f t="shared" si="1"/>
        <v>9</v>
      </c>
      <c r="G19" s="3">
        <f t="shared" si="1"/>
        <v>9</v>
      </c>
      <c r="H19" s="3">
        <f t="shared" si="1"/>
        <v>9</v>
      </c>
      <c r="I19" s="3">
        <f t="shared" si="1"/>
        <v>9</v>
      </c>
      <c r="J19" s="3">
        <f t="shared" si="1"/>
        <v>9</v>
      </c>
      <c r="K19" s="3">
        <f t="shared" si="1"/>
        <v>9</v>
      </c>
      <c r="L19" s="3">
        <f t="shared" si="1"/>
        <v>9</v>
      </c>
      <c r="M19" s="3">
        <f t="shared" si="1"/>
        <v>9</v>
      </c>
      <c r="N19" s="3">
        <f t="shared" si="1"/>
        <v>8</v>
      </c>
      <c r="O19" s="3">
        <f t="shared" si="1"/>
        <v>6</v>
      </c>
      <c r="P19" s="3">
        <f t="shared" si="1"/>
        <v>5</v>
      </c>
      <c r="Q19" s="3">
        <f t="shared" si="1"/>
        <v>5</v>
      </c>
      <c r="R19" s="3">
        <f t="shared" si="1"/>
        <v>5</v>
      </c>
      <c r="S19" s="3">
        <f t="shared" si="1"/>
        <v>4</v>
      </c>
      <c r="T19" s="3">
        <f t="shared" si="1"/>
        <v>4</v>
      </c>
      <c r="U19" s="3">
        <f t="shared" si="1"/>
        <v>4</v>
      </c>
      <c r="V19" s="3">
        <f t="shared" si="1"/>
        <v>4</v>
      </c>
      <c r="W19" s="3">
        <f t="shared" si="1"/>
        <v>4</v>
      </c>
    </row>
    <row r="20" spans="1:23" x14ac:dyDescent="0.35">
      <c r="A20" s="9" t="s">
        <v>829</v>
      </c>
      <c r="B20" s="3">
        <f t="shared" ref="B20" si="2">SUM(B18:B19)</f>
        <v>21</v>
      </c>
      <c r="C20" s="3">
        <f t="shared" ref="C20:W20" si="3">SUM(C18:C19)</f>
        <v>21</v>
      </c>
      <c r="D20" s="3">
        <f t="shared" si="3"/>
        <v>20</v>
      </c>
      <c r="E20" s="3">
        <f t="shared" si="3"/>
        <v>19</v>
      </c>
      <c r="F20" s="3">
        <f t="shared" si="3"/>
        <v>19</v>
      </c>
      <c r="G20" s="3">
        <f t="shared" si="3"/>
        <v>18</v>
      </c>
      <c r="H20" s="3">
        <f t="shared" si="3"/>
        <v>18</v>
      </c>
      <c r="I20" s="3">
        <f t="shared" si="3"/>
        <v>17</v>
      </c>
      <c r="J20" s="3">
        <f t="shared" si="3"/>
        <v>17</v>
      </c>
      <c r="K20" s="3">
        <f t="shared" si="3"/>
        <v>16</v>
      </c>
      <c r="L20" s="3">
        <f t="shared" si="3"/>
        <v>16</v>
      </c>
      <c r="M20" s="3">
        <f t="shared" si="3"/>
        <v>15</v>
      </c>
      <c r="N20" s="3">
        <f t="shared" si="3"/>
        <v>13</v>
      </c>
      <c r="O20" s="3">
        <f t="shared" si="3"/>
        <v>11</v>
      </c>
      <c r="P20" s="3">
        <f t="shared" si="3"/>
        <v>9</v>
      </c>
      <c r="Q20" s="3">
        <f t="shared" si="3"/>
        <v>9</v>
      </c>
      <c r="R20" s="3">
        <f t="shared" si="3"/>
        <v>8</v>
      </c>
      <c r="S20" s="3">
        <f t="shared" si="3"/>
        <v>7</v>
      </c>
      <c r="T20" s="3">
        <f t="shared" si="3"/>
        <v>6</v>
      </c>
      <c r="U20" s="3">
        <f t="shared" si="3"/>
        <v>6</v>
      </c>
      <c r="V20" s="3">
        <f t="shared" si="3"/>
        <v>5</v>
      </c>
      <c r="W20" s="3">
        <f t="shared" si="3"/>
        <v>5</v>
      </c>
    </row>
    <row r="21" spans="1:23" x14ac:dyDescent="0.35">
      <c r="A21" s="9" t="s">
        <v>230</v>
      </c>
      <c r="B21" s="4">
        <f>B19/$B$19</f>
        <v>1</v>
      </c>
      <c r="C21" s="4">
        <f>C19/$B$19</f>
        <v>1</v>
      </c>
      <c r="D21" s="4">
        <f t="shared" ref="D21:W21" si="4">D19/$B$19</f>
        <v>1</v>
      </c>
      <c r="E21" s="4">
        <f t="shared" si="4"/>
        <v>1</v>
      </c>
      <c r="F21" s="4">
        <f t="shared" si="4"/>
        <v>1</v>
      </c>
      <c r="G21" s="4">
        <f t="shared" si="4"/>
        <v>1</v>
      </c>
      <c r="H21" s="4">
        <f t="shared" si="4"/>
        <v>1</v>
      </c>
      <c r="I21" s="4">
        <f t="shared" si="4"/>
        <v>1</v>
      </c>
      <c r="J21" s="4">
        <f t="shared" si="4"/>
        <v>1</v>
      </c>
      <c r="K21" s="4">
        <f t="shared" si="4"/>
        <v>1</v>
      </c>
      <c r="L21" s="4">
        <f t="shared" si="4"/>
        <v>1</v>
      </c>
      <c r="M21" s="4">
        <f t="shared" si="4"/>
        <v>1</v>
      </c>
      <c r="N21" s="4">
        <f t="shared" si="4"/>
        <v>0.88888888888888884</v>
      </c>
      <c r="O21" s="4">
        <f t="shared" si="4"/>
        <v>0.66666666666666663</v>
      </c>
      <c r="P21" s="4">
        <f t="shared" si="4"/>
        <v>0.55555555555555558</v>
      </c>
      <c r="Q21" s="4">
        <f t="shared" si="4"/>
        <v>0.55555555555555558</v>
      </c>
      <c r="R21" s="4">
        <f t="shared" si="4"/>
        <v>0.55555555555555558</v>
      </c>
      <c r="S21" s="4">
        <f t="shared" si="4"/>
        <v>0.44444444444444442</v>
      </c>
      <c r="T21" s="4">
        <f t="shared" si="4"/>
        <v>0.44444444444444442</v>
      </c>
      <c r="U21" s="4">
        <f t="shared" si="4"/>
        <v>0.44444444444444442</v>
      </c>
      <c r="V21" s="4">
        <f t="shared" si="4"/>
        <v>0.44444444444444442</v>
      </c>
      <c r="W21" s="4">
        <f t="shared" si="4"/>
        <v>0.44444444444444442</v>
      </c>
    </row>
    <row r="22" spans="1:23" x14ac:dyDescent="0.35">
      <c r="A22" s="9" t="s">
        <v>830</v>
      </c>
      <c r="B22" s="4">
        <f t="shared" ref="B22" si="5">B18/B20</f>
        <v>0.5714285714285714</v>
      </c>
      <c r="C22" s="4">
        <f t="shared" ref="C22:W22" si="6">C18/C20</f>
        <v>0.5714285714285714</v>
      </c>
      <c r="D22" s="4">
        <f t="shared" si="6"/>
        <v>0.55000000000000004</v>
      </c>
      <c r="E22" s="4">
        <f t="shared" si="6"/>
        <v>0.52631578947368418</v>
      </c>
      <c r="F22" s="4">
        <f t="shared" si="6"/>
        <v>0.52631578947368418</v>
      </c>
      <c r="G22" s="4">
        <f t="shared" si="6"/>
        <v>0.5</v>
      </c>
      <c r="H22" s="4">
        <f t="shared" si="6"/>
        <v>0.5</v>
      </c>
      <c r="I22" s="4">
        <f t="shared" si="6"/>
        <v>0.47058823529411764</v>
      </c>
      <c r="J22" s="4">
        <f t="shared" si="6"/>
        <v>0.47058823529411764</v>
      </c>
      <c r="K22" s="4">
        <f t="shared" si="6"/>
        <v>0.4375</v>
      </c>
      <c r="L22" s="4">
        <f t="shared" si="6"/>
        <v>0.4375</v>
      </c>
      <c r="M22" s="4">
        <f t="shared" si="6"/>
        <v>0.4</v>
      </c>
      <c r="N22" s="4">
        <f t="shared" si="6"/>
        <v>0.38461538461538464</v>
      </c>
      <c r="O22" s="4">
        <f t="shared" si="6"/>
        <v>0.45454545454545453</v>
      </c>
      <c r="P22" s="4">
        <f t="shared" si="6"/>
        <v>0.44444444444444442</v>
      </c>
      <c r="Q22" s="4">
        <f t="shared" si="6"/>
        <v>0.44444444444444442</v>
      </c>
      <c r="R22" s="4">
        <f t="shared" si="6"/>
        <v>0.375</v>
      </c>
      <c r="S22" s="4">
        <f t="shared" si="6"/>
        <v>0.42857142857142855</v>
      </c>
      <c r="T22" s="4">
        <f t="shared" si="6"/>
        <v>0.33333333333333331</v>
      </c>
      <c r="U22" s="4">
        <f t="shared" si="6"/>
        <v>0.33333333333333331</v>
      </c>
      <c r="V22" s="4">
        <f t="shared" si="6"/>
        <v>0.2</v>
      </c>
      <c r="W22" s="4">
        <f t="shared" si="6"/>
        <v>0.2</v>
      </c>
    </row>
    <row r="23" spans="1:23" x14ac:dyDescent="0.35">
      <c r="A23" s="9" t="s">
        <v>831</v>
      </c>
      <c r="B23" s="9"/>
      <c r="C23" s="8">
        <f>B7</f>
        <v>37615</v>
      </c>
      <c r="D23" s="8">
        <f t="shared" ref="D23:W23" si="7">C7</f>
        <v>38129.25</v>
      </c>
      <c r="E23" s="8">
        <f t="shared" si="7"/>
        <v>38617</v>
      </c>
      <c r="F23" s="8">
        <f t="shared" si="7"/>
        <v>38985.5</v>
      </c>
      <c r="G23" s="8">
        <f t="shared" si="7"/>
        <v>39276</v>
      </c>
      <c r="H23" s="8">
        <f t="shared" si="7"/>
        <v>39430</v>
      </c>
      <c r="I23" s="8">
        <f t="shared" si="7"/>
        <v>39650</v>
      </c>
      <c r="J23" s="8">
        <f t="shared" si="7"/>
        <v>39925</v>
      </c>
      <c r="K23" s="8">
        <f t="shared" si="7"/>
        <v>40004</v>
      </c>
      <c r="L23" s="8">
        <f t="shared" si="7"/>
        <v>40009.5</v>
      </c>
      <c r="M23" s="8">
        <f t="shared" si="7"/>
        <v>40505</v>
      </c>
      <c r="N23" s="8">
        <f t="shared" si="7"/>
        <v>41243.25</v>
      </c>
      <c r="O23" s="8">
        <f t="shared" si="7"/>
        <v>43919</v>
      </c>
      <c r="P23" s="8">
        <f t="shared" si="7"/>
        <v>46035.25</v>
      </c>
      <c r="Q23" s="8">
        <f t="shared" si="7"/>
        <v>46659.5</v>
      </c>
      <c r="R23" s="8">
        <f t="shared" si="7"/>
        <v>48836.25</v>
      </c>
      <c r="S23" s="8">
        <f t="shared" si="7"/>
        <v>52876.000000000007</v>
      </c>
      <c r="T23" s="8">
        <f t="shared" si="7"/>
        <v>56324.25</v>
      </c>
      <c r="U23" s="8">
        <f t="shared" si="7"/>
        <v>59434.5</v>
      </c>
      <c r="V23" s="8">
        <f t="shared" si="7"/>
        <v>63675.005999999987</v>
      </c>
      <c r="W23" s="8">
        <f t="shared" si="7"/>
        <v>68166.679999999993</v>
      </c>
    </row>
    <row r="24" spans="1:23" x14ac:dyDescent="0.35">
      <c r="A24" s="9" t="s">
        <v>832</v>
      </c>
      <c r="B24" s="20">
        <f>$B$18-B18</f>
        <v>0</v>
      </c>
      <c r="C24" s="20">
        <f>$B$18-C18</f>
        <v>0</v>
      </c>
      <c r="D24" s="20">
        <f t="shared" ref="D24:W24" si="8">$B$18-D18</f>
        <v>1</v>
      </c>
      <c r="E24" s="20">
        <f t="shared" si="8"/>
        <v>2</v>
      </c>
      <c r="F24" s="20">
        <f t="shared" si="8"/>
        <v>2</v>
      </c>
      <c r="G24" s="20">
        <f t="shared" si="8"/>
        <v>3</v>
      </c>
      <c r="H24" s="20">
        <f t="shared" si="8"/>
        <v>3</v>
      </c>
      <c r="I24" s="20">
        <f t="shared" si="8"/>
        <v>4</v>
      </c>
      <c r="J24" s="20">
        <f t="shared" si="8"/>
        <v>4</v>
      </c>
      <c r="K24" s="20">
        <f t="shared" si="8"/>
        <v>5</v>
      </c>
      <c r="L24" s="20">
        <f t="shared" si="8"/>
        <v>5</v>
      </c>
      <c r="M24" s="20">
        <f t="shared" si="8"/>
        <v>6</v>
      </c>
      <c r="N24" s="20">
        <f t="shared" si="8"/>
        <v>7</v>
      </c>
      <c r="O24" s="20">
        <f t="shared" si="8"/>
        <v>7</v>
      </c>
      <c r="P24" s="20">
        <f t="shared" si="8"/>
        <v>8</v>
      </c>
      <c r="Q24" s="20">
        <f t="shared" si="8"/>
        <v>8</v>
      </c>
      <c r="R24" s="20">
        <f t="shared" si="8"/>
        <v>9</v>
      </c>
      <c r="S24" s="20">
        <f t="shared" si="8"/>
        <v>9</v>
      </c>
      <c r="T24" s="20">
        <f t="shared" si="8"/>
        <v>10</v>
      </c>
      <c r="U24" s="20">
        <f t="shared" si="8"/>
        <v>10</v>
      </c>
      <c r="V24" s="20">
        <f t="shared" si="8"/>
        <v>11</v>
      </c>
      <c r="W24" s="20">
        <f t="shared" si="8"/>
        <v>11</v>
      </c>
    </row>
    <row r="25" spans="1:23" x14ac:dyDescent="0.35">
      <c r="A25" s="9" t="s">
        <v>245</v>
      </c>
      <c r="B25" s="20">
        <f>$B$19-B19</f>
        <v>0</v>
      </c>
      <c r="C25" s="20">
        <f>$B$19-C19</f>
        <v>0</v>
      </c>
      <c r="D25" s="20">
        <f t="shared" ref="D25:W25" si="9">$B$19-D19</f>
        <v>0</v>
      </c>
      <c r="E25" s="20">
        <f t="shared" si="9"/>
        <v>0</v>
      </c>
      <c r="F25" s="20">
        <f t="shared" si="9"/>
        <v>0</v>
      </c>
      <c r="G25" s="20">
        <f t="shared" si="9"/>
        <v>0</v>
      </c>
      <c r="H25" s="20">
        <f t="shared" si="9"/>
        <v>0</v>
      </c>
      <c r="I25" s="20">
        <f t="shared" si="9"/>
        <v>0</v>
      </c>
      <c r="J25" s="20">
        <f t="shared" si="9"/>
        <v>0</v>
      </c>
      <c r="K25" s="20">
        <f t="shared" si="9"/>
        <v>0</v>
      </c>
      <c r="L25" s="20">
        <f t="shared" si="9"/>
        <v>0</v>
      </c>
      <c r="M25" s="20">
        <f t="shared" si="9"/>
        <v>0</v>
      </c>
      <c r="N25" s="20">
        <f t="shared" si="9"/>
        <v>1</v>
      </c>
      <c r="O25" s="20">
        <f t="shared" si="9"/>
        <v>3</v>
      </c>
      <c r="P25" s="20">
        <f t="shared" si="9"/>
        <v>4</v>
      </c>
      <c r="Q25" s="20">
        <f t="shared" si="9"/>
        <v>4</v>
      </c>
      <c r="R25" s="20">
        <f t="shared" si="9"/>
        <v>4</v>
      </c>
      <c r="S25" s="20">
        <f t="shared" si="9"/>
        <v>5</v>
      </c>
      <c r="T25" s="20">
        <f t="shared" si="9"/>
        <v>5</v>
      </c>
      <c r="U25" s="20">
        <f t="shared" si="9"/>
        <v>5</v>
      </c>
      <c r="V25" s="20">
        <f t="shared" si="9"/>
        <v>5</v>
      </c>
      <c r="W25" s="20">
        <f t="shared" si="9"/>
        <v>5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8244-27C3-46DB-B8C8-C6C2AAE5A7E0}">
  <dimension ref="A1:X25"/>
  <sheetViews>
    <sheetView zoomScale="40" zoomScaleNormal="40" workbookViewId="0">
      <selection activeCell="B7" sqref="B7"/>
    </sheetView>
  </sheetViews>
  <sheetFormatPr defaultRowHeight="14.5" x14ac:dyDescent="0.35"/>
  <cols>
    <col min="1" max="1" width="18.7265625" bestFit="1" customWidth="1"/>
    <col min="2" max="2" width="19.453125" bestFit="1" customWidth="1"/>
    <col min="3" max="3" width="25.36328125" bestFit="1" customWidth="1"/>
    <col min="4" max="5" width="33.26953125" bestFit="1" customWidth="1"/>
    <col min="6" max="7" width="32.81640625" bestFit="1" customWidth="1"/>
    <col min="8" max="23" width="33.26953125" bestFit="1" customWidth="1"/>
    <col min="24" max="25" width="34.1796875" bestFit="1" customWidth="1"/>
  </cols>
  <sheetData>
    <row r="1" spans="1:24" ht="14.5" customHeight="1" x14ac:dyDescent="0.35">
      <c r="A1" s="56" t="s">
        <v>383</v>
      </c>
      <c r="B1" s="56"/>
      <c r="C1" s="56"/>
      <c r="D1" s="56"/>
      <c r="E1" s="56"/>
      <c r="F1" s="56"/>
    </row>
    <row r="2" spans="1:24" ht="14.5" customHeight="1" x14ac:dyDescent="0.35">
      <c r="A2" s="56"/>
      <c r="B2" s="56"/>
      <c r="C2" s="56"/>
      <c r="D2" s="56"/>
      <c r="E2" s="56"/>
      <c r="F2" s="56"/>
    </row>
    <row r="3" spans="1:24" ht="14.5" customHeight="1" x14ac:dyDescent="0.35">
      <c r="A3" s="56"/>
      <c r="B3" s="56"/>
      <c r="C3" s="56"/>
      <c r="D3" s="56"/>
      <c r="E3" s="56"/>
      <c r="F3" s="56"/>
    </row>
    <row r="4" spans="1:24" x14ac:dyDescent="0.35">
      <c r="A4" s="2"/>
    </row>
    <row r="5" spans="1:24" x14ac:dyDescent="0.35">
      <c r="A5" t="s">
        <v>46</v>
      </c>
      <c r="B5" t="s">
        <v>182</v>
      </c>
      <c r="C5" t="s">
        <v>183</v>
      </c>
      <c r="D5" t="s">
        <v>184</v>
      </c>
      <c r="E5" t="s">
        <v>185</v>
      </c>
      <c r="F5" t="s">
        <v>186</v>
      </c>
      <c r="G5" t="s">
        <v>187</v>
      </c>
      <c r="H5" t="s">
        <v>188</v>
      </c>
      <c r="I5" t="s">
        <v>189</v>
      </c>
      <c r="J5" t="s">
        <v>190</v>
      </c>
      <c r="K5" t="s">
        <v>191</v>
      </c>
      <c r="L5" t="s">
        <v>192</v>
      </c>
      <c r="M5" t="s">
        <v>193</v>
      </c>
      <c r="N5" t="s">
        <v>194</v>
      </c>
      <c r="O5" t="s">
        <v>195</v>
      </c>
      <c r="P5" t="s">
        <v>196</v>
      </c>
      <c r="Q5" t="s">
        <v>197</v>
      </c>
      <c r="R5" t="s">
        <v>198</v>
      </c>
      <c r="S5" t="s">
        <v>199</v>
      </c>
      <c r="T5" t="s">
        <v>200</v>
      </c>
      <c r="U5" t="s">
        <v>201</v>
      </c>
      <c r="V5" t="s">
        <v>202</v>
      </c>
    </row>
    <row r="6" spans="1:24" x14ac:dyDescent="0.35">
      <c r="A6" t="s">
        <v>52</v>
      </c>
      <c r="B6">
        <v>107500</v>
      </c>
      <c r="C6">
        <v>109625</v>
      </c>
      <c r="D6">
        <v>110000</v>
      </c>
      <c r="E6">
        <v>112750</v>
      </c>
      <c r="F6">
        <v>120738</v>
      </c>
      <c r="G6">
        <v>129508.75</v>
      </c>
      <c r="H6">
        <v>130380</v>
      </c>
      <c r="I6">
        <v>133610</v>
      </c>
      <c r="J6">
        <v>133800</v>
      </c>
      <c r="K6">
        <v>141080</v>
      </c>
      <c r="L6">
        <v>147500</v>
      </c>
      <c r="M6">
        <v>155382.03049999999</v>
      </c>
      <c r="N6">
        <v>165585.11799999999</v>
      </c>
      <c r="O6">
        <v>166416.67000000001</v>
      </c>
      <c r="P6">
        <v>166416.67000000001</v>
      </c>
      <c r="Q6">
        <v>173582.95749999999</v>
      </c>
      <c r="R6">
        <v>190388.68799999999</v>
      </c>
      <c r="S6">
        <v>212150</v>
      </c>
      <c r="T6">
        <v>283513.16900000011</v>
      </c>
      <c r="U6">
        <v>415377.23</v>
      </c>
      <c r="V6">
        <v>415377.23</v>
      </c>
    </row>
    <row r="7" spans="1:24" x14ac:dyDescent="0.35">
      <c r="A7" t="s">
        <v>96</v>
      </c>
      <c r="B7">
        <v>107500</v>
      </c>
      <c r="C7">
        <v>109625</v>
      </c>
      <c r="D7">
        <v>110000</v>
      </c>
      <c r="E7">
        <v>112750</v>
      </c>
      <c r="F7">
        <v>120738</v>
      </c>
      <c r="G7">
        <v>129508.75</v>
      </c>
      <c r="H7">
        <v>130380</v>
      </c>
      <c r="I7">
        <v>133610</v>
      </c>
      <c r="J7">
        <v>133800</v>
      </c>
      <c r="K7">
        <v>141080</v>
      </c>
      <c r="L7">
        <v>147500</v>
      </c>
      <c r="M7">
        <v>155382.03049999999</v>
      </c>
      <c r="N7">
        <v>165585.11799999999</v>
      </c>
      <c r="O7">
        <v>166416.67000000001</v>
      </c>
      <c r="P7">
        <v>166416.67000000001</v>
      </c>
      <c r="Q7">
        <v>173582.95749999999</v>
      </c>
      <c r="R7">
        <v>190388.68799999999</v>
      </c>
      <c r="S7">
        <v>212150</v>
      </c>
      <c r="T7">
        <v>283513.16900000011</v>
      </c>
      <c r="U7">
        <v>415377.23</v>
      </c>
      <c r="V7">
        <v>415377.23</v>
      </c>
    </row>
    <row r="10" spans="1:24" x14ac:dyDescent="0.35">
      <c r="A10" t="s">
        <v>46</v>
      </c>
      <c r="B10" t="s">
        <v>36</v>
      </c>
      <c r="C10" t="s">
        <v>232</v>
      </c>
      <c r="D10" t="s">
        <v>204</v>
      </c>
      <c r="E10" t="s">
        <v>203</v>
      </c>
      <c r="F10" t="s">
        <v>205</v>
      </c>
      <c r="G10" t="s">
        <v>206</v>
      </c>
      <c r="H10" t="s">
        <v>207</v>
      </c>
      <c r="I10" t="s">
        <v>208</v>
      </c>
      <c r="J10" t="s">
        <v>209</v>
      </c>
      <c r="K10" t="s">
        <v>210</v>
      </c>
      <c r="L10" t="s">
        <v>211</v>
      </c>
      <c r="M10" t="s">
        <v>212</v>
      </c>
      <c r="N10" t="s">
        <v>213</v>
      </c>
      <c r="O10" t="s">
        <v>214</v>
      </c>
      <c r="P10" t="s">
        <v>215</v>
      </c>
      <c r="Q10" t="s">
        <v>216</v>
      </c>
      <c r="R10" t="s">
        <v>217</v>
      </c>
      <c r="S10" t="s">
        <v>218</v>
      </c>
      <c r="T10" t="s">
        <v>219</v>
      </c>
      <c r="U10" t="s">
        <v>220</v>
      </c>
      <c r="V10" t="s">
        <v>221</v>
      </c>
      <c r="W10" t="s">
        <v>222</v>
      </c>
      <c r="X10" t="s">
        <v>223</v>
      </c>
    </row>
    <row r="11" spans="1:24" x14ac:dyDescent="0.35">
      <c r="A11" t="s">
        <v>52</v>
      </c>
      <c r="B11">
        <v>0</v>
      </c>
      <c r="C11">
        <v>18</v>
      </c>
      <c r="D11">
        <v>18</v>
      </c>
      <c r="E11">
        <v>17</v>
      </c>
      <c r="F11">
        <v>17</v>
      </c>
      <c r="G11">
        <v>15</v>
      </c>
      <c r="H11">
        <v>14</v>
      </c>
      <c r="I11">
        <v>13</v>
      </c>
      <c r="J11">
        <v>12</v>
      </c>
      <c r="K11">
        <v>12</v>
      </c>
      <c r="L11">
        <v>12</v>
      </c>
      <c r="M11">
        <v>10</v>
      </c>
      <c r="N11">
        <v>9</v>
      </c>
      <c r="O11">
        <v>8</v>
      </c>
      <c r="P11">
        <v>7</v>
      </c>
      <c r="Q11">
        <v>7</v>
      </c>
      <c r="R11">
        <v>7</v>
      </c>
      <c r="S11">
        <v>5</v>
      </c>
      <c r="T11">
        <v>4</v>
      </c>
      <c r="U11">
        <v>3</v>
      </c>
      <c r="V11">
        <v>2</v>
      </c>
      <c r="W11">
        <v>2</v>
      </c>
      <c r="X11">
        <v>2</v>
      </c>
    </row>
    <row r="12" spans="1:24" x14ac:dyDescent="0.35">
      <c r="A12" t="s">
        <v>52</v>
      </c>
      <c r="B12">
        <v>1</v>
      </c>
      <c r="C12">
        <v>102</v>
      </c>
      <c r="D12">
        <v>94</v>
      </c>
      <c r="E12">
        <v>94</v>
      </c>
      <c r="F12">
        <v>94</v>
      </c>
      <c r="G12">
        <v>91</v>
      </c>
      <c r="H12">
        <v>78</v>
      </c>
      <c r="I12">
        <v>74</v>
      </c>
      <c r="J12">
        <v>68</v>
      </c>
      <c r="K12">
        <v>68</v>
      </c>
      <c r="L12">
        <v>68</v>
      </c>
      <c r="M12">
        <v>62</v>
      </c>
      <c r="N12">
        <v>55</v>
      </c>
      <c r="O12">
        <v>41</v>
      </c>
      <c r="P12">
        <v>30</v>
      </c>
      <c r="Q12">
        <v>30</v>
      </c>
      <c r="R12">
        <v>30</v>
      </c>
      <c r="S12">
        <v>30</v>
      </c>
      <c r="T12">
        <v>25</v>
      </c>
      <c r="U12">
        <v>15</v>
      </c>
      <c r="V12">
        <v>9</v>
      </c>
      <c r="W12">
        <v>5</v>
      </c>
      <c r="X12">
        <v>5</v>
      </c>
    </row>
    <row r="13" spans="1:24" x14ac:dyDescent="0.35">
      <c r="A13" t="s">
        <v>96</v>
      </c>
      <c r="C13">
        <v>120</v>
      </c>
      <c r="D13">
        <v>112</v>
      </c>
      <c r="E13">
        <v>111</v>
      </c>
      <c r="F13">
        <v>111</v>
      </c>
      <c r="G13">
        <v>106</v>
      </c>
      <c r="H13">
        <v>92</v>
      </c>
      <c r="I13">
        <v>87</v>
      </c>
      <c r="J13">
        <v>80</v>
      </c>
      <c r="K13">
        <v>80</v>
      </c>
      <c r="L13">
        <v>80</v>
      </c>
      <c r="M13">
        <v>72</v>
      </c>
      <c r="N13">
        <v>64</v>
      </c>
      <c r="O13">
        <v>49</v>
      </c>
      <c r="P13">
        <v>37</v>
      </c>
      <c r="Q13">
        <v>37</v>
      </c>
      <c r="R13">
        <v>37</v>
      </c>
      <c r="S13">
        <v>35</v>
      </c>
      <c r="T13">
        <v>29</v>
      </c>
      <c r="U13">
        <v>18</v>
      </c>
      <c r="V13">
        <v>11</v>
      </c>
      <c r="W13">
        <v>7</v>
      </c>
      <c r="X13">
        <v>7</v>
      </c>
    </row>
    <row r="16" spans="1:24" x14ac:dyDescent="0.35">
      <c r="G16" t="s">
        <v>225</v>
      </c>
    </row>
    <row r="17" spans="1:23" x14ac:dyDescent="0.35">
      <c r="A17" s="9" t="s">
        <v>125</v>
      </c>
      <c r="B17" s="9" t="s">
        <v>233</v>
      </c>
      <c r="C17" s="9" t="s">
        <v>103</v>
      </c>
      <c r="D17" s="9" t="s">
        <v>104</v>
      </c>
      <c r="E17" s="9" t="s">
        <v>105</v>
      </c>
      <c r="F17" s="9" t="s">
        <v>106</v>
      </c>
      <c r="G17" s="9" t="s">
        <v>107</v>
      </c>
      <c r="H17" s="9" t="s">
        <v>108</v>
      </c>
      <c r="I17" s="9" t="s">
        <v>109</v>
      </c>
      <c r="J17" s="9" t="s">
        <v>110</v>
      </c>
      <c r="K17" s="9" t="s">
        <v>111</v>
      </c>
      <c r="L17" s="9" t="s">
        <v>112</v>
      </c>
      <c r="M17" s="9" t="s">
        <v>113</v>
      </c>
      <c r="N17" s="9" t="s">
        <v>114</v>
      </c>
      <c r="O17" s="9" t="s">
        <v>115</v>
      </c>
      <c r="P17" s="9" t="s">
        <v>116</v>
      </c>
      <c r="Q17" s="9" t="s">
        <v>117</v>
      </c>
      <c r="R17" s="9" t="s">
        <v>118</v>
      </c>
      <c r="S17" s="9" t="s">
        <v>119</v>
      </c>
      <c r="T17" s="9" t="s">
        <v>120</v>
      </c>
      <c r="U17" s="9" t="s">
        <v>121</v>
      </c>
      <c r="V17" s="9" t="s">
        <v>122</v>
      </c>
      <c r="W17" s="9" t="s">
        <v>123</v>
      </c>
    </row>
    <row r="18" spans="1:23" x14ac:dyDescent="0.35">
      <c r="A18" s="9" t="s">
        <v>828</v>
      </c>
      <c r="B18" s="3">
        <f>C11</f>
        <v>18</v>
      </c>
      <c r="C18" s="3">
        <f>D11</f>
        <v>18</v>
      </c>
      <c r="D18" s="3">
        <f t="shared" ref="D18:W18" si="0">E11</f>
        <v>17</v>
      </c>
      <c r="E18" s="3">
        <f t="shared" si="0"/>
        <v>17</v>
      </c>
      <c r="F18" s="3">
        <f t="shared" si="0"/>
        <v>15</v>
      </c>
      <c r="G18" s="3">
        <f t="shared" si="0"/>
        <v>14</v>
      </c>
      <c r="H18" s="3">
        <f t="shared" si="0"/>
        <v>13</v>
      </c>
      <c r="I18" s="3">
        <f t="shared" si="0"/>
        <v>12</v>
      </c>
      <c r="J18" s="3">
        <f t="shared" si="0"/>
        <v>12</v>
      </c>
      <c r="K18" s="3">
        <f t="shared" si="0"/>
        <v>12</v>
      </c>
      <c r="L18" s="3">
        <f t="shared" si="0"/>
        <v>10</v>
      </c>
      <c r="M18" s="3">
        <f t="shared" si="0"/>
        <v>9</v>
      </c>
      <c r="N18" s="3">
        <f t="shared" si="0"/>
        <v>8</v>
      </c>
      <c r="O18" s="3">
        <f t="shared" si="0"/>
        <v>7</v>
      </c>
      <c r="P18" s="3">
        <f t="shared" si="0"/>
        <v>7</v>
      </c>
      <c r="Q18" s="3">
        <f t="shared" si="0"/>
        <v>7</v>
      </c>
      <c r="R18" s="3">
        <f t="shared" si="0"/>
        <v>5</v>
      </c>
      <c r="S18" s="3">
        <f t="shared" si="0"/>
        <v>4</v>
      </c>
      <c r="T18" s="3">
        <f t="shared" si="0"/>
        <v>3</v>
      </c>
      <c r="U18" s="3">
        <f t="shared" si="0"/>
        <v>2</v>
      </c>
      <c r="V18" s="3">
        <f t="shared" si="0"/>
        <v>2</v>
      </c>
      <c r="W18" s="3">
        <f t="shared" si="0"/>
        <v>2</v>
      </c>
    </row>
    <row r="19" spans="1:23" x14ac:dyDescent="0.35">
      <c r="A19" s="9" t="s">
        <v>224</v>
      </c>
      <c r="B19" s="3">
        <f>C12</f>
        <v>102</v>
      </c>
      <c r="C19" s="3">
        <f>D12</f>
        <v>94</v>
      </c>
      <c r="D19" s="3">
        <f t="shared" ref="D19:W19" si="1">E12</f>
        <v>94</v>
      </c>
      <c r="E19" s="3">
        <f t="shared" si="1"/>
        <v>94</v>
      </c>
      <c r="F19" s="3">
        <f t="shared" si="1"/>
        <v>91</v>
      </c>
      <c r="G19" s="3">
        <f t="shared" si="1"/>
        <v>78</v>
      </c>
      <c r="H19" s="3">
        <f t="shared" si="1"/>
        <v>74</v>
      </c>
      <c r="I19" s="3">
        <f t="shared" si="1"/>
        <v>68</v>
      </c>
      <c r="J19" s="3">
        <f t="shared" si="1"/>
        <v>68</v>
      </c>
      <c r="K19" s="3">
        <f t="shared" si="1"/>
        <v>68</v>
      </c>
      <c r="L19" s="3">
        <f t="shared" si="1"/>
        <v>62</v>
      </c>
      <c r="M19" s="3">
        <f t="shared" si="1"/>
        <v>55</v>
      </c>
      <c r="N19" s="3">
        <f t="shared" si="1"/>
        <v>41</v>
      </c>
      <c r="O19" s="3">
        <f t="shared" si="1"/>
        <v>30</v>
      </c>
      <c r="P19" s="3">
        <f t="shared" si="1"/>
        <v>30</v>
      </c>
      <c r="Q19" s="3">
        <f t="shared" si="1"/>
        <v>30</v>
      </c>
      <c r="R19" s="3">
        <f t="shared" si="1"/>
        <v>30</v>
      </c>
      <c r="S19" s="3">
        <f t="shared" si="1"/>
        <v>25</v>
      </c>
      <c r="T19" s="3">
        <f t="shared" si="1"/>
        <v>15</v>
      </c>
      <c r="U19" s="3">
        <f t="shared" si="1"/>
        <v>9</v>
      </c>
      <c r="V19" s="3">
        <f t="shared" si="1"/>
        <v>5</v>
      </c>
      <c r="W19" s="3">
        <f t="shared" si="1"/>
        <v>5</v>
      </c>
    </row>
    <row r="20" spans="1:23" x14ac:dyDescent="0.35">
      <c r="A20" s="9" t="s">
        <v>829</v>
      </c>
      <c r="B20" s="3">
        <f t="shared" ref="B20" si="2">SUM(B18:B19)</f>
        <v>120</v>
      </c>
      <c r="C20" s="3">
        <f t="shared" ref="C20:W20" si="3">SUM(C18:C19)</f>
        <v>112</v>
      </c>
      <c r="D20" s="3">
        <f t="shared" si="3"/>
        <v>111</v>
      </c>
      <c r="E20" s="3">
        <f t="shared" si="3"/>
        <v>111</v>
      </c>
      <c r="F20" s="3">
        <f t="shared" si="3"/>
        <v>106</v>
      </c>
      <c r="G20" s="3">
        <f t="shared" si="3"/>
        <v>92</v>
      </c>
      <c r="H20" s="3">
        <f t="shared" si="3"/>
        <v>87</v>
      </c>
      <c r="I20" s="3">
        <f t="shared" si="3"/>
        <v>80</v>
      </c>
      <c r="J20" s="3">
        <f t="shared" si="3"/>
        <v>80</v>
      </c>
      <c r="K20" s="3">
        <f t="shared" si="3"/>
        <v>80</v>
      </c>
      <c r="L20" s="3">
        <f t="shared" si="3"/>
        <v>72</v>
      </c>
      <c r="M20" s="3">
        <f t="shared" si="3"/>
        <v>64</v>
      </c>
      <c r="N20" s="3">
        <f t="shared" si="3"/>
        <v>49</v>
      </c>
      <c r="O20" s="3">
        <f t="shared" si="3"/>
        <v>37</v>
      </c>
      <c r="P20" s="3">
        <f t="shared" si="3"/>
        <v>37</v>
      </c>
      <c r="Q20" s="3">
        <f t="shared" si="3"/>
        <v>37</v>
      </c>
      <c r="R20" s="3">
        <f t="shared" si="3"/>
        <v>35</v>
      </c>
      <c r="S20" s="3">
        <f t="shared" si="3"/>
        <v>29</v>
      </c>
      <c r="T20" s="3">
        <f t="shared" si="3"/>
        <v>18</v>
      </c>
      <c r="U20" s="3">
        <f t="shared" si="3"/>
        <v>11</v>
      </c>
      <c r="V20" s="3">
        <f t="shared" si="3"/>
        <v>7</v>
      </c>
      <c r="W20" s="3">
        <f t="shared" si="3"/>
        <v>7</v>
      </c>
    </row>
    <row r="21" spans="1:23" x14ac:dyDescent="0.35">
      <c r="A21" s="9" t="s">
        <v>230</v>
      </c>
      <c r="B21" s="4">
        <f>B19/$B$19</f>
        <v>1</v>
      </c>
      <c r="C21" s="4">
        <f>C19/$B$19</f>
        <v>0.92156862745098034</v>
      </c>
      <c r="D21" s="4">
        <f t="shared" ref="D21:W21" si="4">D19/$B$19</f>
        <v>0.92156862745098034</v>
      </c>
      <c r="E21" s="4">
        <f t="shared" si="4"/>
        <v>0.92156862745098034</v>
      </c>
      <c r="F21" s="4">
        <f t="shared" si="4"/>
        <v>0.89215686274509809</v>
      </c>
      <c r="G21" s="4">
        <f t="shared" si="4"/>
        <v>0.76470588235294112</v>
      </c>
      <c r="H21" s="4">
        <f t="shared" si="4"/>
        <v>0.72549019607843135</v>
      </c>
      <c r="I21" s="4">
        <f t="shared" si="4"/>
        <v>0.66666666666666663</v>
      </c>
      <c r="J21" s="4">
        <f t="shared" si="4"/>
        <v>0.66666666666666663</v>
      </c>
      <c r="K21" s="4">
        <f t="shared" si="4"/>
        <v>0.66666666666666663</v>
      </c>
      <c r="L21" s="4">
        <f t="shared" si="4"/>
        <v>0.60784313725490191</v>
      </c>
      <c r="M21" s="4">
        <f t="shared" si="4"/>
        <v>0.53921568627450978</v>
      </c>
      <c r="N21" s="4">
        <f t="shared" si="4"/>
        <v>0.40196078431372551</v>
      </c>
      <c r="O21" s="4">
        <f t="shared" si="4"/>
        <v>0.29411764705882354</v>
      </c>
      <c r="P21" s="4">
        <f t="shared" si="4"/>
        <v>0.29411764705882354</v>
      </c>
      <c r="Q21" s="4">
        <f t="shared" si="4"/>
        <v>0.29411764705882354</v>
      </c>
      <c r="R21" s="4">
        <f t="shared" si="4"/>
        <v>0.29411764705882354</v>
      </c>
      <c r="S21" s="4">
        <f t="shared" si="4"/>
        <v>0.24509803921568626</v>
      </c>
      <c r="T21" s="4">
        <f t="shared" si="4"/>
        <v>0.14705882352941177</v>
      </c>
      <c r="U21" s="4">
        <f t="shared" si="4"/>
        <v>8.8235294117647065E-2</v>
      </c>
      <c r="V21" s="4">
        <f t="shared" si="4"/>
        <v>4.9019607843137254E-2</v>
      </c>
      <c r="W21" s="4">
        <f t="shared" si="4"/>
        <v>4.9019607843137254E-2</v>
      </c>
    </row>
    <row r="22" spans="1:23" x14ac:dyDescent="0.35">
      <c r="A22" s="9" t="s">
        <v>830</v>
      </c>
      <c r="B22" s="4">
        <f t="shared" ref="B22" si="5">B18/B20</f>
        <v>0.15</v>
      </c>
      <c r="C22" s="4">
        <f t="shared" ref="C22:W22" si="6">C18/C20</f>
        <v>0.16071428571428573</v>
      </c>
      <c r="D22" s="4">
        <f t="shared" si="6"/>
        <v>0.15315315315315314</v>
      </c>
      <c r="E22" s="4">
        <f t="shared" si="6"/>
        <v>0.15315315315315314</v>
      </c>
      <c r="F22" s="4">
        <f t="shared" si="6"/>
        <v>0.14150943396226415</v>
      </c>
      <c r="G22" s="4">
        <f t="shared" si="6"/>
        <v>0.15217391304347827</v>
      </c>
      <c r="H22" s="4">
        <f t="shared" si="6"/>
        <v>0.14942528735632185</v>
      </c>
      <c r="I22" s="4">
        <f t="shared" si="6"/>
        <v>0.15</v>
      </c>
      <c r="J22" s="4">
        <f t="shared" si="6"/>
        <v>0.15</v>
      </c>
      <c r="K22" s="4">
        <f t="shared" si="6"/>
        <v>0.15</v>
      </c>
      <c r="L22" s="4">
        <f t="shared" si="6"/>
        <v>0.1388888888888889</v>
      </c>
      <c r="M22" s="4">
        <f t="shared" si="6"/>
        <v>0.140625</v>
      </c>
      <c r="N22" s="4">
        <f t="shared" si="6"/>
        <v>0.16326530612244897</v>
      </c>
      <c r="O22" s="4">
        <f t="shared" si="6"/>
        <v>0.1891891891891892</v>
      </c>
      <c r="P22" s="4">
        <f t="shared" si="6"/>
        <v>0.1891891891891892</v>
      </c>
      <c r="Q22" s="4">
        <f t="shared" si="6"/>
        <v>0.1891891891891892</v>
      </c>
      <c r="R22" s="4">
        <f t="shared" si="6"/>
        <v>0.14285714285714285</v>
      </c>
      <c r="S22" s="4">
        <f t="shared" si="6"/>
        <v>0.13793103448275862</v>
      </c>
      <c r="T22" s="4">
        <f t="shared" si="6"/>
        <v>0.16666666666666666</v>
      </c>
      <c r="U22" s="4">
        <f t="shared" si="6"/>
        <v>0.18181818181818182</v>
      </c>
      <c r="V22" s="4">
        <f t="shared" si="6"/>
        <v>0.2857142857142857</v>
      </c>
      <c r="W22" s="4">
        <f t="shared" si="6"/>
        <v>0.2857142857142857</v>
      </c>
    </row>
    <row r="23" spans="1:23" x14ac:dyDescent="0.35">
      <c r="A23" s="9" t="s">
        <v>831</v>
      </c>
      <c r="B23" s="9"/>
      <c r="C23" s="8">
        <f>B7</f>
        <v>107500</v>
      </c>
      <c r="D23" s="8">
        <f t="shared" ref="D23:W23" si="7">C7</f>
        <v>109625</v>
      </c>
      <c r="E23" s="8">
        <f t="shared" si="7"/>
        <v>110000</v>
      </c>
      <c r="F23" s="8">
        <f t="shared" si="7"/>
        <v>112750</v>
      </c>
      <c r="G23" s="8">
        <f t="shared" si="7"/>
        <v>120738</v>
      </c>
      <c r="H23" s="8">
        <f t="shared" si="7"/>
        <v>129508.75</v>
      </c>
      <c r="I23" s="8">
        <f t="shared" si="7"/>
        <v>130380</v>
      </c>
      <c r="J23" s="8">
        <f t="shared" si="7"/>
        <v>133610</v>
      </c>
      <c r="K23" s="8">
        <f t="shared" si="7"/>
        <v>133800</v>
      </c>
      <c r="L23" s="8">
        <f t="shared" si="7"/>
        <v>141080</v>
      </c>
      <c r="M23" s="8">
        <f t="shared" si="7"/>
        <v>147500</v>
      </c>
      <c r="N23" s="8">
        <f t="shared" si="7"/>
        <v>155382.03049999999</v>
      </c>
      <c r="O23" s="8">
        <f t="shared" si="7"/>
        <v>165585.11799999999</v>
      </c>
      <c r="P23" s="8">
        <f t="shared" si="7"/>
        <v>166416.67000000001</v>
      </c>
      <c r="Q23" s="8">
        <f t="shared" si="7"/>
        <v>166416.67000000001</v>
      </c>
      <c r="R23" s="8">
        <f t="shared" si="7"/>
        <v>173582.95749999999</v>
      </c>
      <c r="S23" s="8">
        <f t="shared" si="7"/>
        <v>190388.68799999999</v>
      </c>
      <c r="T23" s="8">
        <f t="shared" si="7"/>
        <v>212150</v>
      </c>
      <c r="U23" s="8">
        <f t="shared" si="7"/>
        <v>283513.16900000011</v>
      </c>
      <c r="V23" s="8">
        <f t="shared" si="7"/>
        <v>415377.23</v>
      </c>
      <c r="W23" s="8">
        <f t="shared" si="7"/>
        <v>415377.23</v>
      </c>
    </row>
    <row r="24" spans="1:23" x14ac:dyDescent="0.35">
      <c r="A24" s="9" t="s">
        <v>832</v>
      </c>
      <c r="B24" s="20">
        <f>$B$18-B18</f>
        <v>0</v>
      </c>
      <c r="C24" s="20">
        <f>$B$18-C18</f>
        <v>0</v>
      </c>
      <c r="D24" s="20">
        <f t="shared" ref="D24:W24" si="8">$B$18-D18</f>
        <v>1</v>
      </c>
      <c r="E24" s="20">
        <f t="shared" si="8"/>
        <v>1</v>
      </c>
      <c r="F24" s="20">
        <f t="shared" si="8"/>
        <v>3</v>
      </c>
      <c r="G24" s="20">
        <f t="shared" si="8"/>
        <v>4</v>
      </c>
      <c r="H24" s="20">
        <f t="shared" si="8"/>
        <v>5</v>
      </c>
      <c r="I24" s="20">
        <f t="shared" si="8"/>
        <v>6</v>
      </c>
      <c r="J24" s="20">
        <f t="shared" si="8"/>
        <v>6</v>
      </c>
      <c r="K24" s="20">
        <f t="shared" si="8"/>
        <v>6</v>
      </c>
      <c r="L24" s="20">
        <f t="shared" si="8"/>
        <v>8</v>
      </c>
      <c r="M24" s="20">
        <f t="shared" si="8"/>
        <v>9</v>
      </c>
      <c r="N24" s="20">
        <f t="shared" si="8"/>
        <v>10</v>
      </c>
      <c r="O24" s="20">
        <f t="shared" si="8"/>
        <v>11</v>
      </c>
      <c r="P24" s="20">
        <f t="shared" si="8"/>
        <v>11</v>
      </c>
      <c r="Q24" s="20">
        <f t="shared" si="8"/>
        <v>11</v>
      </c>
      <c r="R24" s="20">
        <f t="shared" si="8"/>
        <v>13</v>
      </c>
      <c r="S24" s="20">
        <f t="shared" si="8"/>
        <v>14</v>
      </c>
      <c r="T24" s="20">
        <f t="shared" si="8"/>
        <v>15</v>
      </c>
      <c r="U24" s="20">
        <f t="shared" si="8"/>
        <v>16</v>
      </c>
      <c r="V24" s="20">
        <f t="shared" si="8"/>
        <v>16</v>
      </c>
      <c r="W24" s="20">
        <f t="shared" si="8"/>
        <v>16</v>
      </c>
    </row>
    <row r="25" spans="1:23" x14ac:dyDescent="0.35">
      <c r="A25" s="9" t="s">
        <v>245</v>
      </c>
      <c r="B25" s="20">
        <f>$B$19-B19</f>
        <v>0</v>
      </c>
      <c r="C25" s="20">
        <f>$B$19-C19</f>
        <v>8</v>
      </c>
      <c r="D25" s="20">
        <f t="shared" ref="D25:W25" si="9">$B$19-D19</f>
        <v>8</v>
      </c>
      <c r="E25" s="20">
        <f t="shared" si="9"/>
        <v>8</v>
      </c>
      <c r="F25" s="20">
        <f t="shared" si="9"/>
        <v>11</v>
      </c>
      <c r="G25" s="20">
        <f t="shared" si="9"/>
        <v>24</v>
      </c>
      <c r="H25" s="20">
        <f t="shared" si="9"/>
        <v>28</v>
      </c>
      <c r="I25" s="20">
        <f t="shared" si="9"/>
        <v>34</v>
      </c>
      <c r="J25" s="20">
        <f t="shared" si="9"/>
        <v>34</v>
      </c>
      <c r="K25" s="20">
        <f t="shared" si="9"/>
        <v>34</v>
      </c>
      <c r="L25" s="20">
        <f t="shared" si="9"/>
        <v>40</v>
      </c>
      <c r="M25" s="20">
        <f t="shared" si="9"/>
        <v>47</v>
      </c>
      <c r="N25" s="20">
        <f t="shared" si="9"/>
        <v>61</v>
      </c>
      <c r="O25" s="20">
        <f t="shared" si="9"/>
        <v>72</v>
      </c>
      <c r="P25" s="20">
        <f t="shared" si="9"/>
        <v>72</v>
      </c>
      <c r="Q25" s="20">
        <f t="shared" si="9"/>
        <v>72</v>
      </c>
      <c r="R25" s="20">
        <f t="shared" si="9"/>
        <v>72</v>
      </c>
      <c r="S25" s="20">
        <f t="shared" si="9"/>
        <v>77</v>
      </c>
      <c r="T25" s="20">
        <f t="shared" si="9"/>
        <v>87</v>
      </c>
      <c r="U25" s="20">
        <f t="shared" si="9"/>
        <v>93</v>
      </c>
      <c r="V25" s="20">
        <f t="shared" si="9"/>
        <v>97</v>
      </c>
      <c r="W25" s="20">
        <f t="shared" si="9"/>
        <v>97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968"/>
  <sheetViews>
    <sheetView workbookViewId="0">
      <selection activeCell="R2" sqref="R2:R501"/>
    </sheetView>
  </sheetViews>
  <sheetFormatPr defaultRowHeight="14.5" x14ac:dyDescent="0.35"/>
  <sheetData>
    <row r="1" spans="1:90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1" t="s">
        <v>28</v>
      </c>
      <c r="AD1" s="31" t="s">
        <v>29</v>
      </c>
      <c r="AE1" s="31" t="s">
        <v>30</v>
      </c>
      <c r="AF1" s="31" t="s">
        <v>31</v>
      </c>
      <c r="AG1" s="31" t="s">
        <v>32</v>
      </c>
      <c r="AH1" s="31" t="s">
        <v>33</v>
      </c>
      <c r="AI1" s="31" t="s">
        <v>34</v>
      </c>
      <c r="AJ1" s="31" t="s">
        <v>35</v>
      </c>
      <c r="AK1" s="31" t="s">
        <v>36</v>
      </c>
      <c r="AL1" s="31" t="s">
        <v>37</v>
      </c>
      <c r="AM1" s="31" t="s">
        <v>38</v>
      </c>
      <c r="AN1" s="31" t="s">
        <v>39</v>
      </c>
      <c r="AO1" s="31" t="s">
        <v>40</v>
      </c>
      <c r="AP1" s="31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126</v>
      </c>
      <c r="AW1" s="31" t="s">
        <v>127</v>
      </c>
      <c r="AX1" s="31" t="s">
        <v>128</v>
      </c>
      <c r="AY1" s="31" t="s">
        <v>129</v>
      </c>
      <c r="AZ1" s="31" t="s">
        <v>130</v>
      </c>
      <c r="BA1" s="31" t="s">
        <v>131</v>
      </c>
      <c r="BB1" s="31" t="s">
        <v>132</v>
      </c>
      <c r="BC1" s="31" t="s">
        <v>133</v>
      </c>
      <c r="BD1" s="31" t="s">
        <v>134</v>
      </c>
      <c r="BE1" s="31" t="s">
        <v>135</v>
      </c>
      <c r="BF1" s="31" t="s">
        <v>136</v>
      </c>
      <c r="BG1" s="31" t="s">
        <v>137</v>
      </c>
      <c r="BH1" s="31" t="s">
        <v>138</v>
      </c>
      <c r="BI1" s="31" t="s">
        <v>139</v>
      </c>
      <c r="BJ1" s="31" t="s">
        <v>140</v>
      </c>
      <c r="BK1" s="31" t="s">
        <v>141</v>
      </c>
      <c r="BL1" s="31" t="s">
        <v>142</v>
      </c>
      <c r="BM1" s="31" t="s">
        <v>143</v>
      </c>
      <c r="BN1" s="31" t="s">
        <v>144</v>
      </c>
      <c r="BO1" s="31" t="s">
        <v>145</v>
      </c>
      <c r="BP1" s="31" t="s">
        <v>146</v>
      </c>
      <c r="BQ1" s="31" t="s">
        <v>147</v>
      </c>
      <c r="BR1" s="31" t="s">
        <v>148</v>
      </c>
      <c r="BS1" s="31" t="s">
        <v>149</v>
      </c>
      <c r="BT1" s="31" t="s">
        <v>150</v>
      </c>
      <c r="BU1" s="31" t="s">
        <v>151</v>
      </c>
      <c r="BV1" s="31" t="s">
        <v>152</v>
      </c>
      <c r="BW1" s="31" t="s">
        <v>153</v>
      </c>
      <c r="BX1" s="31" t="s">
        <v>154</v>
      </c>
      <c r="BY1" s="31" t="s">
        <v>155</v>
      </c>
      <c r="BZ1" s="31" t="s">
        <v>156</v>
      </c>
      <c r="CA1" s="31" t="s">
        <v>157</v>
      </c>
      <c r="CB1" s="31" t="s">
        <v>158</v>
      </c>
      <c r="CC1" s="31" t="s">
        <v>159</v>
      </c>
      <c r="CD1" s="31" t="s">
        <v>160</v>
      </c>
      <c r="CE1" s="31" t="s">
        <v>161</v>
      </c>
      <c r="CF1" s="31" t="s">
        <v>162</v>
      </c>
      <c r="CG1" s="31" t="s">
        <v>163</v>
      </c>
      <c r="CH1" s="31" t="s">
        <v>164</v>
      </c>
      <c r="CI1" s="31" t="s">
        <v>165</v>
      </c>
      <c r="CJ1" s="31" t="s">
        <v>166</v>
      </c>
      <c r="CK1" s="31" t="s">
        <v>167</v>
      </c>
      <c r="CL1" s="18"/>
    </row>
    <row r="2" spans="1:90" x14ac:dyDescent="0.35">
      <c r="A2">
        <v>337727</v>
      </c>
      <c r="B2" t="s">
        <v>388</v>
      </c>
      <c r="C2" t="s">
        <v>389</v>
      </c>
      <c r="D2" s="1">
        <v>45778</v>
      </c>
      <c r="E2">
        <v>53850</v>
      </c>
      <c r="F2">
        <v>102</v>
      </c>
      <c r="G2" t="s">
        <v>55</v>
      </c>
      <c r="H2" t="s">
        <v>48</v>
      </c>
      <c r="I2" t="s">
        <v>49</v>
      </c>
      <c r="K2" t="s">
        <v>256</v>
      </c>
      <c r="L2">
        <v>1023308717655</v>
      </c>
      <c r="M2">
        <v>20250430</v>
      </c>
      <c r="N2" t="s">
        <v>262</v>
      </c>
      <c r="Q2" t="s">
        <v>58</v>
      </c>
      <c r="R2">
        <v>178315.37</v>
      </c>
      <c r="S2">
        <v>5800</v>
      </c>
      <c r="T2">
        <v>4226959</v>
      </c>
      <c r="U2">
        <v>6150080726</v>
      </c>
      <c r="V2" t="s">
        <v>390</v>
      </c>
      <c r="W2" t="s">
        <v>56</v>
      </c>
      <c r="X2" t="s">
        <v>391</v>
      </c>
      <c r="Y2" t="s">
        <v>51</v>
      </c>
      <c r="Z2">
        <v>739</v>
      </c>
      <c r="AH2">
        <v>0</v>
      </c>
      <c r="AI2">
        <v>202504</v>
      </c>
      <c r="AJ2" t="s">
        <v>168</v>
      </c>
      <c r="AK2">
        <v>1</v>
      </c>
      <c r="AL2">
        <v>1</v>
      </c>
      <c r="AO2">
        <v>1</v>
      </c>
      <c r="AP2">
        <v>999</v>
      </c>
      <c r="AQ2">
        <v>430</v>
      </c>
      <c r="AR2">
        <v>430999</v>
      </c>
      <c r="AT2">
        <v>1</v>
      </c>
      <c r="AU2" t="s">
        <v>57</v>
      </c>
      <c r="AV2">
        <v>101552.46</v>
      </c>
      <c r="AW2">
        <v>114647.6485</v>
      </c>
      <c r="AX2">
        <v>118167.008</v>
      </c>
      <c r="AY2">
        <v>123559.05899999999</v>
      </c>
      <c r="AZ2">
        <v>128796.368</v>
      </c>
      <c r="BA2">
        <v>130000</v>
      </c>
      <c r="BB2">
        <v>135819.11300000001</v>
      </c>
      <c r="BC2">
        <v>145008.255</v>
      </c>
      <c r="BD2">
        <v>146226.546</v>
      </c>
      <c r="BE2">
        <v>148171.67300000001</v>
      </c>
      <c r="BF2">
        <v>156533.16500000001</v>
      </c>
      <c r="BG2">
        <v>167340.8915</v>
      </c>
      <c r="BH2">
        <v>179808.78</v>
      </c>
      <c r="BI2">
        <v>187222.14799999999</v>
      </c>
      <c r="BJ2">
        <v>206328.26500000001</v>
      </c>
      <c r="BK2">
        <v>220390.6225</v>
      </c>
      <c r="BL2">
        <v>239280.00000000009</v>
      </c>
      <c r="BM2">
        <v>298738.61</v>
      </c>
      <c r="BN2">
        <v>365407.64500000002</v>
      </c>
      <c r="BO2">
        <v>399465.49400000001</v>
      </c>
      <c r="BP2">
        <v>515709.15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90" x14ac:dyDescent="0.35">
      <c r="A3">
        <v>337723</v>
      </c>
      <c r="B3" t="s">
        <v>388</v>
      </c>
      <c r="C3" t="s">
        <v>389</v>
      </c>
      <c r="D3" s="1">
        <v>45778</v>
      </c>
      <c r="E3">
        <v>53850</v>
      </c>
      <c r="F3">
        <v>125</v>
      </c>
      <c r="G3" t="s">
        <v>67</v>
      </c>
      <c r="H3" t="s">
        <v>48</v>
      </c>
      <c r="I3" t="s">
        <v>49</v>
      </c>
      <c r="K3">
        <v>202504307940285</v>
      </c>
      <c r="L3">
        <v>1473300005289</v>
      </c>
      <c r="M3">
        <v>20250430</v>
      </c>
      <c r="N3" t="s">
        <v>392</v>
      </c>
      <c r="Q3" t="s">
        <v>58</v>
      </c>
      <c r="R3">
        <v>133800</v>
      </c>
      <c r="S3">
        <v>0</v>
      </c>
      <c r="T3">
        <v>4324455</v>
      </c>
      <c r="U3" t="s">
        <v>393</v>
      </c>
      <c r="V3" t="s">
        <v>394</v>
      </c>
      <c r="W3" t="s">
        <v>50</v>
      </c>
      <c r="Y3" t="s">
        <v>51</v>
      </c>
      <c r="Z3">
        <v>1428</v>
      </c>
      <c r="AH3">
        <v>0</v>
      </c>
      <c r="AI3">
        <v>202504</v>
      </c>
      <c r="AJ3" t="s">
        <v>63</v>
      </c>
      <c r="AK3">
        <v>0</v>
      </c>
      <c r="AL3">
        <v>1</v>
      </c>
      <c r="AO3">
        <v>0</v>
      </c>
      <c r="AP3">
        <v>999</v>
      </c>
      <c r="AQ3">
        <v>600</v>
      </c>
      <c r="AR3">
        <v>600999</v>
      </c>
      <c r="AS3" t="s">
        <v>52</v>
      </c>
      <c r="AU3" t="s">
        <v>52</v>
      </c>
      <c r="AV3">
        <v>107500</v>
      </c>
      <c r="AW3">
        <v>109625</v>
      </c>
      <c r="AX3">
        <v>110000</v>
      </c>
      <c r="AY3">
        <v>112750</v>
      </c>
      <c r="AZ3">
        <v>120738</v>
      </c>
      <c r="BA3">
        <v>129508.75</v>
      </c>
      <c r="BB3">
        <v>130380</v>
      </c>
      <c r="BC3">
        <v>133610</v>
      </c>
      <c r="BD3">
        <v>133800</v>
      </c>
      <c r="BE3">
        <v>141080</v>
      </c>
      <c r="BF3">
        <v>147500</v>
      </c>
      <c r="BG3">
        <v>155382.03049999999</v>
      </c>
      <c r="BH3">
        <v>165585.11799999999</v>
      </c>
      <c r="BI3">
        <v>166416.67000000001</v>
      </c>
      <c r="BJ3">
        <v>166416.67000000001</v>
      </c>
      <c r="BK3">
        <v>173582.95749999999</v>
      </c>
      <c r="BL3">
        <v>190388.68799999999</v>
      </c>
      <c r="BM3">
        <v>212150</v>
      </c>
      <c r="BN3">
        <v>283513.16900000011</v>
      </c>
      <c r="BO3">
        <v>415377.23</v>
      </c>
      <c r="BP3">
        <v>415377.23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90" x14ac:dyDescent="0.35">
      <c r="A4">
        <v>337716</v>
      </c>
      <c r="B4" t="s">
        <v>388</v>
      </c>
      <c r="C4" t="s">
        <v>389</v>
      </c>
      <c r="D4" s="1">
        <v>45778</v>
      </c>
      <c r="E4">
        <v>53850</v>
      </c>
      <c r="F4">
        <v>170</v>
      </c>
      <c r="G4" t="s">
        <v>82</v>
      </c>
      <c r="H4" t="s">
        <v>48</v>
      </c>
      <c r="I4" t="s">
        <v>49</v>
      </c>
      <c r="K4" t="s">
        <v>256</v>
      </c>
      <c r="L4">
        <v>1703306288421</v>
      </c>
      <c r="M4">
        <v>20250430</v>
      </c>
      <c r="N4" t="s">
        <v>262</v>
      </c>
      <c r="Q4" t="s">
        <v>58</v>
      </c>
      <c r="R4">
        <v>172095.9</v>
      </c>
      <c r="S4">
        <v>0</v>
      </c>
      <c r="T4">
        <v>4803929</v>
      </c>
      <c r="U4">
        <v>4829870726</v>
      </c>
      <c r="V4" t="s">
        <v>395</v>
      </c>
      <c r="W4" t="s">
        <v>56</v>
      </c>
      <c r="X4" t="s">
        <v>396</v>
      </c>
      <c r="Y4" t="s">
        <v>51</v>
      </c>
      <c r="Z4">
        <v>1696</v>
      </c>
      <c r="AH4">
        <v>0</v>
      </c>
      <c r="AI4">
        <v>202504</v>
      </c>
      <c r="AJ4" t="s">
        <v>168</v>
      </c>
      <c r="AK4">
        <v>1</v>
      </c>
      <c r="AL4">
        <v>1</v>
      </c>
      <c r="AO4">
        <v>1</v>
      </c>
      <c r="AP4">
        <v>999</v>
      </c>
      <c r="AQ4">
        <v>430</v>
      </c>
      <c r="AR4">
        <v>430999</v>
      </c>
      <c r="AT4">
        <v>1</v>
      </c>
      <c r="AU4" t="s">
        <v>57</v>
      </c>
      <c r="AV4">
        <v>101552.46</v>
      </c>
      <c r="AW4">
        <v>114647.6485</v>
      </c>
      <c r="AX4">
        <v>118167.008</v>
      </c>
      <c r="AY4">
        <v>123559.05899999999</v>
      </c>
      <c r="AZ4">
        <v>128796.368</v>
      </c>
      <c r="BA4">
        <v>130000</v>
      </c>
      <c r="BB4">
        <v>135819.11300000001</v>
      </c>
      <c r="BC4">
        <v>145008.255</v>
      </c>
      <c r="BD4">
        <v>146226.546</v>
      </c>
      <c r="BE4">
        <v>148171.67300000001</v>
      </c>
      <c r="BF4">
        <v>156533.16500000001</v>
      </c>
      <c r="BG4">
        <v>167340.8915</v>
      </c>
      <c r="BH4">
        <v>179808.78</v>
      </c>
      <c r="BI4">
        <v>187222.14799999999</v>
      </c>
      <c r="BJ4">
        <v>206328.26500000001</v>
      </c>
      <c r="BK4">
        <v>220390.6225</v>
      </c>
      <c r="BL4">
        <v>239280.00000000009</v>
      </c>
      <c r="BM4">
        <v>298738.61</v>
      </c>
      <c r="BN4">
        <v>365407.64500000002</v>
      </c>
      <c r="BO4">
        <v>399465.49400000001</v>
      </c>
      <c r="BP4">
        <v>515709.15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90" x14ac:dyDescent="0.35">
      <c r="A5">
        <v>337713</v>
      </c>
      <c r="B5" t="s">
        <v>388</v>
      </c>
      <c r="C5" t="s">
        <v>389</v>
      </c>
      <c r="D5" s="1">
        <v>45778</v>
      </c>
      <c r="E5">
        <v>53850</v>
      </c>
      <c r="F5">
        <v>104</v>
      </c>
      <c r="G5" t="s">
        <v>53</v>
      </c>
      <c r="H5" t="s">
        <v>48</v>
      </c>
      <c r="I5" t="s">
        <v>49</v>
      </c>
      <c r="K5" t="s">
        <v>256</v>
      </c>
      <c r="L5">
        <v>1043304173550</v>
      </c>
      <c r="M5">
        <v>20250430</v>
      </c>
      <c r="N5" t="s">
        <v>262</v>
      </c>
      <c r="Q5" t="s">
        <v>58</v>
      </c>
      <c r="R5">
        <v>222704.65</v>
      </c>
      <c r="S5">
        <v>0</v>
      </c>
      <c r="T5">
        <v>417355</v>
      </c>
      <c r="U5">
        <v>374690725</v>
      </c>
      <c r="V5" t="s">
        <v>397</v>
      </c>
      <c r="W5" t="s">
        <v>56</v>
      </c>
      <c r="X5" t="s">
        <v>78</v>
      </c>
      <c r="Y5" t="s">
        <v>51</v>
      </c>
      <c r="Z5">
        <v>1919</v>
      </c>
      <c r="AH5">
        <v>0</v>
      </c>
      <c r="AI5">
        <v>202504</v>
      </c>
      <c r="AJ5" t="s">
        <v>54</v>
      </c>
      <c r="AK5">
        <v>0</v>
      </c>
      <c r="AL5">
        <v>1</v>
      </c>
      <c r="AM5">
        <v>417355</v>
      </c>
      <c r="AN5">
        <v>1</v>
      </c>
      <c r="AO5">
        <v>1</v>
      </c>
      <c r="AP5">
        <v>464</v>
      </c>
      <c r="AQ5">
        <v>430</v>
      </c>
      <c r="AR5">
        <v>430464</v>
      </c>
      <c r="AS5" t="s">
        <v>79</v>
      </c>
      <c r="AU5" t="s">
        <v>79</v>
      </c>
      <c r="AV5">
        <v>76382.789999999994</v>
      </c>
      <c r="AW5">
        <v>79891.56</v>
      </c>
      <c r="AX5">
        <v>79937.08</v>
      </c>
      <c r="AY5">
        <v>88865.89</v>
      </c>
      <c r="AZ5">
        <v>94634.78</v>
      </c>
      <c r="BA5">
        <v>97229.53</v>
      </c>
      <c r="BB5">
        <v>98360.01</v>
      </c>
      <c r="BC5">
        <v>100000</v>
      </c>
      <c r="BD5">
        <v>104738.68</v>
      </c>
      <c r="BE5">
        <v>108176.82</v>
      </c>
      <c r="BF5">
        <v>110891.36</v>
      </c>
      <c r="BG5">
        <v>115427.47</v>
      </c>
      <c r="BH5">
        <v>118009.65</v>
      </c>
      <c r="BI5">
        <v>136718.03</v>
      </c>
      <c r="BJ5">
        <v>148758.49</v>
      </c>
      <c r="BK5">
        <v>182944.14</v>
      </c>
      <c r="BL5">
        <v>217448.27</v>
      </c>
      <c r="BM5">
        <v>222704.65</v>
      </c>
      <c r="BN5">
        <v>225130.1</v>
      </c>
      <c r="BO5">
        <v>259946.2</v>
      </c>
      <c r="BP5">
        <v>270019.89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0</v>
      </c>
      <c r="CJ5">
        <v>0</v>
      </c>
      <c r="CK5">
        <v>0</v>
      </c>
    </row>
    <row r="6" spans="1:90" x14ac:dyDescent="0.35">
      <c r="A6">
        <v>337710</v>
      </c>
      <c r="B6" t="s">
        <v>388</v>
      </c>
      <c r="C6" t="s">
        <v>389</v>
      </c>
      <c r="D6" s="1">
        <v>45778</v>
      </c>
      <c r="E6">
        <v>53850</v>
      </c>
      <c r="F6">
        <v>171</v>
      </c>
      <c r="G6" t="s">
        <v>70</v>
      </c>
      <c r="H6" t="s">
        <v>48</v>
      </c>
      <c r="I6" t="s">
        <v>49</v>
      </c>
      <c r="K6" t="s">
        <v>256</v>
      </c>
      <c r="L6">
        <v>1713305728950</v>
      </c>
      <c r="M6">
        <v>20250430</v>
      </c>
      <c r="N6" t="s">
        <v>253</v>
      </c>
      <c r="Q6" t="s">
        <v>58</v>
      </c>
      <c r="R6">
        <v>389092.8</v>
      </c>
      <c r="S6">
        <v>389092.8</v>
      </c>
      <c r="T6">
        <v>572895</v>
      </c>
      <c r="U6">
        <v>4161600723</v>
      </c>
      <c r="V6" t="s">
        <v>257</v>
      </c>
      <c r="W6" t="s">
        <v>56</v>
      </c>
      <c r="X6" t="s">
        <v>258</v>
      </c>
      <c r="Y6" t="s">
        <v>51</v>
      </c>
      <c r="Z6">
        <v>1903</v>
      </c>
      <c r="AH6">
        <v>0</v>
      </c>
      <c r="AI6">
        <v>202504</v>
      </c>
      <c r="AJ6" t="s">
        <v>63</v>
      </c>
      <c r="AK6">
        <v>0</v>
      </c>
      <c r="AL6">
        <v>1</v>
      </c>
      <c r="AM6">
        <v>572895</v>
      </c>
      <c r="AN6">
        <v>1</v>
      </c>
      <c r="AO6">
        <v>0</v>
      </c>
      <c r="AP6">
        <v>999</v>
      </c>
      <c r="AQ6">
        <v>430</v>
      </c>
      <c r="AR6">
        <v>430999</v>
      </c>
      <c r="AT6">
        <v>1</v>
      </c>
      <c r="AU6" t="s">
        <v>57</v>
      </c>
      <c r="AV6">
        <v>101552.46</v>
      </c>
      <c r="AW6">
        <v>114647.6485</v>
      </c>
      <c r="AX6">
        <v>118167.008</v>
      </c>
      <c r="AY6">
        <v>123559.05899999999</v>
      </c>
      <c r="AZ6">
        <v>128796.368</v>
      </c>
      <c r="BA6">
        <v>130000</v>
      </c>
      <c r="BB6">
        <v>135819.11300000001</v>
      </c>
      <c r="BC6">
        <v>145008.255</v>
      </c>
      <c r="BD6">
        <v>146226.546</v>
      </c>
      <c r="BE6">
        <v>148171.67300000001</v>
      </c>
      <c r="BF6">
        <v>156533.16500000001</v>
      </c>
      <c r="BG6">
        <v>167340.8915</v>
      </c>
      <c r="BH6">
        <v>179808.78</v>
      </c>
      <c r="BI6">
        <v>187222.14799999999</v>
      </c>
      <c r="BJ6">
        <v>206328.26500000001</v>
      </c>
      <c r="BK6">
        <v>220390.6225</v>
      </c>
      <c r="BL6">
        <v>239280.00000000009</v>
      </c>
      <c r="BM6">
        <v>298738.61</v>
      </c>
      <c r="BN6">
        <v>365407.64500000002</v>
      </c>
      <c r="BO6">
        <v>399465.49400000001</v>
      </c>
      <c r="BP6">
        <v>515709.15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0</v>
      </c>
      <c r="CK6">
        <v>0</v>
      </c>
    </row>
    <row r="7" spans="1:90" x14ac:dyDescent="0.35">
      <c r="A7">
        <v>337709</v>
      </c>
      <c r="B7" t="s">
        <v>388</v>
      </c>
      <c r="C7" t="s">
        <v>389</v>
      </c>
      <c r="D7" s="1">
        <v>45778</v>
      </c>
      <c r="E7">
        <v>53850</v>
      </c>
      <c r="F7">
        <v>174</v>
      </c>
      <c r="G7" t="s">
        <v>88</v>
      </c>
      <c r="H7" t="s">
        <v>48</v>
      </c>
      <c r="I7" t="s">
        <v>49</v>
      </c>
      <c r="K7" t="s">
        <v>256</v>
      </c>
      <c r="L7">
        <v>1743302879671</v>
      </c>
      <c r="M7">
        <v>20250430</v>
      </c>
      <c r="N7" t="s">
        <v>262</v>
      </c>
      <c r="Q7" t="s">
        <v>58</v>
      </c>
      <c r="R7">
        <v>146840.25</v>
      </c>
      <c r="S7">
        <v>2500</v>
      </c>
      <c r="T7">
        <v>4866710</v>
      </c>
      <c r="U7">
        <v>265680728</v>
      </c>
      <c r="V7" t="s">
        <v>398</v>
      </c>
      <c r="W7" t="s">
        <v>56</v>
      </c>
      <c r="X7" t="s">
        <v>399</v>
      </c>
      <c r="Y7" t="s">
        <v>51</v>
      </c>
      <c r="Z7">
        <v>1058</v>
      </c>
      <c r="AH7">
        <v>0</v>
      </c>
      <c r="AI7">
        <v>202504</v>
      </c>
      <c r="AJ7" t="s">
        <v>54</v>
      </c>
      <c r="AK7">
        <v>0</v>
      </c>
      <c r="AL7">
        <v>1</v>
      </c>
      <c r="AO7">
        <v>1</v>
      </c>
      <c r="AP7">
        <v>999</v>
      </c>
      <c r="AQ7">
        <v>430</v>
      </c>
      <c r="AR7">
        <v>430999</v>
      </c>
      <c r="AT7">
        <v>1</v>
      </c>
      <c r="AU7" t="s">
        <v>57</v>
      </c>
      <c r="AV7">
        <v>101552.46</v>
      </c>
      <c r="AW7">
        <v>114647.6485</v>
      </c>
      <c r="AX7">
        <v>118167.008</v>
      </c>
      <c r="AY7">
        <v>123559.05899999999</v>
      </c>
      <c r="AZ7">
        <v>128796.368</v>
      </c>
      <c r="BA7">
        <v>130000</v>
      </c>
      <c r="BB7">
        <v>135819.11300000001</v>
      </c>
      <c r="BC7">
        <v>145008.255</v>
      </c>
      <c r="BD7">
        <v>146226.546</v>
      </c>
      <c r="BE7">
        <v>148171.67300000001</v>
      </c>
      <c r="BF7">
        <v>156533.16500000001</v>
      </c>
      <c r="BG7">
        <v>167340.8915</v>
      </c>
      <c r="BH7">
        <v>179808.78</v>
      </c>
      <c r="BI7">
        <v>187222.14799999999</v>
      </c>
      <c r="BJ7">
        <v>206328.26500000001</v>
      </c>
      <c r="BK7">
        <v>220390.6225</v>
      </c>
      <c r="BL7">
        <v>239280.00000000009</v>
      </c>
      <c r="BM7">
        <v>298738.61</v>
      </c>
      <c r="BN7">
        <v>365407.64500000002</v>
      </c>
      <c r="BO7">
        <v>399465.49400000001</v>
      </c>
      <c r="BP7">
        <v>515709.15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90" x14ac:dyDescent="0.35">
      <c r="A8">
        <v>337708</v>
      </c>
      <c r="B8" t="s">
        <v>388</v>
      </c>
      <c r="C8" t="s">
        <v>389</v>
      </c>
      <c r="D8" s="1">
        <v>45778</v>
      </c>
      <c r="E8">
        <v>53850</v>
      </c>
      <c r="F8">
        <v>129</v>
      </c>
      <c r="G8" t="s">
        <v>283</v>
      </c>
      <c r="H8" t="s">
        <v>48</v>
      </c>
      <c r="I8" t="s">
        <v>49</v>
      </c>
      <c r="K8" t="s">
        <v>256</v>
      </c>
      <c r="L8">
        <v>2343300010453</v>
      </c>
      <c r="M8">
        <v>20250430</v>
      </c>
      <c r="N8" t="s">
        <v>262</v>
      </c>
      <c r="Q8" t="s">
        <v>58</v>
      </c>
      <c r="R8">
        <v>121141.77</v>
      </c>
      <c r="S8">
        <v>0</v>
      </c>
      <c r="T8">
        <v>4247777</v>
      </c>
      <c r="U8">
        <v>233470236</v>
      </c>
      <c r="V8" t="s">
        <v>260</v>
      </c>
      <c r="W8" t="s">
        <v>56</v>
      </c>
      <c r="X8" t="s">
        <v>72</v>
      </c>
      <c r="Y8" t="s">
        <v>51</v>
      </c>
      <c r="Z8">
        <v>1696</v>
      </c>
      <c r="AH8">
        <v>0</v>
      </c>
      <c r="AI8">
        <v>202504</v>
      </c>
      <c r="AJ8" t="s">
        <v>177</v>
      </c>
      <c r="AK8">
        <v>1</v>
      </c>
      <c r="AL8">
        <v>1</v>
      </c>
      <c r="AM8">
        <v>4247777</v>
      </c>
      <c r="AN8">
        <v>1</v>
      </c>
      <c r="AO8">
        <v>1</v>
      </c>
      <c r="AP8">
        <v>463</v>
      </c>
      <c r="AQ8">
        <v>430</v>
      </c>
      <c r="AR8">
        <v>430463</v>
      </c>
      <c r="AS8" t="s">
        <v>61</v>
      </c>
      <c r="AU8" t="s">
        <v>61</v>
      </c>
      <c r="AV8">
        <v>85050</v>
      </c>
      <c r="AW8">
        <v>89030</v>
      </c>
      <c r="AX8">
        <v>91669.203999999998</v>
      </c>
      <c r="AY8">
        <v>93087.394</v>
      </c>
      <c r="AZ8">
        <v>94164.18</v>
      </c>
      <c r="BA8">
        <v>96798.05</v>
      </c>
      <c r="BB8">
        <v>100000</v>
      </c>
      <c r="BC8">
        <v>100000</v>
      </c>
      <c r="BD8">
        <v>101589.726</v>
      </c>
      <c r="BE8">
        <v>106295.712</v>
      </c>
      <c r="BF8">
        <v>110193.28</v>
      </c>
      <c r="BG8">
        <v>119645.424</v>
      </c>
      <c r="BH8">
        <v>127698</v>
      </c>
      <c r="BI8">
        <v>137713.79399999999</v>
      </c>
      <c r="BJ8">
        <v>139806</v>
      </c>
      <c r="BK8">
        <v>150000</v>
      </c>
      <c r="BL8">
        <v>161820.22</v>
      </c>
      <c r="BM8">
        <v>190199.99999999991</v>
      </c>
      <c r="BN8">
        <v>213800</v>
      </c>
      <c r="BO8">
        <v>259913.9999999998</v>
      </c>
      <c r="BP8">
        <v>440000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90" x14ac:dyDescent="0.35">
      <c r="A9">
        <v>337706</v>
      </c>
      <c r="B9" t="s">
        <v>388</v>
      </c>
      <c r="C9" t="s">
        <v>389</v>
      </c>
      <c r="D9" s="1">
        <v>45778</v>
      </c>
      <c r="E9">
        <v>53850</v>
      </c>
      <c r="F9">
        <v>110</v>
      </c>
      <c r="G9" t="s">
        <v>81</v>
      </c>
      <c r="H9" t="s">
        <v>48</v>
      </c>
      <c r="I9" t="s">
        <v>49</v>
      </c>
      <c r="K9">
        <v>202504307940222</v>
      </c>
      <c r="L9">
        <v>1103306285126</v>
      </c>
      <c r="M9">
        <v>20250430</v>
      </c>
      <c r="N9" t="s">
        <v>400</v>
      </c>
      <c r="Q9" t="s">
        <v>58</v>
      </c>
      <c r="R9">
        <v>100000</v>
      </c>
      <c r="S9">
        <v>0</v>
      </c>
      <c r="T9">
        <v>483543</v>
      </c>
      <c r="U9" t="s">
        <v>401</v>
      </c>
      <c r="V9" t="s">
        <v>402</v>
      </c>
      <c r="W9" t="s">
        <v>66</v>
      </c>
      <c r="X9" t="s">
        <v>175</v>
      </c>
      <c r="Y9" t="s">
        <v>51</v>
      </c>
      <c r="Z9">
        <v>1072</v>
      </c>
      <c r="AH9">
        <v>0</v>
      </c>
      <c r="AI9">
        <v>202504</v>
      </c>
      <c r="AJ9" t="s">
        <v>63</v>
      </c>
      <c r="AK9">
        <v>0</v>
      </c>
      <c r="AL9">
        <v>1</v>
      </c>
      <c r="AO9">
        <v>0</v>
      </c>
      <c r="AP9">
        <v>999</v>
      </c>
      <c r="AQ9">
        <v>615</v>
      </c>
      <c r="AR9">
        <v>615999</v>
      </c>
      <c r="AT9">
        <v>1</v>
      </c>
      <c r="AU9" t="s">
        <v>61</v>
      </c>
      <c r="AV9">
        <v>85050</v>
      </c>
      <c r="AW9">
        <v>89030</v>
      </c>
      <c r="AX9">
        <v>91669.203999999998</v>
      </c>
      <c r="AY9">
        <v>93087.394</v>
      </c>
      <c r="AZ9">
        <v>94164.18</v>
      </c>
      <c r="BA9">
        <v>96798.05</v>
      </c>
      <c r="BB9">
        <v>100000</v>
      </c>
      <c r="BC9">
        <v>100000</v>
      </c>
      <c r="BD9">
        <v>101589.726</v>
      </c>
      <c r="BE9">
        <v>106295.712</v>
      </c>
      <c r="BF9">
        <v>110193.28</v>
      </c>
      <c r="BG9">
        <v>119645.424</v>
      </c>
      <c r="BH9">
        <v>127698</v>
      </c>
      <c r="BI9">
        <v>137713.79399999999</v>
      </c>
      <c r="BJ9">
        <v>139806</v>
      </c>
      <c r="BK9">
        <v>150000</v>
      </c>
      <c r="BL9">
        <v>161820.22</v>
      </c>
      <c r="BM9">
        <v>190199.99999999991</v>
      </c>
      <c r="BN9">
        <v>213800</v>
      </c>
      <c r="BO9">
        <v>259913.9999999998</v>
      </c>
      <c r="BP9">
        <v>440000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90" x14ac:dyDescent="0.35">
      <c r="A10">
        <v>337703</v>
      </c>
      <c r="B10" t="s">
        <v>388</v>
      </c>
      <c r="C10" t="s">
        <v>389</v>
      </c>
      <c r="D10" s="1">
        <v>45778</v>
      </c>
      <c r="E10">
        <v>53850</v>
      </c>
      <c r="F10">
        <v>192</v>
      </c>
      <c r="G10" t="s">
        <v>73</v>
      </c>
      <c r="H10" t="s">
        <v>48</v>
      </c>
      <c r="I10" t="s">
        <v>49</v>
      </c>
      <c r="K10" t="s">
        <v>256</v>
      </c>
      <c r="L10">
        <v>1923300180351</v>
      </c>
      <c r="M10">
        <v>20250430</v>
      </c>
      <c r="N10" t="s">
        <v>392</v>
      </c>
      <c r="Q10" t="s">
        <v>58</v>
      </c>
      <c r="R10">
        <v>177163.9</v>
      </c>
      <c r="S10">
        <v>0</v>
      </c>
      <c r="T10">
        <v>4365602</v>
      </c>
      <c r="U10">
        <v>2514190731</v>
      </c>
      <c r="V10" t="s">
        <v>403</v>
      </c>
      <c r="W10" t="s">
        <v>56</v>
      </c>
      <c r="X10" t="s">
        <v>87</v>
      </c>
      <c r="Y10" t="s">
        <v>51</v>
      </c>
      <c r="Z10">
        <v>1066</v>
      </c>
      <c r="AH10">
        <v>0</v>
      </c>
      <c r="AI10">
        <v>202504</v>
      </c>
      <c r="AJ10" t="s">
        <v>54</v>
      </c>
      <c r="AK10">
        <v>0</v>
      </c>
      <c r="AL10">
        <v>1</v>
      </c>
      <c r="AO10">
        <v>0</v>
      </c>
      <c r="AP10">
        <v>999</v>
      </c>
      <c r="AQ10">
        <v>430</v>
      </c>
      <c r="AR10">
        <v>430999</v>
      </c>
      <c r="AT10">
        <v>1</v>
      </c>
      <c r="AU10" t="s">
        <v>57</v>
      </c>
      <c r="AV10">
        <v>101552.46</v>
      </c>
      <c r="AW10">
        <v>114647.6485</v>
      </c>
      <c r="AX10">
        <v>118167.008</v>
      </c>
      <c r="AY10">
        <v>123559.05899999999</v>
      </c>
      <c r="AZ10">
        <v>128796.368</v>
      </c>
      <c r="BA10">
        <v>130000</v>
      </c>
      <c r="BB10">
        <v>135819.11300000001</v>
      </c>
      <c r="BC10">
        <v>145008.255</v>
      </c>
      <c r="BD10">
        <v>146226.546</v>
      </c>
      <c r="BE10">
        <v>148171.67300000001</v>
      </c>
      <c r="BF10">
        <v>156533.16500000001</v>
      </c>
      <c r="BG10">
        <v>167340.8915</v>
      </c>
      <c r="BH10">
        <v>179808.78</v>
      </c>
      <c r="BI10">
        <v>187222.14799999999</v>
      </c>
      <c r="BJ10">
        <v>206328.26500000001</v>
      </c>
      <c r="BK10">
        <v>220390.6225</v>
      </c>
      <c r="BL10">
        <v>239280.00000000009</v>
      </c>
      <c r="BM10">
        <v>298738.61</v>
      </c>
      <c r="BN10">
        <v>365407.64500000002</v>
      </c>
      <c r="BO10">
        <v>399465.49400000001</v>
      </c>
      <c r="BP10">
        <v>515709.15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90" x14ac:dyDescent="0.35">
      <c r="A11">
        <v>337700</v>
      </c>
      <c r="B11" t="s">
        <v>388</v>
      </c>
      <c r="C11" t="s">
        <v>389</v>
      </c>
      <c r="D11" s="1">
        <v>45778</v>
      </c>
      <c r="E11">
        <v>53850</v>
      </c>
      <c r="F11">
        <v>116</v>
      </c>
      <c r="G11" t="s">
        <v>259</v>
      </c>
      <c r="H11" t="s">
        <v>48</v>
      </c>
      <c r="I11" t="s">
        <v>49</v>
      </c>
      <c r="K11">
        <v>202504307939491</v>
      </c>
      <c r="L11">
        <v>2343300010453</v>
      </c>
      <c r="M11">
        <v>20250430</v>
      </c>
      <c r="N11" t="s">
        <v>253</v>
      </c>
      <c r="Q11" t="s">
        <v>58</v>
      </c>
      <c r="R11">
        <v>88848.8</v>
      </c>
      <c r="S11">
        <v>88848.8</v>
      </c>
      <c r="T11">
        <v>4247777</v>
      </c>
      <c r="U11">
        <v>233470236</v>
      </c>
      <c r="V11" t="s">
        <v>260</v>
      </c>
      <c r="W11" t="s">
        <v>56</v>
      </c>
      <c r="X11" t="s">
        <v>72</v>
      </c>
      <c r="Y11" t="s">
        <v>51</v>
      </c>
      <c r="Z11">
        <v>1696</v>
      </c>
      <c r="AH11">
        <v>0</v>
      </c>
      <c r="AI11">
        <v>202504</v>
      </c>
      <c r="AJ11" t="s">
        <v>177</v>
      </c>
      <c r="AK11">
        <v>1</v>
      </c>
      <c r="AL11">
        <v>1</v>
      </c>
      <c r="AM11">
        <v>4247777</v>
      </c>
      <c r="AN11">
        <v>1</v>
      </c>
      <c r="AO11">
        <v>0</v>
      </c>
      <c r="AP11">
        <v>463</v>
      </c>
      <c r="AQ11">
        <v>430</v>
      </c>
      <c r="AR11">
        <v>430463</v>
      </c>
      <c r="AS11" t="s">
        <v>61</v>
      </c>
      <c r="AU11" t="s">
        <v>61</v>
      </c>
      <c r="AV11">
        <v>85050</v>
      </c>
      <c r="AW11">
        <v>89030</v>
      </c>
      <c r="AX11">
        <v>91669.203999999998</v>
      </c>
      <c r="AY11">
        <v>93087.394</v>
      </c>
      <c r="AZ11">
        <v>94164.18</v>
      </c>
      <c r="BA11">
        <v>96798.05</v>
      </c>
      <c r="BB11">
        <v>100000</v>
      </c>
      <c r="BC11">
        <v>100000</v>
      </c>
      <c r="BD11">
        <v>101589.726</v>
      </c>
      <c r="BE11">
        <v>106295.712</v>
      </c>
      <c r="BF11">
        <v>110193.28</v>
      </c>
      <c r="BG11">
        <v>119645.424</v>
      </c>
      <c r="BH11">
        <v>127698</v>
      </c>
      <c r="BI11">
        <v>137713.79399999999</v>
      </c>
      <c r="BJ11">
        <v>139806</v>
      </c>
      <c r="BK11">
        <v>150000</v>
      </c>
      <c r="BL11">
        <v>161820.22</v>
      </c>
      <c r="BM11">
        <v>190199.99999999991</v>
      </c>
      <c r="BN11">
        <v>213800</v>
      </c>
      <c r="BO11">
        <v>259913.9999999998</v>
      </c>
      <c r="BP11">
        <v>440000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90" x14ac:dyDescent="0.35">
      <c r="A12">
        <v>337693</v>
      </c>
      <c r="B12" t="s">
        <v>388</v>
      </c>
      <c r="C12" t="s">
        <v>389</v>
      </c>
      <c r="D12" s="1">
        <v>45778</v>
      </c>
      <c r="E12">
        <v>53850</v>
      </c>
      <c r="F12">
        <v>110</v>
      </c>
      <c r="G12" t="s">
        <v>81</v>
      </c>
      <c r="H12" t="s">
        <v>48</v>
      </c>
      <c r="I12" t="s">
        <v>49</v>
      </c>
      <c r="K12">
        <v>202504307940222</v>
      </c>
      <c r="L12">
        <v>1103306285126</v>
      </c>
      <c r="M12">
        <v>20250430</v>
      </c>
      <c r="N12" t="s">
        <v>400</v>
      </c>
      <c r="Q12" t="s">
        <v>58</v>
      </c>
      <c r="R12">
        <v>100000</v>
      </c>
      <c r="S12">
        <v>0</v>
      </c>
      <c r="T12">
        <v>522021</v>
      </c>
      <c r="U12" t="s">
        <v>404</v>
      </c>
      <c r="V12" t="s">
        <v>405</v>
      </c>
      <c r="W12" t="s">
        <v>66</v>
      </c>
      <c r="X12" t="s">
        <v>175</v>
      </c>
      <c r="Y12" t="s">
        <v>51</v>
      </c>
      <c r="Z12">
        <v>1928</v>
      </c>
      <c r="AH12">
        <v>0</v>
      </c>
      <c r="AI12">
        <v>202504</v>
      </c>
      <c r="AJ12" t="s">
        <v>168</v>
      </c>
      <c r="AK12">
        <v>1</v>
      </c>
      <c r="AL12">
        <v>1</v>
      </c>
      <c r="AO12">
        <v>0</v>
      </c>
      <c r="AP12">
        <v>999</v>
      </c>
      <c r="AQ12">
        <v>615</v>
      </c>
      <c r="AR12">
        <v>615999</v>
      </c>
      <c r="AT12">
        <v>1</v>
      </c>
      <c r="AU12" t="s">
        <v>61</v>
      </c>
      <c r="AV12">
        <v>85050</v>
      </c>
      <c r="AW12">
        <v>89030</v>
      </c>
      <c r="AX12">
        <v>91669.203999999998</v>
      </c>
      <c r="AY12">
        <v>93087.394</v>
      </c>
      <c r="AZ12">
        <v>94164.18</v>
      </c>
      <c r="BA12">
        <v>96798.05</v>
      </c>
      <c r="BB12">
        <v>100000</v>
      </c>
      <c r="BC12">
        <v>100000</v>
      </c>
      <c r="BD12">
        <v>101589.726</v>
      </c>
      <c r="BE12">
        <v>106295.712</v>
      </c>
      <c r="BF12">
        <v>110193.28</v>
      </c>
      <c r="BG12">
        <v>119645.424</v>
      </c>
      <c r="BH12">
        <v>127698</v>
      </c>
      <c r="BI12">
        <v>137713.79399999999</v>
      </c>
      <c r="BJ12">
        <v>139806</v>
      </c>
      <c r="BK12">
        <v>150000</v>
      </c>
      <c r="BL12">
        <v>161820.22</v>
      </c>
      <c r="BM12">
        <v>190199.99999999991</v>
      </c>
      <c r="BN12">
        <v>213800</v>
      </c>
      <c r="BO12">
        <v>259913.9999999998</v>
      </c>
      <c r="BP12">
        <v>440000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90" x14ac:dyDescent="0.35">
      <c r="A13">
        <v>337689</v>
      </c>
      <c r="B13" t="s">
        <v>388</v>
      </c>
      <c r="C13" t="s">
        <v>389</v>
      </c>
      <c r="D13" s="1">
        <v>45778</v>
      </c>
      <c r="E13">
        <v>53850</v>
      </c>
      <c r="F13">
        <v>104</v>
      </c>
      <c r="G13" t="s">
        <v>53</v>
      </c>
      <c r="H13" t="s">
        <v>48</v>
      </c>
      <c r="I13" t="s">
        <v>49</v>
      </c>
      <c r="K13">
        <v>202504307940137</v>
      </c>
      <c r="L13">
        <v>1043301449156</v>
      </c>
      <c r="M13">
        <v>20250430</v>
      </c>
      <c r="N13" t="s">
        <v>392</v>
      </c>
      <c r="Q13" t="s">
        <v>58</v>
      </c>
      <c r="R13">
        <v>145165.1</v>
      </c>
      <c r="S13">
        <v>0</v>
      </c>
      <c r="T13">
        <v>15014</v>
      </c>
      <c r="U13">
        <v>252860721</v>
      </c>
      <c r="V13" t="s">
        <v>406</v>
      </c>
      <c r="W13" t="s">
        <v>56</v>
      </c>
      <c r="X13" t="s">
        <v>391</v>
      </c>
      <c r="Y13" t="s">
        <v>51</v>
      </c>
      <c r="Z13">
        <v>1696</v>
      </c>
      <c r="AH13">
        <v>0</v>
      </c>
      <c r="AI13">
        <v>202504</v>
      </c>
      <c r="AJ13" t="s">
        <v>63</v>
      </c>
      <c r="AK13">
        <v>0</v>
      </c>
      <c r="AL13">
        <v>1</v>
      </c>
      <c r="AO13">
        <v>0</v>
      </c>
      <c r="AP13">
        <v>999</v>
      </c>
      <c r="AQ13">
        <v>430</v>
      </c>
      <c r="AR13">
        <v>430999</v>
      </c>
      <c r="AT13">
        <v>1</v>
      </c>
      <c r="AU13" t="s">
        <v>57</v>
      </c>
      <c r="AV13">
        <v>101552.46</v>
      </c>
      <c r="AW13">
        <v>114647.6485</v>
      </c>
      <c r="AX13">
        <v>118167.008</v>
      </c>
      <c r="AY13">
        <v>123559.05899999999</v>
      </c>
      <c r="AZ13">
        <v>128796.368</v>
      </c>
      <c r="BA13">
        <v>130000</v>
      </c>
      <c r="BB13">
        <v>135819.11300000001</v>
      </c>
      <c r="BC13">
        <v>145008.255</v>
      </c>
      <c r="BD13">
        <v>146226.546</v>
      </c>
      <c r="BE13">
        <v>148171.67300000001</v>
      </c>
      <c r="BF13">
        <v>156533.16500000001</v>
      </c>
      <c r="BG13">
        <v>167340.8915</v>
      </c>
      <c r="BH13">
        <v>179808.78</v>
      </c>
      <c r="BI13">
        <v>187222.14799999999</v>
      </c>
      <c r="BJ13">
        <v>206328.26500000001</v>
      </c>
      <c r="BK13">
        <v>220390.6225</v>
      </c>
      <c r="BL13">
        <v>239280.00000000009</v>
      </c>
      <c r="BM13">
        <v>298738.61</v>
      </c>
      <c r="BN13">
        <v>365407.64500000002</v>
      </c>
      <c r="BO13">
        <v>399465.49400000001</v>
      </c>
      <c r="BP13">
        <v>515709.15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90" x14ac:dyDescent="0.35">
      <c r="A14">
        <v>337687</v>
      </c>
      <c r="B14" t="s">
        <v>388</v>
      </c>
      <c r="C14" t="s">
        <v>389</v>
      </c>
      <c r="D14" s="1">
        <v>45778</v>
      </c>
      <c r="E14">
        <v>53850</v>
      </c>
      <c r="F14">
        <v>161</v>
      </c>
      <c r="G14" t="s">
        <v>95</v>
      </c>
      <c r="H14" t="s">
        <v>48</v>
      </c>
      <c r="I14" t="s">
        <v>49</v>
      </c>
      <c r="K14" t="s">
        <v>256</v>
      </c>
      <c r="L14">
        <v>1613300029653</v>
      </c>
      <c r="M14">
        <v>20250430</v>
      </c>
      <c r="N14" t="s">
        <v>262</v>
      </c>
      <c r="Q14" t="s">
        <v>58</v>
      </c>
      <c r="R14">
        <v>270019.89</v>
      </c>
      <c r="S14">
        <v>0</v>
      </c>
      <c r="T14">
        <v>4088769</v>
      </c>
      <c r="U14">
        <v>5150120722</v>
      </c>
      <c r="V14" t="s">
        <v>407</v>
      </c>
      <c r="W14" t="s">
        <v>56</v>
      </c>
      <c r="X14" t="s">
        <v>78</v>
      </c>
      <c r="Y14" t="s">
        <v>51</v>
      </c>
      <c r="Z14">
        <v>1903</v>
      </c>
      <c r="AH14">
        <v>0</v>
      </c>
      <c r="AI14">
        <v>202504</v>
      </c>
      <c r="AJ14" t="s">
        <v>63</v>
      </c>
      <c r="AK14">
        <v>0</v>
      </c>
      <c r="AL14">
        <v>1</v>
      </c>
      <c r="AM14">
        <v>4088769</v>
      </c>
      <c r="AN14">
        <v>1</v>
      </c>
      <c r="AO14">
        <v>1</v>
      </c>
      <c r="AP14">
        <v>464</v>
      </c>
      <c r="AQ14">
        <v>430</v>
      </c>
      <c r="AR14">
        <v>430464</v>
      </c>
      <c r="AS14" t="s">
        <v>79</v>
      </c>
      <c r="AU14" t="s">
        <v>79</v>
      </c>
      <c r="AV14">
        <v>76382.789999999994</v>
      </c>
      <c r="AW14">
        <v>79891.56</v>
      </c>
      <c r="AX14">
        <v>79937.08</v>
      </c>
      <c r="AY14">
        <v>88865.89</v>
      </c>
      <c r="AZ14">
        <v>94634.78</v>
      </c>
      <c r="BA14">
        <v>97229.53</v>
      </c>
      <c r="BB14">
        <v>98360.01</v>
      </c>
      <c r="BC14">
        <v>100000</v>
      </c>
      <c r="BD14">
        <v>104738.68</v>
      </c>
      <c r="BE14">
        <v>108176.82</v>
      </c>
      <c r="BF14">
        <v>110891.36</v>
      </c>
      <c r="BG14">
        <v>115427.47</v>
      </c>
      <c r="BH14">
        <v>118009.65</v>
      </c>
      <c r="BI14">
        <v>136718.03</v>
      </c>
      <c r="BJ14">
        <v>148758.49</v>
      </c>
      <c r="BK14">
        <v>182944.14</v>
      </c>
      <c r="BL14">
        <v>217448.27</v>
      </c>
      <c r="BM14">
        <v>222704.65</v>
      </c>
      <c r="BN14">
        <v>225130.1</v>
      </c>
      <c r="BO14">
        <v>259946.2</v>
      </c>
      <c r="BP14">
        <v>270019.89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</row>
    <row r="15" spans="1:90" x14ac:dyDescent="0.35">
      <c r="A15">
        <v>337684</v>
      </c>
      <c r="B15" t="s">
        <v>388</v>
      </c>
      <c r="C15" t="s">
        <v>389</v>
      </c>
      <c r="D15" s="1">
        <v>45778</v>
      </c>
      <c r="E15">
        <v>53850</v>
      </c>
      <c r="F15">
        <v>125</v>
      </c>
      <c r="G15" t="s">
        <v>67</v>
      </c>
      <c r="H15" t="s">
        <v>48</v>
      </c>
      <c r="I15" t="s">
        <v>49</v>
      </c>
      <c r="K15">
        <v>202504307940285</v>
      </c>
      <c r="L15">
        <v>1473300005289</v>
      </c>
      <c r="M15">
        <v>20250430</v>
      </c>
      <c r="N15" t="s">
        <v>392</v>
      </c>
      <c r="Q15" t="s">
        <v>58</v>
      </c>
      <c r="R15">
        <v>133800</v>
      </c>
      <c r="S15">
        <v>0</v>
      </c>
      <c r="T15">
        <v>4507156</v>
      </c>
      <c r="U15" t="s">
        <v>408</v>
      </c>
      <c r="V15" t="s">
        <v>409</v>
      </c>
      <c r="W15" t="s">
        <v>50</v>
      </c>
      <c r="Y15" t="s">
        <v>51</v>
      </c>
      <c r="AH15">
        <v>0</v>
      </c>
      <c r="AI15">
        <v>202504</v>
      </c>
      <c r="AJ15" t="s">
        <v>54</v>
      </c>
      <c r="AK15">
        <v>0</v>
      </c>
      <c r="AL15">
        <v>1</v>
      </c>
      <c r="AO15">
        <v>0</v>
      </c>
      <c r="AP15">
        <v>999</v>
      </c>
      <c r="AQ15">
        <v>600</v>
      </c>
      <c r="AR15">
        <v>600999</v>
      </c>
      <c r="AS15" t="s">
        <v>52</v>
      </c>
      <c r="AU15" t="s">
        <v>52</v>
      </c>
      <c r="AV15">
        <v>107500</v>
      </c>
      <c r="AW15">
        <v>109625</v>
      </c>
      <c r="AX15">
        <v>110000</v>
      </c>
      <c r="AY15">
        <v>112750</v>
      </c>
      <c r="AZ15">
        <v>120738</v>
      </c>
      <c r="BA15">
        <v>129508.75</v>
      </c>
      <c r="BB15">
        <v>130380</v>
      </c>
      <c r="BC15">
        <v>133610</v>
      </c>
      <c r="BD15">
        <v>133800</v>
      </c>
      <c r="BE15">
        <v>141080</v>
      </c>
      <c r="BF15">
        <v>147500</v>
      </c>
      <c r="BG15">
        <v>155382.03049999999</v>
      </c>
      <c r="BH15">
        <v>165585.11799999999</v>
      </c>
      <c r="BI15">
        <v>166416.67000000001</v>
      </c>
      <c r="BJ15">
        <v>166416.67000000001</v>
      </c>
      <c r="BK15">
        <v>173582.95749999999</v>
      </c>
      <c r="BL15">
        <v>190388.68799999999</v>
      </c>
      <c r="BM15">
        <v>212150</v>
      </c>
      <c r="BN15">
        <v>283513.16900000011</v>
      </c>
      <c r="BO15">
        <v>415377.23</v>
      </c>
      <c r="BP15">
        <v>415377.23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90" x14ac:dyDescent="0.35">
      <c r="A16">
        <v>337679</v>
      </c>
      <c r="B16" t="s">
        <v>388</v>
      </c>
      <c r="C16" t="s">
        <v>389</v>
      </c>
      <c r="D16" s="1">
        <v>45778</v>
      </c>
      <c r="E16">
        <v>53850</v>
      </c>
      <c r="F16">
        <v>128</v>
      </c>
      <c r="G16" t="s">
        <v>274</v>
      </c>
      <c r="H16" t="s">
        <v>48</v>
      </c>
      <c r="I16" t="s">
        <v>49</v>
      </c>
      <c r="K16" t="s">
        <v>256</v>
      </c>
      <c r="L16">
        <v>1283300001665</v>
      </c>
      <c r="M16">
        <v>20250430</v>
      </c>
      <c r="N16" t="s">
        <v>262</v>
      </c>
      <c r="Q16" t="s">
        <v>58</v>
      </c>
      <c r="R16">
        <v>292793.88</v>
      </c>
      <c r="S16">
        <v>5980</v>
      </c>
      <c r="T16">
        <v>4254896</v>
      </c>
      <c r="U16">
        <v>6234730726</v>
      </c>
      <c r="V16" t="s">
        <v>410</v>
      </c>
      <c r="W16" t="s">
        <v>56</v>
      </c>
      <c r="X16" t="s">
        <v>411</v>
      </c>
      <c r="Y16" t="s">
        <v>51</v>
      </c>
      <c r="Z16">
        <v>1919</v>
      </c>
      <c r="AH16">
        <v>0</v>
      </c>
      <c r="AI16">
        <v>202504</v>
      </c>
      <c r="AJ16" t="s">
        <v>63</v>
      </c>
      <c r="AK16">
        <v>0</v>
      </c>
      <c r="AL16">
        <v>1</v>
      </c>
      <c r="AO16">
        <v>1</v>
      </c>
      <c r="AP16">
        <v>999</v>
      </c>
      <c r="AQ16">
        <v>430</v>
      </c>
      <c r="AR16">
        <v>430999</v>
      </c>
      <c r="AT16">
        <v>1</v>
      </c>
      <c r="AU16" t="s">
        <v>57</v>
      </c>
      <c r="AV16">
        <v>101552.46</v>
      </c>
      <c r="AW16">
        <v>114647.6485</v>
      </c>
      <c r="AX16">
        <v>118167.008</v>
      </c>
      <c r="AY16">
        <v>123559.05899999999</v>
      </c>
      <c r="AZ16">
        <v>128796.368</v>
      </c>
      <c r="BA16">
        <v>130000</v>
      </c>
      <c r="BB16">
        <v>135819.11300000001</v>
      </c>
      <c r="BC16">
        <v>145008.255</v>
      </c>
      <c r="BD16">
        <v>146226.546</v>
      </c>
      <c r="BE16">
        <v>148171.67300000001</v>
      </c>
      <c r="BF16">
        <v>156533.16500000001</v>
      </c>
      <c r="BG16">
        <v>167340.8915</v>
      </c>
      <c r="BH16">
        <v>179808.78</v>
      </c>
      <c r="BI16">
        <v>187222.14799999999</v>
      </c>
      <c r="BJ16">
        <v>206328.26500000001</v>
      </c>
      <c r="BK16">
        <v>220390.6225</v>
      </c>
      <c r="BL16">
        <v>239280.00000000009</v>
      </c>
      <c r="BM16">
        <v>298738.61</v>
      </c>
      <c r="BN16">
        <v>365407.64500000002</v>
      </c>
      <c r="BO16">
        <v>399465.49400000001</v>
      </c>
      <c r="BP16">
        <v>515709.15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0</v>
      </c>
      <c r="CI16">
        <v>0</v>
      </c>
      <c r="CJ16">
        <v>0</v>
      </c>
      <c r="CK16">
        <v>0</v>
      </c>
    </row>
    <row r="17" spans="1:89" x14ac:dyDescent="0.35">
      <c r="A17">
        <v>337677</v>
      </c>
      <c r="B17" t="s">
        <v>388</v>
      </c>
      <c r="C17" t="s">
        <v>389</v>
      </c>
      <c r="D17" s="1">
        <v>45778</v>
      </c>
      <c r="E17">
        <v>53850</v>
      </c>
      <c r="F17">
        <v>110</v>
      </c>
      <c r="G17" t="s">
        <v>81</v>
      </c>
      <c r="H17" t="s">
        <v>48</v>
      </c>
      <c r="I17" t="s">
        <v>49</v>
      </c>
      <c r="K17">
        <v>202504307940222</v>
      </c>
      <c r="L17">
        <v>1103306285126</v>
      </c>
      <c r="M17">
        <v>20250430</v>
      </c>
      <c r="N17" t="s">
        <v>400</v>
      </c>
      <c r="Q17" t="s">
        <v>58</v>
      </c>
      <c r="R17">
        <v>100000</v>
      </c>
      <c r="S17">
        <v>0</v>
      </c>
      <c r="T17">
        <v>541812</v>
      </c>
      <c r="U17" t="s">
        <v>412</v>
      </c>
      <c r="V17" t="s">
        <v>413</v>
      </c>
      <c r="W17" t="s">
        <v>66</v>
      </c>
      <c r="X17" t="s">
        <v>175</v>
      </c>
      <c r="Y17" t="s">
        <v>51</v>
      </c>
      <c r="Z17">
        <v>1928</v>
      </c>
      <c r="AH17">
        <v>0</v>
      </c>
      <c r="AI17">
        <v>202504</v>
      </c>
      <c r="AJ17" t="s">
        <v>168</v>
      </c>
      <c r="AK17">
        <v>1</v>
      </c>
      <c r="AL17">
        <v>1</v>
      </c>
      <c r="AO17">
        <v>0</v>
      </c>
      <c r="AP17">
        <v>999</v>
      </c>
      <c r="AQ17">
        <v>615</v>
      </c>
      <c r="AR17">
        <v>615999</v>
      </c>
      <c r="AT17">
        <v>1</v>
      </c>
      <c r="AU17" t="s">
        <v>61</v>
      </c>
      <c r="AV17">
        <v>85050</v>
      </c>
      <c r="AW17">
        <v>89030</v>
      </c>
      <c r="AX17">
        <v>91669.203999999998</v>
      </c>
      <c r="AY17">
        <v>93087.394</v>
      </c>
      <c r="AZ17">
        <v>94164.18</v>
      </c>
      <c r="BA17">
        <v>96798.05</v>
      </c>
      <c r="BB17">
        <v>100000</v>
      </c>
      <c r="BC17">
        <v>100000</v>
      </c>
      <c r="BD17">
        <v>101589.726</v>
      </c>
      <c r="BE17">
        <v>106295.712</v>
      </c>
      <c r="BF17">
        <v>110193.28</v>
      </c>
      <c r="BG17">
        <v>119645.424</v>
      </c>
      <c r="BH17">
        <v>127698</v>
      </c>
      <c r="BI17">
        <v>137713.79399999999</v>
      </c>
      <c r="BJ17">
        <v>139806</v>
      </c>
      <c r="BK17">
        <v>150000</v>
      </c>
      <c r="BL17">
        <v>161820.22</v>
      </c>
      <c r="BM17">
        <v>190199.99999999991</v>
      </c>
      <c r="BN17">
        <v>213800</v>
      </c>
      <c r="BO17">
        <v>259913.9999999998</v>
      </c>
      <c r="BP17">
        <v>440000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 x14ac:dyDescent="0.35">
      <c r="A18">
        <v>337671</v>
      </c>
      <c r="B18" t="s">
        <v>388</v>
      </c>
      <c r="C18" t="s">
        <v>389</v>
      </c>
      <c r="D18" s="1">
        <v>45778</v>
      </c>
      <c r="E18">
        <v>53850</v>
      </c>
      <c r="F18">
        <v>174</v>
      </c>
      <c r="G18" t="s">
        <v>88</v>
      </c>
      <c r="H18" t="s">
        <v>48</v>
      </c>
      <c r="I18" t="s">
        <v>49</v>
      </c>
      <c r="K18">
        <v>202504307940506</v>
      </c>
      <c r="L18">
        <v>1743302880504</v>
      </c>
      <c r="M18">
        <v>20250430</v>
      </c>
      <c r="N18" t="s">
        <v>400</v>
      </c>
      <c r="Q18" t="s">
        <v>58</v>
      </c>
      <c r="R18">
        <v>250000</v>
      </c>
      <c r="S18">
        <v>0</v>
      </c>
      <c r="T18">
        <v>4993511</v>
      </c>
      <c r="U18" t="s">
        <v>414</v>
      </c>
      <c r="V18" t="s">
        <v>415</v>
      </c>
      <c r="W18" t="s">
        <v>66</v>
      </c>
      <c r="X18" t="s">
        <v>60</v>
      </c>
      <c r="Y18" t="s">
        <v>51</v>
      </c>
      <c r="Z18">
        <v>720</v>
      </c>
      <c r="AH18">
        <v>0</v>
      </c>
      <c r="AI18">
        <v>202504</v>
      </c>
      <c r="AJ18" t="s">
        <v>54</v>
      </c>
      <c r="AK18">
        <v>0</v>
      </c>
      <c r="AL18">
        <v>1</v>
      </c>
      <c r="AO18">
        <v>0</v>
      </c>
      <c r="AP18">
        <v>999</v>
      </c>
      <c r="AQ18">
        <v>615</v>
      </c>
      <c r="AR18">
        <v>615999</v>
      </c>
      <c r="AT18">
        <v>1</v>
      </c>
      <c r="AU18" t="s">
        <v>61</v>
      </c>
      <c r="AV18">
        <v>85050</v>
      </c>
      <c r="AW18">
        <v>89030</v>
      </c>
      <c r="AX18">
        <v>91669.203999999998</v>
      </c>
      <c r="AY18">
        <v>93087.394</v>
      </c>
      <c r="AZ18">
        <v>94164.18</v>
      </c>
      <c r="BA18">
        <v>96798.05</v>
      </c>
      <c r="BB18">
        <v>100000</v>
      </c>
      <c r="BC18">
        <v>100000</v>
      </c>
      <c r="BD18">
        <v>101589.726</v>
      </c>
      <c r="BE18">
        <v>106295.712</v>
      </c>
      <c r="BF18">
        <v>110193.28</v>
      </c>
      <c r="BG18">
        <v>119645.424</v>
      </c>
      <c r="BH18">
        <v>127698</v>
      </c>
      <c r="BI18">
        <v>137713.79399999999</v>
      </c>
      <c r="BJ18">
        <v>139806</v>
      </c>
      <c r="BK18">
        <v>150000</v>
      </c>
      <c r="BL18">
        <v>161820.22</v>
      </c>
      <c r="BM18">
        <v>190199.99999999991</v>
      </c>
      <c r="BN18">
        <v>213800</v>
      </c>
      <c r="BO18">
        <v>259913.9999999998</v>
      </c>
      <c r="BP18">
        <v>440000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0</v>
      </c>
      <c r="CK18">
        <v>0</v>
      </c>
    </row>
    <row r="19" spans="1:89" x14ac:dyDescent="0.35">
      <c r="A19">
        <v>337670</v>
      </c>
      <c r="B19" t="s">
        <v>388</v>
      </c>
      <c r="C19" t="s">
        <v>389</v>
      </c>
      <c r="D19" s="1">
        <v>45778</v>
      </c>
      <c r="E19">
        <v>53850</v>
      </c>
      <c r="F19">
        <v>108</v>
      </c>
      <c r="G19" t="s">
        <v>89</v>
      </c>
      <c r="H19" t="s">
        <v>48</v>
      </c>
      <c r="I19" t="s">
        <v>49</v>
      </c>
      <c r="K19" t="s">
        <v>256</v>
      </c>
      <c r="L19">
        <v>1083300011180</v>
      </c>
      <c r="M19">
        <v>20250430</v>
      </c>
      <c r="N19" t="s">
        <v>392</v>
      </c>
      <c r="Q19" t="s">
        <v>58</v>
      </c>
      <c r="R19">
        <v>115206.55</v>
      </c>
      <c r="S19">
        <v>0</v>
      </c>
      <c r="T19">
        <v>1118</v>
      </c>
      <c r="U19">
        <v>3246700722</v>
      </c>
      <c r="V19" t="s">
        <v>416</v>
      </c>
      <c r="W19" t="s">
        <v>56</v>
      </c>
      <c r="X19" t="s">
        <v>411</v>
      </c>
      <c r="Y19" t="s">
        <v>51</v>
      </c>
      <c r="Z19">
        <v>1058</v>
      </c>
      <c r="AH19">
        <v>0</v>
      </c>
      <c r="AI19">
        <v>202504</v>
      </c>
      <c r="AJ19" t="s">
        <v>54</v>
      </c>
      <c r="AK19">
        <v>0</v>
      </c>
      <c r="AL19">
        <v>1</v>
      </c>
      <c r="AO19">
        <v>0</v>
      </c>
      <c r="AP19">
        <v>999</v>
      </c>
      <c r="AQ19">
        <v>430</v>
      </c>
      <c r="AR19">
        <v>430999</v>
      </c>
      <c r="AT19">
        <v>1</v>
      </c>
      <c r="AU19" t="s">
        <v>57</v>
      </c>
      <c r="AV19">
        <v>101552.46</v>
      </c>
      <c r="AW19">
        <v>114647.6485</v>
      </c>
      <c r="AX19">
        <v>118167.008</v>
      </c>
      <c r="AY19">
        <v>123559.05899999999</v>
      </c>
      <c r="AZ19">
        <v>128796.368</v>
      </c>
      <c r="BA19">
        <v>130000</v>
      </c>
      <c r="BB19">
        <v>135819.11300000001</v>
      </c>
      <c r="BC19">
        <v>145008.255</v>
      </c>
      <c r="BD19">
        <v>146226.546</v>
      </c>
      <c r="BE19">
        <v>148171.67300000001</v>
      </c>
      <c r="BF19">
        <v>156533.16500000001</v>
      </c>
      <c r="BG19">
        <v>167340.8915</v>
      </c>
      <c r="BH19">
        <v>179808.78</v>
      </c>
      <c r="BI19">
        <v>187222.14799999999</v>
      </c>
      <c r="BJ19">
        <v>206328.26500000001</v>
      </c>
      <c r="BK19">
        <v>220390.6225</v>
      </c>
      <c r="BL19">
        <v>239280.00000000009</v>
      </c>
      <c r="BM19">
        <v>298738.61</v>
      </c>
      <c r="BN19">
        <v>365407.64500000002</v>
      </c>
      <c r="BO19">
        <v>399465.49400000001</v>
      </c>
      <c r="BP19">
        <v>515709.15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 x14ac:dyDescent="0.35">
      <c r="A20">
        <v>337668</v>
      </c>
      <c r="B20" t="s">
        <v>388</v>
      </c>
      <c r="C20" t="s">
        <v>389</v>
      </c>
      <c r="D20" s="1">
        <v>45778</v>
      </c>
      <c r="E20">
        <v>53850</v>
      </c>
      <c r="F20">
        <v>171</v>
      </c>
      <c r="G20" t="s">
        <v>70</v>
      </c>
      <c r="H20" t="s">
        <v>48</v>
      </c>
      <c r="I20" t="s">
        <v>49</v>
      </c>
      <c r="K20" t="s">
        <v>256</v>
      </c>
      <c r="L20">
        <v>1713302214147</v>
      </c>
      <c r="M20">
        <v>20250430</v>
      </c>
      <c r="N20" t="s">
        <v>253</v>
      </c>
      <c r="Q20" t="s">
        <v>58</v>
      </c>
      <c r="R20">
        <v>148915</v>
      </c>
      <c r="S20">
        <v>148915</v>
      </c>
      <c r="T20">
        <v>4199319</v>
      </c>
      <c r="U20">
        <v>6037810725</v>
      </c>
      <c r="V20" t="s">
        <v>269</v>
      </c>
      <c r="W20" t="s">
        <v>56</v>
      </c>
      <c r="X20" t="s">
        <v>258</v>
      </c>
      <c r="Y20" t="s">
        <v>51</v>
      </c>
      <c r="Z20">
        <v>1903</v>
      </c>
      <c r="AH20">
        <v>0</v>
      </c>
      <c r="AI20">
        <v>202504</v>
      </c>
      <c r="AJ20" t="s">
        <v>63</v>
      </c>
      <c r="AK20">
        <v>0</v>
      </c>
      <c r="AL20">
        <v>1</v>
      </c>
      <c r="AM20">
        <v>4199319</v>
      </c>
      <c r="AN20">
        <v>1</v>
      </c>
      <c r="AO20">
        <v>0</v>
      </c>
      <c r="AP20">
        <v>999</v>
      </c>
      <c r="AQ20">
        <v>430</v>
      </c>
      <c r="AR20">
        <v>430999</v>
      </c>
      <c r="AT20">
        <v>1</v>
      </c>
      <c r="AU20" t="s">
        <v>57</v>
      </c>
      <c r="AV20">
        <v>101552.46</v>
      </c>
      <c r="AW20">
        <v>114647.6485</v>
      </c>
      <c r="AX20">
        <v>118167.008</v>
      </c>
      <c r="AY20">
        <v>123559.05899999999</v>
      </c>
      <c r="AZ20">
        <v>128796.368</v>
      </c>
      <c r="BA20">
        <v>130000</v>
      </c>
      <c r="BB20">
        <v>135819.11300000001</v>
      </c>
      <c r="BC20">
        <v>145008.255</v>
      </c>
      <c r="BD20">
        <v>146226.546</v>
      </c>
      <c r="BE20">
        <v>148171.67300000001</v>
      </c>
      <c r="BF20">
        <v>156533.16500000001</v>
      </c>
      <c r="BG20">
        <v>167340.8915</v>
      </c>
      <c r="BH20">
        <v>179808.78</v>
      </c>
      <c r="BI20">
        <v>187222.14799999999</v>
      </c>
      <c r="BJ20">
        <v>206328.26500000001</v>
      </c>
      <c r="BK20">
        <v>220390.6225</v>
      </c>
      <c r="BL20">
        <v>239280.00000000009</v>
      </c>
      <c r="BM20">
        <v>298738.61</v>
      </c>
      <c r="BN20">
        <v>365407.64500000002</v>
      </c>
      <c r="BO20">
        <v>399465.49400000001</v>
      </c>
      <c r="BP20">
        <v>515709.15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 x14ac:dyDescent="0.35">
      <c r="A21">
        <v>337656</v>
      </c>
      <c r="B21" t="s">
        <v>388</v>
      </c>
      <c r="C21" t="s">
        <v>389</v>
      </c>
      <c r="D21" s="1">
        <v>45777</v>
      </c>
      <c r="E21">
        <v>53850</v>
      </c>
      <c r="F21">
        <v>103</v>
      </c>
      <c r="G21" t="s">
        <v>59</v>
      </c>
      <c r="H21" t="s">
        <v>48</v>
      </c>
      <c r="I21" t="s">
        <v>49</v>
      </c>
      <c r="K21">
        <v>202504297934722</v>
      </c>
      <c r="L21">
        <v>1033306986082</v>
      </c>
      <c r="M21">
        <v>20250429</v>
      </c>
      <c r="N21" t="s">
        <v>417</v>
      </c>
      <c r="Q21" t="s">
        <v>58</v>
      </c>
      <c r="R21">
        <v>141200</v>
      </c>
      <c r="S21">
        <v>0</v>
      </c>
      <c r="T21">
        <v>4055669</v>
      </c>
      <c r="U21" t="s">
        <v>418</v>
      </c>
      <c r="V21" t="s">
        <v>419</v>
      </c>
      <c r="W21" t="s">
        <v>50</v>
      </c>
      <c r="Y21" t="s">
        <v>51</v>
      </c>
      <c r="AH21">
        <v>0</v>
      </c>
      <c r="AI21">
        <v>202504</v>
      </c>
      <c r="AJ21" t="s">
        <v>168</v>
      </c>
      <c r="AK21">
        <v>1</v>
      </c>
      <c r="AL21">
        <v>1</v>
      </c>
      <c r="AO21">
        <v>0</v>
      </c>
      <c r="AP21">
        <v>999</v>
      </c>
      <c r="AQ21">
        <v>600</v>
      </c>
      <c r="AR21">
        <v>600999</v>
      </c>
      <c r="AS21" t="s">
        <v>52</v>
      </c>
      <c r="AU21" t="s">
        <v>52</v>
      </c>
      <c r="AV21">
        <v>107500</v>
      </c>
      <c r="AW21">
        <v>109625</v>
      </c>
      <c r="AX21">
        <v>110000</v>
      </c>
      <c r="AY21">
        <v>112750</v>
      </c>
      <c r="AZ21">
        <v>120738</v>
      </c>
      <c r="BA21">
        <v>129508.75</v>
      </c>
      <c r="BB21">
        <v>130380</v>
      </c>
      <c r="BC21">
        <v>133610</v>
      </c>
      <c r="BD21">
        <v>133800</v>
      </c>
      <c r="BE21">
        <v>141080</v>
      </c>
      <c r="BF21">
        <v>147500</v>
      </c>
      <c r="BG21">
        <v>155382.03049999999</v>
      </c>
      <c r="BH21">
        <v>165585.11799999999</v>
      </c>
      <c r="BI21">
        <v>166416.67000000001</v>
      </c>
      <c r="BJ21">
        <v>166416.67000000001</v>
      </c>
      <c r="BK21">
        <v>173582.95749999999</v>
      </c>
      <c r="BL21">
        <v>190388.68799999999</v>
      </c>
      <c r="BM21">
        <v>212150</v>
      </c>
      <c r="BN21">
        <v>283513.16900000011</v>
      </c>
      <c r="BO21">
        <v>415377.23</v>
      </c>
      <c r="BP21">
        <v>415377.23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 x14ac:dyDescent="0.35">
      <c r="A22">
        <v>337652</v>
      </c>
      <c r="B22" t="s">
        <v>388</v>
      </c>
      <c r="C22" t="s">
        <v>389</v>
      </c>
      <c r="D22" s="1">
        <v>45777</v>
      </c>
      <c r="E22">
        <v>53850</v>
      </c>
      <c r="F22">
        <v>157</v>
      </c>
      <c r="G22" t="s">
        <v>420</v>
      </c>
      <c r="H22" t="s">
        <v>48</v>
      </c>
      <c r="I22" t="s">
        <v>49</v>
      </c>
      <c r="K22">
        <v>202504297934960</v>
      </c>
      <c r="L22">
        <v>1573300003602</v>
      </c>
      <c r="M22">
        <v>20250429</v>
      </c>
      <c r="N22" t="s">
        <v>417</v>
      </c>
      <c r="Q22" t="s">
        <v>58</v>
      </c>
      <c r="R22">
        <v>100736.21</v>
      </c>
      <c r="S22">
        <v>0</v>
      </c>
      <c r="T22">
        <v>3723388</v>
      </c>
      <c r="U22">
        <v>3720260714</v>
      </c>
      <c r="V22" t="s">
        <v>421</v>
      </c>
      <c r="W22" t="s">
        <v>77</v>
      </c>
      <c r="Y22" t="s">
        <v>51</v>
      </c>
      <c r="AH22">
        <v>0</v>
      </c>
      <c r="AI22">
        <v>202504</v>
      </c>
      <c r="AJ22" t="s">
        <v>63</v>
      </c>
      <c r="AK22">
        <v>0</v>
      </c>
      <c r="AL22">
        <v>1</v>
      </c>
      <c r="AO22">
        <v>0</v>
      </c>
      <c r="AP22">
        <v>999</v>
      </c>
      <c r="AQ22">
        <v>501</v>
      </c>
      <c r="AR22">
        <v>501999</v>
      </c>
      <c r="AS22" t="s">
        <v>61</v>
      </c>
      <c r="AU22" t="s">
        <v>61</v>
      </c>
      <c r="AV22">
        <v>85050</v>
      </c>
      <c r="AW22">
        <v>89030</v>
      </c>
      <c r="AX22">
        <v>91669.203999999998</v>
      </c>
      <c r="AY22">
        <v>93087.394</v>
      </c>
      <c r="AZ22">
        <v>94164.18</v>
      </c>
      <c r="BA22">
        <v>96798.05</v>
      </c>
      <c r="BB22">
        <v>100000</v>
      </c>
      <c r="BC22">
        <v>100000</v>
      </c>
      <c r="BD22">
        <v>101589.726</v>
      </c>
      <c r="BE22">
        <v>106295.712</v>
      </c>
      <c r="BF22">
        <v>110193.28</v>
      </c>
      <c r="BG22">
        <v>119645.424</v>
      </c>
      <c r="BH22">
        <v>127698</v>
      </c>
      <c r="BI22">
        <v>137713.79399999999</v>
      </c>
      <c r="BJ22">
        <v>139806</v>
      </c>
      <c r="BK22">
        <v>150000</v>
      </c>
      <c r="BL22">
        <v>161820.22</v>
      </c>
      <c r="BM22">
        <v>190199.99999999991</v>
      </c>
      <c r="BN22">
        <v>213800</v>
      </c>
      <c r="BO22">
        <v>259913.9999999998</v>
      </c>
      <c r="BP22">
        <v>440000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 x14ac:dyDescent="0.35">
      <c r="A23">
        <v>337647</v>
      </c>
      <c r="B23" t="s">
        <v>388</v>
      </c>
      <c r="C23" t="s">
        <v>389</v>
      </c>
      <c r="D23" s="1">
        <v>45777</v>
      </c>
      <c r="E23">
        <v>53850</v>
      </c>
      <c r="F23">
        <v>103</v>
      </c>
      <c r="G23" t="s">
        <v>59</v>
      </c>
      <c r="H23" t="s">
        <v>48</v>
      </c>
      <c r="I23" t="s">
        <v>49</v>
      </c>
      <c r="K23">
        <v>202504297934722</v>
      </c>
      <c r="L23">
        <v>1033306986082</v>
      </c>
      <c r="M23">
        <v>20250429</v>
      </c>
      <c r="N23" t="s">
        <v>417</v>
      </c>
      <c r="Q23" t="s">
        <v>58</v>
      </c>
      <c r="R23">
        <v>141200</v>
      </c>
      <c r="S23">
        <v>0</v>
      </c>
      <c r="T23">
        <v>87603</v>
      </c>
      <c r="U23" t="s">
        <v>422</v>
      </c>
      <c r="V23" t="s">
        <v>423</v>
      </c>
      <c r="W23" t="s">
        <v>50</v>
      </c>
      <c r="Y23" t="s">
        <v>51</v>
      </c>
      <c r="Z23">
        <v>1657</v>
      </c>
      <c r="AH23">
        <v>0</v>
      </c>
      <c r="AI23">
        <v>202504</v>
      </c>
      <c r="AJ23" t="s">
        <v>168</v>
      </c>
      <c r="AK23">
        <v>1</v>
      </c>
      <c r="AL23">
        <v>1</v>
      </c>
      <c r="AO23">
        <v>0</v>
      </c>
      <c r="AP23">
        <v>999</v>
      </c>
      <c r="AQ23">
        <v>600</v>
      </c>
      <c r="AR23">
        <v>600999</v>
      </c>
      <c r="AS23" t="s">
        <v>52</v>
      </c>
      <c r="AU23" t="s">
        <v>52</v>
      </c>
      <c r="AV23">
        <v>107500</v>
      </c>
      <c r="AW23">
        <v>109625</v>
      </c>
      <c r="AX23">
        <v>110000</v>
      </c>
      <c r="AY23">
        <v>112750</v>
      </c>
      <c r="AZ23">
        <v>120738</v>
      </c>
      <c r="BA23">
        <v>129508.75</v>
      </c>
      <c r="BB23">
        <v>130380</v>
      </c>
      <c r="BC23">
        <v>133610</v>
      </c>
      <c r="BD23">
        <v>133800</v>
      </c>
      <c r="BE23">
        <v>141080</v>
      </c>
      <c r="BF23">
        <v>147500</v>
      </c>
      <c r="BG23">
        <v>155382.03049999999</v>
      </c>
      <c r="BH23">
        <v>165585.11799999999</v>
      </c>
      <c r="BI23">
        <v>166416.67000000001</v>
      </c>
      <c r="BJ23">
        <v>166416.67000000001</v>
      </c>
      <c r="BK23">
        <v>173582.95749999999</v>
      </c>
      <c r="BL23">
        <v>190388.68799999999</v>
      </c>
      <c r="BM23">
        <v>212150</v>
      </c>
      <c r="BN23">
        <v>283513.16900000011</v>
      </c>
      <c r="BO23">
        <v>415377.23</v>
      </c>
      <c r="BP23">
        <v>415377.23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 x14ac:dyDescent="0.35">
      <c r="A24">
        <v>337642</v>
      </c>
      <c r="B24" t="s">
        <v>388</v>
      </c>
      <c r="C24" t="s">
        <v>389</v>
      </c>
      <c r="D24" s="1">
        <v>45777</v>
      </c>
      <c r="E24">
        <v>53850</v>
      </c>
      <c r="F24">
        <v>103</v>
      </c>
      <c r="G24" t="s">
        <v>59</v>
      </c>
      <c r="H24" t="s">
        <v>48</v>
      </c>
      <c r="I24" t="s">
        <v>49</v>
      </c>
      <c r="K24">
        <v>202504297934722</v>
      </c>
      <c r="L24">
        <v>1033306986082</v>
      </c>
      <c r="M24">
        <v>20250429</v>
      </c>
      <c r="N24" t="s">
        <v>417</v>
      </c>
      <c r="Q24" t="s">
        <v>58</v>
      </c>
      <c r="R24">
        <v>141200</v>
      </c>
      <c r="S24">
        <v>0</v>
      </c>
      <c r="T24">
        <v>557564</v>
      </c>
      <c r="U24" t="s">
        <v>424</v>
      </c>
      <c r="V24" t="s">
        <v>425</v>
      </c>
      <c r="W24" t="s">
        <v>50</v>
      </c>
      <c r="Y24" t="s">
        <v>51</v>
      </c>
      <c r="Z24">
        <v>515</v>
      </c>
      <c r="AH24">
        <v>0</v>
      </c>
      <c r="AI24">
        <v>202504</v>
      </c>
      <c r="AJ24" t="s">
        <v>168</v>
      </c>
      <c r="AK24">
        <v>1</v>
      </c>
      <c r="AL24">
        <v>1</v>
      </c>
      <c r="AO24">
        <v>0</v>
      </c>
      <c r="AP24">
        <v>999</v>
      </c>
      <c r="AQ24">
        <v>600</v>
      </c>
      <c r="AR24">
        <v>600999</v>
      </c>
      <c r="AS24" t="s">
        <v>52</v>
      </c>
      <c r="AU24" t="s">
        <v>52</v>
      </c>
      <c r="AV24">
        <v>107500</v>
      </c>
      <c r="AW24">
        <v>109625</v>
      </c>
      <c r="AX24">
        <v>110000</v>
      </c>
      <c r="AY24">
        <v>112750</v>
      </c>
      <c r="AZ24">
        <v>120738</v>
      </c>
      <c r="BA24">
        <v>129508.75</v>
      </c>
      <c r="BB24">
        <v>130380</v>
      </c>
      <c r="BC24">
        <v>133610</v>
      </c>
      <c r="BD24">
        <v>133800</v>
      </c>
      <c r="BE24">
        <v>141080</v>
      </c>
      <c r="BF24">
        <v>147500</v>
      </c>
      <c r="BG24">
        <v>155382.03049999999</v>
      </c>
      <c r="BH24">
        <v>165585.11799999999</v>
      </c>
      <c r="BI24">
        <v>166416.67000000001</v>
      </c>
      <c r="BJ24">
        <v>166416.67000000001</v>
      </c>
      <c r="BK24">
        <v>173582.95749999999</v>
      </c>
      <c r="BL24">
        <v>190388.68799999999</v>
      </c>
      <c r="BM24">
        <v>212150</v>
      </c>
      <c r="BN24">
        <v>283513.16900000011</v>
      </c>
      <c r="BO24">
        <v>415377.23</v>
      </c>
      <c r="BP24">
        <v>415377.23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 x14ac:dyDescent="0.35">
      <c r="A25">
        <v>337640</v>
      </c>
      <c r="B25" t="s">
        <v>388</v>
      </c>
      <c r="C25" t="s">
        <v>389</v>
      </c>
      <c r="D25" s="1">
        <v>45777</v>
      </c>
      <c r="E25">
        <v>53850</v>
      </c>
      <c r="F25">
        <v>171</v>
      </c>
      <c r="G25" t="s">
        <v>70</v>
      </c>
      <c r="H25" t="s">
        <v>48</v>
      </c>
      <c r="I25" t="s">
        <v>49</v>
      </c>
      <c r="K25" t="s">
        <v>271</v>
      </c>
      <c r="L25">
        <v>1713305728950</v>
      </c>
      <c r="M25">
        <v>20250429</v>
      </c>
      <c r="N25" t="s">
        <v>253</v>
      </c>
      <c r="Q25" t="s">
        <v>58</v>
      </c>
      <c r="R25">
        <v>143475</v>
      </c>
      <c r="S25">
        <v>143475</v>
      </c>
      <c r="T25">
        <v>572895</v>
      </c>
      <c r="U25">
        <v>4161600723</v>
      </c>
      <c r="V25" t="s">
        <v>257</v>
      </c>
      <c r="W25" t="s">
        <v>56</v>
      </c>
      <c r="X25" t="s">
        <v>258</v>
      </c>
      <c r="Y25" t="s">
        <v>51</v>
      </c>
      <c r="Z25">
        <v>1903</v>
      </c>
      <c r="AH25">
        <v>0</v>
      </c>
      <c r="AI25">
        <v>202504</v>
      </c>
      <c r="AJ25" t="s">
        <v>63</v>
      </c>
      <c r="AK25">
        <v>0</v>
      </c>
      <c r="AL25">
        <v>1</v>
      </c>
      <c r="AM25">
        <v>572895</v>
      </c>
      <c r="AN25">
        <v>1</v>
      </c>
      <c r="AO25">
        <v>0</v>
      </c>
      <c r="AP25">
        <v>999</v>
      </c>
      <c r="AQ25">
        <v>430</v>
      </c>
      <c r="AR25">
        <v>430999</v>
      </c>
      <c r="AT25">
        <v>1</v>
      </c>
      <c r="AU25" t="s">
        <v>57</v>
      </c>
      <c r="AV25">
        <v>101552.46</v>
      </c>
      <c r="AW25">
        <v>114647.6485</v>
      </c>
      <c r="AX25">
        <v>118167.008</v>
      </c>
      <c r="AY25">
        <v>123559.05899999999</v>
      </c>
      <c r="AZ25">
        <v>128796.368</v>
      </c>
      <c r="BA25">
        <v>130000</v>
      </c>
      <c r="BB25">
        <v>135819.11300000001</v>
      </c>
      <c r="BC25">
        <v>145008.255</v>
      </c>
      <c r="BD25">
        <v>146226.546</v>
      </c>
      <c r="BE25">
        <v>148171.67300000001</v>
      </c>
      <c r="BF25">
        <v>156533.16500000001</v>
      </c>
      <c r="BG25">
        <v>167340.8915</v>
      </c>
      <c r="BH25">
        <v>179808.78</v>
      </c>
      <c r="BI25">
        <v>187222.14799999999</v>
      </c>
      <c r="BJ25">
        <v>206328.26500000001</v>
      </c>
      <c r="BK25">
        <v>220390.6225</v>
      </c>
      <c r="BL25">
        <v>239280.00000000009</v>
      </c>
      <c r="BM25">
        <v>298738.61</v>
      </c>
      <c r="BN25">
        <v>365407.64500000002</v>
      </c>
      <c r="BO25">
        <v>399465.49400000001</v>
      </c>
      <c r="BP25">
        <v>515709.15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 x14ac:dyDescent="0.35">
      <c r="A26">
        <v>337639</v>
      </c>
      <c r="B26" t="s">
        <v>388</v>
      </c>
      <c r="C26" t="s">
        <v>389</v>
      </c>
      <c r="D26" s="1">
        <v>45777</v>
      </c>
      <c r="E26">
        <v>53850</v>
      </c>
      <c r="F26">
        <v>175</v>
      </c>
      <c r="G26" t="s">
        <v>65</v>
      </c>
      <c r="H26" t="s">
        <v>48</v>
      </c>
      <c r="I26" t="s">
        <v>49</v>
      </c>
      <c r="K26">
        <v>202504297935046</v>
      </c>
      <c r="L26">
        <v>1753302203350</v>
      </c>
      <c r="M26">
        <v>20250429</v>
      </c>
      <c r="N26" t="s">
        <v>400</v>
      </c>
      <c r="Q26" t="s">
        <v>58</v>
      </c>
      <c r="R26">
        <v>111000</v>
      </c>
      <c r="S26">
        <v>0</v>
      </c>
      <c r="T26">
        <v>4844007</v>
      </c>
      <c r="U26">
        <v>1296320771</v>
      </c>
      <c r="V26" t="s">
        <v>426</v>
      </c>
      <c r="W26" t="s">
        <v>56</v>
      </c>
      <c r="X26" t="s">
        <v>62</v>
      </c>
      <c r="Y26" t="s">
        <v>51</v>
      </c>
      <c r="Z26">
        <v>936</v>
      </c>
      <c r="AH26">
        <v>0</v>
      </c>
      <c r="AI26">
        <v>202504</v>
      </c>
      <c r="AJ26" t="s">
        <v>168</v>
      </c>
      <c r="AK26">
        <v>1</v>
      </c>
      <c r="AL26">
        <v>1</v>
      </c>
      <c r="AO26">
        <v>0</v>
      </c>
      <c r="AP26">
        <v>412</v>
      </c>
      <c r="AQ26">
        <v>430</v>
      </c>
      <c r="AR26">
        <v>430412</v>
      </c>
      <c r="AS26" t="s">
        <v>61</v>
      </c>
      <c r="AU26" t="s">
        <v>61</v>
      </c>
      <c r="AV26">
        <v>85050</v>
      </c>
      <c r="AW26">
        <v>89030</v>
      </c>
      <c r="AX26">
        <v>91669.203999999998</v>
      </c>
      <c r="AY26">
        <v>93087.394</v>
      </c>
      <c r="AZ26">
        <v>94164.18</v>
      </c>
      <c r="BA26">
        <v>96798.05</v>
      </c>
      <c r="BB26">
        <v>100000</v>
      </c>
      <c r="BC26">
        <v>100000</v>
      </c>
      <c r="BD26">
        <v>101589.726</v>
      </c>
      <c r="BE26">
        <v>106295.712</v>
      </c>
      <c r="BF26">
        <v>110193.28</v>
      </c>
      <c r="BG26">
        <v>119645.424</v>
      </c>
      <c r="BH26">
        <v>127698</v>
      </c>
      <c r="BI26">
        <v>137713.79399999999</v>
      </c>
      <c r="BJ26">
        <v>139806</v>
      </c>
      <c r="BK26">
        <v>150000</v>
      </c>
      <c r="BL26">
        <v>161820.22</v>
      </c>
      <c r="BM26">
        <v>190199.99999999991</v>
      </c>
      <c r="BN26">
        <v>213800</v>
      </c>
      <c r="BO26">
        <v>259913.9999999998</v>
      </c>
      <c r="BP26">
        <v>440000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 x14ac:dyDescent="0.35">
      <c r="A27">
        <v>337630</v>
      </c>
      <c r="B27" t="s">
        <v>388</v>
      </c>
      <c r="C27" t="s">
        <v>389</v>
      </c>
      <c r="D27" s="1">
        <v>45777</v>
      </c>
      <c r="E27">
        <v>53850</v>
      </c>
      <c r="F27">
        <v>141</v>
      </c>
      <c r="G27" t="s">
        <v>75</v>
      </c>
      <c r="H27" t="s">
        <v>48</v>
      </c>
      <c r="I27" t="s">
        <v>49</v>
      </c>
      <c r="K27" t="s">
        <v>271</v>
      </c>
      <c r="L27">
        <v>1413300002755</v>
      </c>
      <c r="M27">
        <v>20250429</v>
      </c>
      <c r="N27" t="s">
        <v>262</v>
      </c>
      <c r="Q27" t="s">
        <v>58</v>
      </c>
      <c r="R27">
        <v>94971.3</v>
      </c>
      <c r="S27">
        <v>15170</v>
      </c>
      <c r="T27">
        <v>4018687</v>
      </c>
      <c r="U27" t="s">
        <v>427</v>
      </c>
      <c r="V27" t="s">
        <v>428</v>
      </c>
      <c r="W27" t="s">
        <v>66</v>
      </c>
      <c r="X27" t="s">
        <v>241</v>
      </c>
      <c r="Y27" t="s">
        <v>51</v>
      </c>
      <c r="Z27">
        <v>862</v>
      </c>
      <c r="AH27">
        <v>0</v>
      </c>
      <c r="AI27">
        <v>202504</v>
      </c>
      <c r="AJ27" t="s">
        <v>63</v>
      </c>
      <c r="AK27">
        <v>0</v>
      </c>
      <c r="AL27">
        <v>1</v>
      </c>
      <c r="AM27">
        <v>4018687</v>
      </c>
      <c r="AN27">
        <v>1</v>
      </c>
      <c r="AO27">
        <v>1</v>
      </c>
      <c r="AP27">
        <v>999</v>
      </c>
      <c r="AQ27">
        <v>615</v>
      </c>
      <c r="AR27">
        <v>615999</v>
      </c>
      <c r="AT27">
        <v>1</v>
      </c>
      <c r="AU27" t="s">
        <v>61</v>
      </c>
      <c r="AV27">
        <v>85050</v>
      </c>
      <c r="AW27">
        <v>89030</v>
      </c>
      <c r="AX27">
        <v>91669.203999999998</v>
      </c>
      <c r="AY27">
        <v>93087.394</v>
      </c>
      <c r="AZ27">
        <v>94164.18</v>
      </c>
      <c r="BA27">
        <v>96798.05</v>
      </c>
      <c r="BB27">
        <v>100000</v>
      </c>
      <c r="BC27">
        <v>100000</v>
      </c>
      <c r="BD27">
        <v>101589.726</v>
      </c>
      <c r="BE27">
        <v>106295.712</v>
      </c>
      <c r="BF27">
        <v>110193.28</v>
      </c>
      <c r="BG27">
        <v>119645.424</v>
      </c>
      <c r="BH27">
        <v>127698</v>
      </c>
      <c r="BI27">
        <v>137713.79399999999</v>
      </c>
      <c r="BJ27">
        <v>139806</v>
      </c>
      <c r="BK27">
        <v>150000</v>
      </c>
      <c r="BL27">
        <v>161820.22</v>
      </c>
      <c r="BM27">
        <v>190199.99999999991</v>
      </c>
      <c r="BN27">
        <v>213800</v>
      </c>
      <c r="BO27">
        <v>259913.9999999998</v>
      </c>
      <c r="BP27">
        <v>440000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 x14ac:dyDescent="0.35">
      <c r="A28">
        <v>337624</v>
      </c>
      <c r="B28" t="s">
        <v>388</v>
      </c>
      <c r="C28" t="s">
        <v>389</v>
      </c>
      <c r="D28" s="1">
        <v>45777</v>
      </c>
      <c r="E28">
        <v>53850</v>
      </c>
      <c r="F28">
        <v>103</v>
      </c>
      <c r="G28" t="s">
        <v>59</v>
      </c>
      <c r="H28" t="s">
        <v>48</v>
      </c>
      <c r="I28" t="s">
        <v>49</v>
      </c>
      <c r="K28">
        <v>202504297934722</v>
      </c>
      <c r="L28">
        <v>1033306986082</v>
      </c>
      <c r="M28">
        <v>20250429</v>
      </c>
      <c r="N28" t="s">
        <v>417</v>
      </c>
      <c r="Q28" t="s">
        <v>58</v>
      </c>
      <c r="R28">
        <v>141200</v>
      </c>
      <c r="S28">
        <v>0</v>
      </c>
      <c r="T28">
        <v>4041365</v>
      </c>
      <c r="U28" t="s">
        <v>429</v>
      </c>
      <c r="V28" t="s">
        <v>430</v>
      </c>
      <c r="W28" t="s">
        <v>50</v>
      </c>
      <c r="Y28" t="s">
        <v>51</v>
      </c>
      <c r="AH28">
        <v>0</v>
      </c>
      <c r="AI28">
        <v>202504</v>
      </c>
      <c r="AJ28" t="s">
        <v>168</v>
      </c>
      <c r="AK28">
        <v>1</v>
      </c>
      <c r="AL28">
        <v>1</v>
      </c>
      <c r="AO28">
        <v>0</v>
      </c>
      <c r="AP28">
        <v>999</v>
      </c>
      <c r="AQ28">
        <v>600</v>
      </c>
      <c r="AR28">
        <v>600999</v>
      </c>
      <c r="AS28" t="s">
        <v>52</v>
      </c>
      <c r="AU28" t="s">
        <v>52</v>
      </c>
      <c r="AV28">
        <v>107500</v>
      </c>
      <c r="AW28">
        <v>109625</v>
      </c>
      <c r="AX28">
        <v>110000</v>
      </c>
      <c r="AY28">
        <v>112750</v>
      </c>
      <c r="AZ28">
        <v>120738</v>
      </c>
      <c r="BA28">
        <v>129508.75</v>
      </c>
      <c r="BB28">
        <v>130380</v>
      </c>
      <c r="BC28">
        <v>133610</v>
      </c>
      <c r="BD28">
        <v>133800</v>
      </c>
      <c r="BE28">
        <v>141080</v>
      </c>
      <c r="BF28">
        <v>147500</v>
      </c>
      <c r="BG28">
        <v>155382.03049999999</v>
      </c>
      <c r="BH28">
        <v>165585.11799999999</v>
      </c>
      <c r="BI28">
        <v>166416.67000000001</v>
      </c>
      <c r="BJ28">
        <v>166416.67000000001</v>
      </c>
      <c r="BK28">
        <v>173582.95749999999</v>
      </c>
      <c r="BL28">
        <v>190388.68799999999</v>
      </c>
      <c r="BM28">
        <v>212150</v>
      </c>
      <c r="BN28">
        <v>283513.16900000011</v>
      </c>
      <c r="BO28">
        <v>415377.23</v>
      </c>
      <c r="BP28">
        <v>415377.23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 x14ac:dyDescent="0.35">
      <c r="A29">
        <v>337619</v>
      </c>
      <c r="B29" t="s">
        <v>388</v>
      </c>
      <c r="C29" t="s">
        <v>389</v>
      </c>
      <c r="D29" s="1">
        <v>45777</v>
      </c>
      <c r="E29">
        <v>53850</v>
      </c>
      <c r="F29">
        <v>103</v>
      </c>
      <c r="G29" t="s">
        <v>59</v>
      </c>
      <c r="H29" t="s">
        <v>48</v>
      </c>
      <c r="I29" t="s">
        <v>49</v>
      </c>
      <c r="K29">
        <v>202504297934722</v>
      </c>
      <c r="L29">
        <v>1033306986082</v>
      </c>
      <c r="M29">
        <v>20250429</v>
      </c>
      <c r="N29" t="s">
        <v>417</v>
      </c>
      <c r="Q29" t="s">
        <v>58</v>
      </c>
      <c r="R29">
        <v>141200</v>
      </c>
      <c r="S29">
        <v>0</v>
      </c>
      <c r="T29">
        <v>606758</v>
      </c>
      <c r="U29" t="s">
        <v>431</v>
      </c>
      <c r="V29" t="s">
        <v>432</v>
      </c>
      <c r="W29" t="s">
        <v>50</v>
      </c>
      <c r="Y29" t="s">
        <v>51</v>
      </c>
      <c r="Z29">
        <v>1224</v>
      </c>
      <c r="AH29">
        <v>0</v>
      </c>
      <c r="AI29">
        <v>202504</v>
      </c>
      <c r="AJ29" t="s">
        <v>168</v>
      </c>
      <c r="AK29">
        <v>1</v>
      </c>
      <c r="AL29">
        <v>1</v>
      </c>
      <c r="AO29">
        <v>0</v>
      </c>
      <c r="AP29">
        <v>999</v>
      </c>
      <c r="AQ29">
        <v>600</v>
      </c>
      <c r="AR29">
        <v>600999</v>
      </c>
      <c r="AS29" t="s">
        <v>52</v>
      </c>
      <c r="AU29" t="s">
        <v>52</v>
      </c>
      <c r="AV29">
        <v>107500</v>
      </c>
      <c r="AW29">
        <v>109625</v>
      </c>
      <c r="AX29">
        <v>110000</v>
      </c>
      <c r="AY29">
        <v>112750</v>
      </c>
      <c r="AZ29">
        <v>120738</v>
      </c>
      <c r="BA29">
        <v>129508.75</v>
      </c>
      <c r="BB29">
        <v>130380</v>
      </c>
      <c r="BC29">
        <v>133610</v>
      </c>
      <c r="BD29">
        <v>133800</v>
      </c>
      <c r="BE29">
        <v>141080</v>
      </c>
      <c r="BF29">
        <v>147500</v>
      </c>
      <c r="BG29">
        <v>155382.03049999999</v>
      </c>
      <c r="BH29">
        <v>165585.11799999999</v>
      </c>
      <c r="BI29">
        <v>166416.67000000001</v>
      </c>
      <c r="BJ29">
        <v>166416.67000000001</v>
      </c>
      <c r="BK29">
        <v>173582.95749999999</v>
      </c>
      <c r="BL29">
        <v>190388.68799999999</v>
      </c>
      <c r="BM29">
        <v>212150</v>
      </c>
      <c r="BN29">
        <v>283513.16900000011</v>
      </c>
      <c r="BO29">
        <v>415377.23</v>
      </c>
      <c r="BP29">
        <v>415377.23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 x14ac:dyDescent="0.35">
      <c r="A30">
        <v>337616</v>
      </c>
      <c r="B30" t="s">
        <v>388</v>
      </c>
      <c r="C30" t="s">
        <v>389</v>
      </c>
      <c r="D30" s="1">
        <v>45777</v>
      </c>
      <c r="E30">
        <v>53850</v>
      </c>
      <c r="F30">
        <v>141</v>
      </c>
      <c r="G30" t="s">
        <v>75</v>
      </c>
      <c r="H30" t="s">
        <v>48</v>
      </c>
      <c r="I30" t="s">
        <v>49</v>
      </c>
      <c r="K30">
        <v>202504297934899</v>
      </c>
      <c r="L30">
        <v>1413300000129</v>
      </c>
      <c r="M30">
        <v>20250429</v>
      </c>
      <c r="N30" t="s">
        <v>400</v>
      </c>
      <c r="Q30" t="s">
        <v>58</v>
      </c>
      <c r="R30">
        <v>168000</v>
      </c>
      <c r="S30">
        <v>0</v>
      </c>
      <c r="T30">
        <v>4183509</v>
      </c>
      <c r="U30" t="s">
        <v>433</v>
      </c>
      <c r="V30" t="s">
        <v>434</v>
      </c>
      <c r="W30" t="s">
        <v>66</v>
      </c>
      <c r="X30" t="s">
        <v>435</v>
      </c>
      <c r="Y30" t="s">
        <v>51</v>
      </c>
      <c r="Z30">
        <v>862</v>
      </c>
      <c r="AH30">
        <v>0</v>
      </c>
      <c r="AI30">
        <v>202504</v>
      </c>
      <c r="AJ30" t="s">
        <v>54</v>
      </c>
      <c r="AK30">
        <v>0</v>
      </c>
      <c r="AL30">
        <v>1</v>
      </c>
      <c r="AO30">
        <v>0</v>
      </c>
      <c r="AP30">
        <v>999</v>
      </c>
      <c r="AQ30">
        <v>615</v>
      </c>
      <c r="AR30">
        <v>615999</v>
      </c>
      <c r="AT30">
        <v>1</v>
      </c>
      <c r="AU30" t="s">
        <v>61</v>
      </c>
      <c r="AV30">
        <v>85050</v>
      </c>
      <c r="AW30">
        <v>89030</v>
      </c>
      <c r="AX30">
        <v>91669.203999999998</v>
      </c>
      <c r="AY30">
        <v>93087.394</v>
      </c>
      <c r="AZ30">
        <v>94164.18</v>
      </c>
      <c r="BA30">
        <v>96798.05</v>
      </c>
      <c r="BB30">
        <v>100000</v>
      </c>
      <c r="BC30">
        <v>100000</v>
      </c>
      <c r="BD30">
        <v>101589.726</v>
      </c>
      <c r="BE30">
        <v>106295.712</v>
      </c>
      <c r="BF30">
        <v>110193.28</v>
      </c>
      <c r="BG30">
        <v>119645.424</v>
      </c>
      <c r="BH30">
        <v>127698</v>
      </c>
      <c r="BI30">
        <v>137713.79399999999</v>
      </c>
      <c r="BJ30">
        <v>139806</v>
      </c>
      <c r="BK30">
        <v>150000</v>
      </c>
      <c r="BL30">
        <v>161820.22</v>
      </c>
      <c r="BM30">
        <v>190199.99999999991</v>
      </c>
      <c r="BN30">
        <v>213800</v>
      </c>
      <c r="BO30">
        <v>259913.9999999998</v>
      </c>
      <c r="BP30">
        <v>440000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0</v>
      </c>
      <c r="CI30">
        <v>0</v>
      </c>
      <c r="CJ30">
        <v>0</v>
      </c>
      <c r="CK30">
        <v>0</v>
      </c>
    </row>
    <row r="31" spans="1:89" x14ac:dyDescent="0.35">
      <c r="A31">
        <v>337614</v>
      </c>
      <c r="B31" t="s">
        <v>388</v>
      </c>
      <c r="C31" t="s">
        <v>389</v>
      </c>
      <c r="D31" s="1">
        <v>45777</v>
      </c>
      <c r="E31">
        <v>53850</v>
      </c>
      <c r="F31">
        <v>102</v>
      </c>
      <c r="G31" t="s">
        <v>55</v>
      </c>
      <c r="H31" t="s">
        <v>48</v>
      </c>
      <c r="I31" t="s">
        <v>49</v>
      </c>
      <c r="K31" t="s">
        <v>271</v>
      </c>
      <c r="L31">
        <v>1023308723724</v>
      </c>
      <c r="M31">
        <v>20250429</v>
      </c>
      <c r="N31" t="s">
        <v>262</v>
      </c>
      <c r="Q31" t="s">
        <v>58</v>
      </c>
      <c r="R31">
        <v>304550</v>
      </c>
      <c r="S31">
        <v>4250</v>
      </c>
      <c r="T31">
        <v>4892368</v>
      </c>
      <c r="U31">
        <v>8073540729</v>
      </c>
      <c r="V31" t="s">
        <v>436</v>
      </c>
      <c r="W31" t="s">
        <v>437</v>
      </c>
      <c r="X31" t="s">
        <v>241</v>
      </c>
      <c r="Y31" t="s">
        <v>51</v>
      </c>
      <c r="Z31">
        <v>1443</v>
      </c>
      <c r="AH31">
        <v>0</v>
      </c>
      <c r="AI31">
        <v>202504</v>
      </c>
      <c r="AJ31" t="s">
        <v>54</v>
      </c>
      <c r="AK31">
        <v>0</v>
      </c>
      <c r="AL31">
        <v>1</v>
      </c>
      <c r="AO31">
        <v>1</v>
      </c>
      <c r="AP31">
        <v>999</v>
      </c>
      <c r="AQ31">
        <v>491</v>
      </c>
      <c r="AR31">
        <v>491999</v>
      </c>
      <c r="AT31">
        <v>1</v>
      </c>
      <c r="AU31" t="s">
        <v>272</v>
      </c>
      <c r="AV31">
        <v>98000</v>
      </c>
      <c r="AW31">
        <v>98368.7</v>
      </c>
      <c r="AX31">
        <v>98737.4</v>
      </c>
      <c r="AY31">
        <v>99106.1</v>
      </c>
      <c r="AZ31">
        <v>99955</v>
      </c>
      <c r="BA31">
        <v>101044</v>
      </c>
      <c r="BB31">
        <v>102133</v>
      </c>
      <c r="BC31">
        <v>103273.1</v>
      </c>
      <c r="BD31">
        <v>104515.4</v>
      </c>
      <c r="BE31">
        <v>105757.7</v>
      </c>
      <c r="BF31">
        <v>107000</v>
      </c>
      <c r="BG31">
        <v>109400</v>
      </c>
      <c r="BH31">
        <v>111800</v>
      </c>
      <c r="BI31">
        <v>114200</v>
      </c>
      <c r="BJ31">
        <v>118800</v>
      </c>
      <c r="BK31">
        <v>124500</v>
      </c>
      <c r="BL31">
        <v>130200</v>
      </c>
      <c r="BM31">
        <v>151054.99999999991</v>
      </c>
      <c r="BN31">
        <v>202220.00000000009</v>
      </c>
      <c r="BO31">
        <v>253384.99999999991</v>
      </c>
      <c r="BP31">
        <v>304550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</row>
    <row r="32" spans="1:89" x14ac:dyDescent="0.35">
      <c r="A32">
        <v>337610</v>
      </c>
      <c r="B32" t="s">
        <v>388</v>
      </c>
      <c r="C32" t="s">
        <v>389</v>
      </c>
      <c r="D32" s="1">
        <v>45777</v>
      </c>
      <c r="E32">
        <v>53850</v>
      </c>
      <c r="F32">
        <v>114</v>
      </c>
      <c r="G32" t="s">
        <v>267</v>
      </c>
      <c r="H32" t="s">
        <v>48</v>
      </c>
      <c r="I32" t="s">
        <v>49</v>
      </c>
      <c r="K32">
        <v>202504297934801</v>
      </c>
      <c r="L32">
        <v>1143306280621</v>
      </c>
      <c r="M32">
        <v>20250429</v>
      </c>
      <c r="N32" t="s">
        <v>265</v>
      </c>
      <c r="Q32" t="s">
        <v>58</v>
      </c>
      <c r="R32">
        <v>55650</v>
      </c>
      <c r="S32">
        <v>55650</v>
      </c>
      <c r="T32">
        <v>4658875</v>
      </c>
      <c r="U32">
        <v>3230890711</v>
      </c>
      <c r="V32" t="s">
        <v>268</v>
      </c>
      <c r="W32" t="s">
        <v>64</v>
      </c>
      <c r="X32" t="s">
        <v>80</v>
      </c>
      <c r="Y32" t="s">
        <v>51</v>
      </c>
      <c r="Z32">
        <v>870</v>
      </c>
      <c r="AH32">
        <v>0</v>
      </c>
      <c r="AI32">
        <v>202504</v>
      </c>
      <c r="AJ32" t="s">
        <v>63</v>
      </c>
      <c r="AK32">
        <v>0</v>
      </c>
      <c r="AL32">
        <v>1</v>
      </c>
      <c r="AM32">
        <v>4658875</v>
      </c>
      <c r="AN32">
        <v>1</v>
      </c>
      <c r="AO32">
        <v>0</v>
      </c>
      <c r="AP32">
        <v>477</v>
      </c>
      <c r="AQ32">
        <v>492</v>
      </c>
      <c r="AR32">
        <v>492477</v>
      </c>
      <c r="AS32" t="s">
        <v>234</v>
      </c>
      <c r="AU32" t="s">
        <v>234</v>
      </c>
      <c r="AV32">
        <v>55650</v>
      </c>
      <c r="AW32">
        <v>56502</v>
      </c>
      <c r="AX32">
        <v>57354</v>
      </c>
      <c r="AY32">
        <v>58206</v>
      </c>
      <c r="AZ32">
        <v>59098</v>
      </c>
      <c r="BA32">
        <v>60010</v>
      </c>
      <c r="BB32">
        <v>60922</v>
      </c>
      <c r="BC32">
        <v>61827</v>
      </c>
      <c r="BD32">
        <v>62718</v>
      </c>
      <c r="BE32">
        <v>63609</v>
      </c>
      <c r="BF32">
        <v>64500</v>
      </c>
      <c r="BG32">
        <v>66288</v>
      </c>
      <c r="BH32">
        <v>68076</v>
      </c>
      <c r="BI32">
        <v>69864</v>
      </c>
      <c r="BJ32">
        <v>70482</v>
      </c>
      <c r="BK32">
        <v>70515</v>
      </c>
      <c r="BL32">
        <v>70548</v>
      </c>
      <c r="BM32">
        <v>70590</v>
      </c>
      <c r="BN32">
        <v>70650</v>
      </c>
      <c r="BO32">
        <v>70710</v>
      </c>
      <c r="BP32">
        <v>70770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 x14ac:dyDescent="0.35">
      <c r="A33">
        <v>337600</v>
      </c>
      <c r="B33" t="s">
        <v>388</v>
      </c>
      <c r="C33" t="s">
        <v>389</v>
      </c>
      <c r="D33" s="1">
        <v>45776</v>
      </c>
      <c r="E33">
        <v>53850</v>
      </c>
      <c r="F33">
        <v>102</v>
      </c>
      <c r="G33" t="s">
        <v>55</v>
      </c>
      <c r="H33" t="s">
        <v>48</v>
      </c>
      <c r="I33" t="s">
        <v>49</v>
      </c>
      <c r="K33" t="s">
        <v>278</v>
      </c>
      <c r="L33">
        <v>1023300660520</v>
      </c>
      <c r="M33">
        <v>20250428</v>
      </c>
      <c r="N33" t="s">
        <v>262</v>
      </c>
      <c r="Q33" t="s">
        <v>58</v>
      </c>
      <c r="R33">
        <v>104142</v>
      </c>
      <c r="S33">
        <v>48830</v>
      </c>
      <c r="T33">
        <v>66052</v>
      </c>
      <c r="U33">
        <v>398110726</v>
      </c>
      <c r="V33" t="s">
        <v>287</v>
      </c>
      <c r="W33" t="s">
        <v>56</v>
      </c>
      <c r="X33" t="s">
        <v>235</v>
      </c>
      <c r="Y33" t="s">
        <v>51</v>
      </c>
      <c r="Z33">
        <v>1203</v>
      </c>
      <c r="AH33">
        <v>0</v>
      </c>
      <c r="AI33">
        <v>202504</v>
      </c>
      <c r="AJ33" t="s">
        <v>169</v>
      </c>
      <c r="AK33">
        <v>1</v>
      </c>
      <c r="AL33">
        <v>1</v>
      </c>
      <c r="AM33">
        <v>66052</v>
      </c>
      <c r="AN33">
        <v>1</v>
      </c>
      <c r="AO33">
        <v>1</v>
      </c>
      <c r="AP33">
        <v>999</v>
      </c>
      <c r="AQ33">
        <v>430</v>
      </c>
      <c r="AR33">
        <v>430999</v>
      </c>
      <c r="AT33">
        <v>1</v>
      </c>
      <c r="AU33" t="s">
        <v>57</v>
      </c>
      <c r="AV33">
        <v>101552.46</v>
      </c>
      <c r="AW33">
        <v>114647.6485</v>
      </c>
      <c r="AX33">
        <v>118167.008</v>
      </c>
      <c r="AY33">
        <v>123559.05899999999</v>
      </c>
      <c r="AZ33">
        <v>128796.368</v>
      </c>
      <c r="BA33">
        <v>130000</v>
      </c>
      <c r="BB33">
        <v>135819.11300000001</v>
      </c>
      <c r="BC33">
        <v>145008.255</v>
      </c>
      <c r="BD33">
        <v>146226.546</v>
      </c>
      <c r="BE33">
        <v>148171.67300000001</v>
      </c>
      <c r="BF33">
        <v>156533.16500000001</v>
      </c>
      <c r="BG33">
        <v>167340.8915</v>
      </c>
      <c r="BH33">
        <v>179808.78</v>
      </c>
      <c r="BI33">
        <v>187222.14799999999</v>
      </c>
      <c r="BJ33">
        <v>206328.26500000001</v>
      </c>
      <c r="BK33">
        <v>220390.6225</v>
      </c>
      <c r="BL33">
        <v>239280.00000000009</v>
      </c>
      <c r="BM33">
        <v>298738.61</v>
      </c>
      <c r="BN33">
        <v>365407.64500000002</v>
      </c>
      <c r="BO33">
        <v>399465.49400000001</v>
      </c>
      <c r="BP33">
        <v>515709.15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 x14ac:dyDescent="0.35">
      <c r="A34">
        <v>337593</v>
      </c>
      <c r="B34" t="s">
        <v>388</v>
      </c>
      <c r="C34" t="s">
        <v>389</v>
      </c>
      <c r="D34" s="1">
        <v>45776</v>
      </c>
      <c r="E34">
        <v>53850</v>
      </c>
      <c r="F34">
        <v>267</v>
      </c>
      <c r="G34" t="s">
        <v>170</v>
      </c>
      <c r="H34" t="s">
        <v>48</v>
      </c>
      <c r="I34" t="s">
        <v>49</v>
      </c>
      <c r="K34">
        <v>202504287931837</v>
      </c>
      <c r="L34">
        <v>2673300003600</v>
      </c>
      <c r="M34">
        <v>20250428</v>
      </c>
      <c r="N34" t="s">
        <v>265</v>
      </c>
      <c r="Q34" t="s">
        <v>58</v>
      </c>
      <c r="R34">
        <v>115000</v>
      </c>
      <c r="S34">
        <v>115000</v>
      </c>
      <c r="T34">
        <v>1705101</v>
      </c>
      <c r="U34">
        <v>2896870793</v>
      </c>
      <c r="V34" t="s">
        <v>288</v>
      </c>
      <c r="W34" t="s">
        <v>64</v>
      </c>
      <c r="X34" t="s">
        <v>258</v>
      </c>
      <c r="Y34" t="s">
        <v>51</v>
      </c>
      <c r="Z34">
        <v>1878</v>
      </c>
      <c r="AH34">
        <v>0</v>
      </c>
      <c r="AI34">
        <v>202504</v>
      </c>
      <c r="AJ34" t="s">
        <v>63</v>
      </c>
      <c r="AK34">
        <v>0</v>
      </c>
      <c r="AL34">
        <v>1</v>
      </c>
      <c r="AM34">
        <v>1705101</v>
      </c>
      <c r="AN34">
        <v>1</v>
      </c>
      <c r="AO34">
        <v>0</v>
      </c>
      <c r="AP34">
        <v>999</v>
      </c>
      <c r="AQ34">
        <v>492</v>
      </c>
      <c r="AR34">
        <v>492999</v>
      </c>
      <c r="AT34">
        <v>1</v>
      </c>
      <c r="AU34" t="s">
        <v>272</v>
      </c>
      <c r="AV34">
        <v>98000</v>
      </c>
      <c r="AW34">
        <v>98368.7</v>
      </c>
      <c r="AX34">
        <v>98737.4</v>
      </c>
      <c r="AY34">
        <v>99106.1</v>
      </c>
      <c r="AZ34">
        <v>99955</v>
      </c>
      <c r="BA34">
        <v>101044</v>
      </c>
      <c r="BB34">
        <v>102133</v>
      </c>
      <c r="BC34">
        <v>103273.1</v>
      </c>
      <c r="BD34">
        <v>104515.4</v>
      </c>
      <c r="BE34">
        <v>105757.7</v>
      </c>
      <c r="BF34">
        <v>107000</v>
      </c>
      <c r="BG34">
        <v>109400</v>
      </c>
      <c r="BH34">
        <v>111800</v>
      </c>
      <c r="BI34">
        <v>114200</v>
      </c>
      <c r="BJ34">
        <v>118800</v>
      </c>
      <c r="BK34">
        <v>124500</v>
      </c>
      <c r="BL34">
        <v>130200</v>
      </c>
      <c r="BM34">
        <v>151054.99999999991</v>
      </c>
      <c r="BN34">
        <v>202220.00000000009</v>
      </c>
      <c r="BO34">
        <v>253384.99999999991</v>
      </c>
      <c r="BP34">
        <v>304550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 x14ac:dyDescent="0.35">
      <c r="A35">
        <v>337587</v>
      </c>
      <c r="B35" t="s">
        <v>388</v>
      </c>
      <c r="C35" t="s">
        <v>389</v>
      </c>
      <c r="D35" s="1">
        <v>45776</v>
      </c>
      <c r="E35">
        <v>53850</v>
      </c>
      <c r="F35">
        <v>171</v>
      </c>
      <c r="G35" t="s">
        <v>70</v>
      </c>
      <c r="H35" t="s">
        <v>48</v>
      </c>
      <c r="I35" t="s">
        <v>49</v>
      </c>
      <c r="K35" t="s">
        <v>278</v>
      </c>
      <c r="L35">
        <v>1713305728950</v>
      </c>
      <c r="M35">
        <v>20250428</v>
      </c>
      <c r="N35" t="s">
        <v>253</v>
      </c>
      <c r="Q35" t="s">
        <v>58</v>
      </c>
      <c r="R35">
        <v>318875.83</v>
      </c>
      <c r="S35">
        <v>318875.83</v>
      </c>
      <c r="T35">
        <v>572895</v>
      </c>
      <c r="U35">
        <v>4161600723</v>
      </c>
      <c r="V35" t="s">
        <v>257</v>
      </c>
      <c r="W35" t="s">
        <v>56</v>
      </c>
      <c r="X35" t="s">
        <v>258</v>
      </c>
      <c r="Y35" t="s">
        <v>51</v>
      </c>
      <c r="Z35">
        <v>1903</v>
      </c>
      <c r="AH35">
        <v>0</v>
      </c>
      <c r="AI35">
        <v>202504</v>
      </c>
      <c r="AJ35" t="s">
        <v>63</v>
      </c>
      <c r="AK35">
        <v>0</v>
      </c>
      <c r="AL35">
        <v>1</v>
      </c>
      <c r="AM35">
        <v>572895</v>
      </c>
      <c r="AN35">
        <v>1</v>
      </c>
      <c r="AO35">
        <v>0</v>
      </c>
      <c r="AP35">
        <v>999</v>
      </c>
      <c r="AQ35">
        <v>430</v>
      </c>
      <c r="AR35">
        <v>430999</v>
      </c>
      <c r="AT35">
        <v>1</v>
      </c>
      <c r="AU35" t="s">
        <v>57</v>
      </c>
      <c r="AV35">
        <v>101552.46</v>
      </c>
      <c r="AW35">
        <v>114647.6485</v>
      </c>
      <c r="AX35">
        <v>118167.008</v>
      </c>
      <c r="AY35">
        <v>123559.05899999999</v>
      </c>
      <c r="AZ35">
        <v>128796.368</v>
      </c>
      <c r="BA35">
        <v>130000</v>
      </c>
      <c r="BB35">
        <v>135819.11300000001</v>
      </c>
      <c r="BC35">
        <v>145008.255</v>
      </c>
      <c r="BD35">
        <v>146226.546</v>
      </c>
      <c r="BE35">
        <v>148171.67300000001</v>
      </c>
      <c r="BF35">
        <v>156533.16500000001</v>
      </c>
      <c r="BG35">
        <v>167340.8915</v>
      </c>
      <c r="BH35">
        <v>179808.78</v>
      </c>
      <c r="BI35">
        <v>187222.14799999999</v>
      </c>
      <c r="BJ35">
        <v>206328.26500000001</v>
      </c>
      <c r="BK35">
        <v>220390.6225</v>
      </c>
      <c r="BL35">
        <v>239280.00000000009</v>
      </c>
      <c r="BM35">
        <v>298738.61</v>
      </c>
      <c r="BN35">
        <v>365407.64500000002</v>
      </c>
      <c r="BO35">
        <v>399465.49400000001</v>
      </c>
      <c r="BP35">
        <v>515709.15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0</v>
      </c>
      <c r="CJ35">
        <v>0</v>
      </c>
      <c r="CK35">
        <v>0</v>
      </c>
    </row>
    <row r="36" spans="1:89" x14ac:dyDescent="0.35">
      <c r="A36">
        <v>337583</v>
      </c>
      <c r="B36" t="s">
        <v>388</v>
      </c>
      <c r="C36" t="s">
        <v>389</v>
      </c>
      <c r="D36" s="1">
        <v>45776</v>
      </c>
      <c r="E36">
        <v>53850</v>
      </c>
      <c r="F36">
        <v>182</v>
      </c>
      <c r="G36" t="s">
        <v>284</v>
      </c>
      <c r="H36" t="s">
        <v>48</v>
      </c>
      <c r="I36" t="s">
        <v>49</v>
      </c>
      <c r="K36" t="s">
        <v>278</v>
      </c>
      <c r="L36">
        <v>1823300169301</v>
      </c>
      <c r="M36">
        <v>20250428</v>
      </c>
      <c r="N36" t="s">
        <v>253</v>
      </c>
      <c r="Q36" t="s">
        <v>58</v>
      </c>
      <c r="R36">
        <v>45865</v>
      </c>
      <c r="S36">
        <v>45865</v>
      </c>
      <c r="T36">
        <v>4284957</v>
      </c>
      <c r="U36" t="s">
        <v>285</v>
      </c>
      <c r="V36" t="s">
        <v>286</v>
      </c>
      <c r="W36" t="s">
        <v>66</v>
      </c>
      <c r="X36" t="s">
        <v>255</v>
      </c>
      <c r="Y36" t="s">
        <v>51</v>
      </c>
      <c r="Z36">
        <v>1656</v>
      </c>
      <c r="AH36">
        <v>0</v>
      </c>
      <c r="AI36">
        <v>202504</v>
      </c>
      <c r="AJ36" t="s">
        <v>63</v>
      </c>
      <c r="AK36">
        <v>0</v>
      </c>
      <c r="AL36">
        <v>1</v>
      </c>
      <c r="AM36">
        <v>4284957</v>
      </c>
      <c r="AN36">
        <v>1</v>
      </c>
      <c r="AO36">
        <v>0</v>
      </c>
      <c r="AP36">
        <v>920</v>
      </c>
      <c r="AQ36">
        <v>615</v>
      </c>
      <c r="AR36">
        <v>615920</v>
      </c>
      <c r="AS36" t="s">
        <v>270</v>
      </c>
      <c r="AU36" t="s">
        <v>270</v>
      </c>
      <c r="AV36">
        <v>37615</v>
      </c>
      <c r="AW36">
        <v>38129.25</v>
      </c>
      <c r="AX36">
        <v>38617</v>
      </c>
      <c r="AY36">
        <v>38985.5</v>
      </c>
      <c r="AZ36">
        <v>39276</v>
      </c>
      <c r="BA36">
        <v>39430</v>
      </c>
      <c r="BB36">
        <v>39650</v>
      </c>
      <c r="BC36">
        <v>39925</v>
      </c>
      <c r="BD36">
        <v>40004</v>
      </c>
      <c r="BE36">
        <v>40009.5</v>
      </c>
      <c r="BF36">
        <v>40505</v>
      </c>
      <c r="BG36">
        <v>41243.25</v>
      </c>
      <c r="BH36">
        <v>43919</v>
      </c>
      <c r="BI36">
        <v>46035.25</v>
      </c>
      <c r="BJ36">
        <v>46659.5</v>
      </c>
      <c r="BK36">
        <v>48836.25</v>
      </c>
      <c r="BL36">
        <v>52876.000000000007</v>
      </c>
      <c r="BM36">
        <v>56324.25</v>
      </c>
      <c r="BN36">
        <v>59434.5</v>
      </c>
      <c r="BO36">
        <v>63675.005999999987</v>
      </c>
      <c r="BP36">
        <v>68166.679999999993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 x14ac:dyDescent="0.35">
      <c r="A37">
        <v>337582</v>
      </c>
      <c r="B37" t="s">
        <v>388</v>
      </c>
      <c r="C37" t="s">
        <v>389</v>
      </c>
      <c r="D37" s="1">
        <v>45776</v>
      </c>
      <c r="E37">
        <v>53850</v>
      </c>
      <c r="F37">
        <v>116</v>
      </c>
      <c r="G37" t="s">
        <v>259</v>
      </c>
      <c r="H37" t="s">
        <v>48</v>
      </c>
      <c r="I37" t="s">
        <v>49</v>
      </c>
      <c r="K37">
        <v>202504287931022</v>
      </c>
      <c r="L37">
        <v>2343300010453</v>
      </c>
      <c r="M37">
        <v>20250428</v>
      </c>
      <c r="N37" t="s">
        <v>253</v>
      </c>
      <c r="Q37" t="s">
        <v>58</v>
      </c>
      <c r="R37">
        <v>91109.1</v>
      </c>
      <c r="S37">
        <v>91109.1</v>
      </c>
      <c r="T37">
        <v>4247777</v>
      </c>
      <c r="U37">
        <v>233470236</v>
      </c>
      <c r="V37" t="s">
        <v>260</v>
      </c>
      <c r="W37" t="s">
        <v>56</v>
      </c>
      <c r="X37" t="s">
        <v>72</v>
      </c>
      <c r="Y37" t="s">
        <v>51</v>
      </c>
      <c r="Z37">
        <v>1696</v>
      </c>
      <c r="AH37">
        <v>0</v>
      </c>
      <c r="AI37">
        <v>202504</v>
      </c>
      <c r="AJ37" t="s">
        <v>177</v>
      </c>
      <c r="AK37">
        <v>1</v>
      </c>
      <c r="AL37">
        <v>1</v>
      </c>
      <c r="AM37">
        <v>4247777</v>
      </c>
      <c r="AN37">
        <v>1</v>
      </c>
      <c r="AO37">
        <v>0</v>
      </c>
      <c r="AP37">
        <v>463</v>
      </c>
      <c r="AQ37">
        <v>430</v>
      </c>
      <c r="AR37">
        <v>430463</v>
      </c>
      <c r="AS37" t="s">
        <v>61</v>
      </c>
      <c r="AU37" t="s">
        <v>61</v>
      </c>
      <c r="AV37">
        <v>85050</v>
      </c>
      <c r="AW37">
        <v>89030</v>
      </c>
      <c r="AX37">
        <v>91669.203999999998</v>
      </c>
      <c r="AY37">
        <v>93087.394</v>
      </c>
      <c r="AZ37">
        <v>94164.18</v>
      </c>
      <c r="BA37">
        <v>96798.05</v>
      </c>
      <c r="BB37">
        <v>100000</v>
      </c>
      <c r="BC37">
        <v>100000</v>
      </c>
      <c r="BD37">
        <v>101589.726</v>
      </c>
      <c r="BE37">
        <v>106295.712</v>
      </c>
      <c r="BF37">
        <v>110193.28</v>
      </c>
      <c r="BG37">
        <v>119645.424</v>
      </c>
      <c r="BH37">
        <v>127698</v>
      </c>
      <c r="BI37">
        <v>137713.79399999999</v>
      </c>
      <c r="BJ37">
        <v>139806</v>
      </c>
      <c r="BK37">
        <v>150000</v>
      </c>
      <c r="BL37">
        <v>161820.22</v>
      </c>
      <c r="BM37">
        <v>190199.99999999991</v>
      </c>
      <c r="BN37">
        <v>213800</v>
      </c>
      <c r="BO37">
        <v>259913.9999999998</v>
      </c>
      <c r="BP37">
        <v>440000</v>
      </c>
      <c r="BQ37">
        <v>1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 x14ac:dyDescent="0.35">
      <c r="A38">
        <v>337578</v>
      </c>
      <c r="B38" t="s">
        <v>388</v>
      </c>
      <c r="C38" t="s">
        <v>389</v>
      </c>
      <c r="D38" s="1">
        <v>45776</v>
      </c>
      <c r="E38">
        <v>53850</v>
      </c>
      <c r="F38">
        <v>171</v>
      </c>
      <c r="G38" t="s">
        <v>70</v>
      </c>
      <c r="H38" t="s">
        <v>48</v>
      </c>
      <c r="I38" t="s">
        <v>49</v>
      </c>
      <c r="K38" t="s">
        <v>278</v>
      </c>
      <c r="L38">
        <v>1713302214147</v>
      </c>
      <c r="M38">
        <v>20250428</v>
      </c>
      <c r="N38" t="s">
        <v>253</v>
      </c>
      <c r="Q38" t="s">
        <v>58</v>
      </c>
      <c r="R38">
        <v>125250.24000000001</v>
      </c>
      <c r="S38">
        <v>125250.24000000001</v>
      </c>
      <c r="T38">
        <v>4199319</v>
      </c>
      <c r="U38">
        <v>6037810725</v>
      </c>
      <c r="V38" t="s">
        <v>269</v>
      </c>
      <c r="W38" t="s">
        <v>56</v>
      </c>
      <c r="X38" t="s">
        <v>258</v>
      </c>
      <c r="Y38" t="s">
        <v>51</v>
      </c>
      <c r="Z38">
        <v>1903</v>
      </c>
      <c r="AH38">
        <v>0</v>
      </c>
      <c r="AI38">
        <v>202504</v>
      </c>
      <c r="AJ38" t="s">
        <v>63</v>
      </c>
      <c r="AK38">
        <v>0</v>
      </c>
      <c r="AL38">
        <v>1</v>
      </c>
      <c r="AM38">
        <v>4199319</v>
      </c>
      <c r="AN38">
        <v>1</v>
      </c>
      <c r="AO38">
        <v>0</v>
      </c>
      <c r="AP38">
        <v>999</v>
      </c>
      <c r="AQ38">
        <v>430</v>
      </c>
      <c r="AR38">
        <v>430999</v>
      </c>
      <c r="AT38">
        <v>1</v>
      </c>
      <c r="AU38" t="s">
        <v>57</v>
      </c>
      <c r="AV38">
        <v>101552.46</v>
      </c>
      <c r="AW38">
        <v>114647.6485</v>
      </c>
      <c r="AX38">
        <v>118167.008</v>
      </c>
      <c r="AY38">
        <v>123559.05899999999</v>
      </c>
      <c r="AZ38">
        <v>128796.368</v>
      </c>
      <c r="BA38">
        <v>130000</v>
      </c>
      <c r="BB38">
        <v>135819.11300000001</v>
      </c>
      <c r="BC38">
        <v>145008.255</v>
      </c>
      <c r="BD38">
        <v>146226.546</v>
      </c>
      <c r="BE38">
        <v>148171.67300000001</v>
      </c>
      <c r="BF38">
        <v>156533.16500000001</v>
      </c>
      <c r="BG38">
        <v>167340.8915</v>
      </c>
      <c r="BH38">
        <v>179808.78</v>
      </c>
      <c r="BI38">
        <v>187222.14799999999</v>
      </c>
      <c r="BJ38">
        <v>206328.26500000001</v>
      </c>
      <c r="BK38">
        <v>220390.6225</v>
      </c>
      <c r="BL38">
        <v>239280.00000000009</v>
      </c>
      <c r="BM38">
        <v>298738.61</v>
      </c>
      <c r="BN38">
        <v>365407.64500000002</v>
      </c>
      <c r="BO38">
        <v>399465.49400000001</v>
      </c>
      <c r="BP38">
        <v>515709.15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 x14ac:dyDescent="0.35">
      <c r="A39">
        <v>337575</v>
      </c>
      <c r="B39" t="s">
        <v>388</v>
      </c>
      <c r="C39" t="s">
        <v>389</v>
      </c>
      <c r="D39" s="1">
        <v>45776</v>
      </c>
      <c r="E39">
        <v>53850</v>
      </c>
      <c r="F39">
        <v>128</v>
      </c>
      <c r="G39" t="s">
        <v>274</v>
      </c>
      <c r="H39" t="s">
        <v>48</v>
      </c>
      <c r="I39" t="s">
        <v>49</v>
      </c>
      <c r="K39" t="s">
        <v>278</v>
      </c>
      <c r="L39">
        <v>1283300001665</v>
      </c>
      <c r="M39">
        <v>20250428</v>
      </c>
      <c r="N39" t="s">
        <v>262</v>
      </c>
      <c r="Q39" t="s">
        <v>58</v>
      </c>
      <c r="R39">
        <v>117381.44</v>
      </c>
      <c r="S39">
        <v>2070</v>
      </c>
      <c r="T39">
        <v>4254896</v>
      </c>
      <c r="U39">
        <v>6234730726</v>
      </c>
      <c r="V39" t="s">
        <v>410</v>
      </c>
      <c r="W39" t="s">
        <v>56</v>
      </c>
      <c r="X39" t="s">
        <v>411</v>
      </c>
      <c r="Y39" t="s">
        <v>51</v>
      </c>
      <c r="Z39">
        <v>1919</v>
      </c>
      <c r="AH39">
        <v>0</v>
      </c>
      <c r="AI39">
        <v>202504</v>
      </c>
      <c r="AJ39" t="s">
        <v>63</v>
      </c>
      <c r="AK39">
        <v>0</v>
      </c>
      <c r="AL39">
        <v>1</v>
      </c>
      <c r="AO39">
        <v>1</v>
      </c>
      <c r="AP39">
        <v>999</v>
      </c>
      <c r="AQ39">
        <v>430</v>
      </c>
      <c r="AR39">
        <v>430999</v>
      </c>
      <c r="AT39">
        <v>1</v>
      </c>
      <c r="AU39" t="s">
        <v>57</v>
      </c>
      <c r="AV39">
        <v>101552.46</v>
      </c>
      <c r="AW39">
        <v>114647.6485</v>
      </c>
      <c r="AX39">
        <v>118167.008</v>
      </c>
      <c r="AY39">
        <v>123559.05899999999</v>
      </c>
      <c r="AZ39">
        <v>128796.368</v>
      </c>
      <c r="BA39">
        <v>130000</v>
      </c>
      <c r="BB39">
        <v>135819.11300000001</v>
      </c>
      <c r="BC39">
        <v>145008.255</v>
      </c>
      <c r="BD39">
        <v>146226.546</v>
      </c>
      <c r="BE39">
        <v>148171.67300000001</v>
      </c>
      <c r="BF39">
        <v>156533.16500000001</v>
      </c>
      <c r="BG39">
        <v>167340.8915</v>
      </c>
      <c r="BH39">
        <v>179808.78</v>
      </c>
      <c r="BI39">
        <v>187222.14799999999</v>
      </c>
      <c r="BJ39">
        <v>206328.26500000001</v>
      </c>
      <c r="BK39">
        <v>220390.6225</v>
      </c>
      <c r="BL39">
        <v>239280.00000000009</v>
      </c>
      <c r="BM39">
        <v>298738.61</v>
      </c>
      <c r="BN39">
        <v>365407.64500000002</v>
      </c>
      <c r="BO39">
        <v>399465.49400000001</v>
      </c>
      <c r="BP39">
        <v>515709.15</v>
      </c>
      <c r="BQ39">
        <v>1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 x14ac:dyDescent="0.35">
      <c r="A40">
        <v>337571</v>
      </c>
      <c r="B40" t="s">
        <v>388</v>
      </c>
      <c r="C40" t="s">
        <v>389</v>
      </c>
      <c r="D40" s="1">
        <v>45776</v>
      </c>
      <c r="E40">
        <v>53850</v>
      </c>
      <c r="F40">
        <v>116</v>
      </c>
      <c r="G40" t="s">
        <v>259</v>
      </c>
      <c r="H40" t="s">
        <v>48</v>
      </c>
      <c r="I40" t="s">
        <v>49</v>
      </c>
      <c r="K40" t="s">
        <v>278</v>
      </c>
      <c r="L40">
        <v>1163307623465</v>
      </c>
      <c r="M40">
        <v>20250428</v>
      </c>
      <c r="N40" t="s">
        <v>262</v>
      </c>
      <c r="Q40" t="s">
        <v>58</v>
      </c>
      <c r="R40">
        <v>140000</v>
      </c>
      <c r="S40">
        <v>0</v>
      </c>
      <c r="T40">
        <v>3738297</v>
      </c>
      <c r="U40">
        <v>8684570727</v>
      </c>
      <c r="V40" t="s">
        <v>438</v>
      </c>
      <c r="W40" t="s">
        <v>56</v>
      </c>
      <c r="X40" t="s">
        <v>62</v>
      </c>
      <c r="Y40" t="s">
        <v>51</v>
      </c>
      <c r="Z40">
        <v>739</v>
      </c>
      <c r="AH40">
        <v>0</v>
      </c>
      <c r="AI40">
        <v>202504</v>
      </c>
      <c r="AJ40" t="s">
        <v>168</v>
      </c>
      <c r="AK40">
        <v>1</v>
      </c>
      <c r="AL40">
        <v>1</v>
      </c>
      <c r="AO40">
        <v>1</v>
      </c>
      <c r="AP40">
        <v>412</v>
      </c>
      <c r="AQ40">
        <v>430</v>
      </c>
      <c r="AR40">
        <v>430412</v>
      </c>
      <c r="AS40" t="s">
        <v>61</v>
      </c>
      <c r="AU40" t="s">
        <v>61</v>
      </c>
      <c r="AV40">
        <v>85050</v>
      </c>
      <c r="AW40">
        <v>89030</v>
      </c>
      <c r="AX40">
        <v>91669.203999999998</v>
      </c>
      <c r="AY40">
        <v>93087.394</v>
      </c>
      <c r="AZ40">
        <v>94164.18</v>
      </c>
      <c r="BA40">
        <v>96798.05</v>
      </c>
      <c r="BB40">
        <v>100000</v>
      </c>
      <c r="BC40">
        <v>100000</v>
      </c>
      <c r="BD40">
        <v>101589.726</v>
      </c>
      <c r="BE40">
        <v>106295.712</v>
      </c>
      <c r="BF40">
        <v>110193.28</v>
      </c>
      <c r="BG40">
        <v>119645.424</v>
      </c>
      <c r="BH40">
        <v>127698</v>
      </c>
      <c r="BI40">
        <v>137713.79399999999</v>
      </c>
      <c r="BJ40">
        <v>139806</v>
      </c>
      <c r="BK40">
        <v>150000</v>
      </c>
      <c r="BL40">
        <v>161820.22</v>
      </c>
      <c r="BM40">
        <v>190199.99999999991</v>
      </c>
      <c r="BN40">
        <v>213800</v>
      </c>
      <c r="BO40">
        <v>259913.9999999998</v>
      </c>
      <c r="BP40">
        <v>440000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 x14ac:dyDescent="0.35">
      <c r="A41">
        <v>337550</v>
      </c>
      <c r="B41" t="s">
        <v>388</v>
      </c>
      <c r="C41" t="s">
        <v>389</v>
      </c>
      <c r="D41" s="1">
        <v>45776</v>
      </c>
      <c r="E41">
        <v>53850</v>
      </c>
      <c r="F41">
        <v>170</v>
      </c>
      <c r="G41" t="s">
        <v>82</v>
      </c>
      <c r="H41" t="s">
        <v>48</v>
      </c>
      <c r="I41" t="s">
        <v>49</v>
      </c>
      <c r="K41">
        <v>202504287931605</v>
      </c>
      <c r="L41">
        <v>1703306290965</v>
      </c>
      <c r="M41">
        <v>20250428</v>
      </c>
      <c r="N41" t="s">
        <v>400</v>
      </c>
      <c r="Q41" t="s">
        <v>58</v>
      </c>
      <c r="R41">
        <v>172400</v>
      </c>
      <c r="S41">
        <v>0</v>
      </c>
      <c r="T41">
        <v>3734846</v>
      </c>
      <c r="U41">
        <v>8512530729</v>
      </c>
      <c r="V41" t="s">
        <v>439</v>
      </c>
      <c r="W41" t="s">
        <v>56</v>
      </c>
      <c r="X41" t="s">
        <v>62</v>
      </c>
      <c r="Y41" t="s">
        <v>51</v>
      </c>
      <c r="Z41">
        <v>1920</v>
      </c>
      <c r="AH41">
        <v>0</v>
      </c>
      <c r="AI41">
        <v>202504</v>
      </c>
      <c r="AJ41" t="s">
        <v>168</v>
      </c>
      <c r="AK41">
        <v>1</v>
      </c>
      <c r="AL41">
        <v>1</v>
      </c>
      <c r="AO41">
        <v>0</v>
      </c>
      <c r="AP41">
        <v>412</v>
      </c>
      <c r="AQ41">
        <v>430</v>
      </c>
      <c r="AR41">
        <v>430412</v>
      </c>
      <c r="AS41" t="s">
        <v>61</v>
      </c>
      <c r="AU41" t="s">
        <v>61</v>
      </c>
      <c r="AV41">
        <v>85050</v>
      </c>
      <c r="AW41">
        <v>89030</v>
      </c>
      <c r="AX41">
        <v>91669.203999999998</v>
      </c>
      <c r="AY41">
        <v>93087.394</v>
      </c>
      <c r="AZ41">
        <v>94164.18</v>
      </c>
      <c r="BA41">
        <v>96798.05</v>
      </c>
      <c r="BB41">
        <v>100000</v>
      </c>
      <c r="BC41">
        <v>100000</v>
      </c>
      <c r="BD41">
        <v>101589.726</v>
      </c>
      <c r="BE41">
        <v>106295.712</v>
      </c>
      <c r="BF41">
        <v>110193.28</v>
      </c>
      <c r="BG41">
        <v>119645.424</v>
      </c>
      <c r="BH41">
        <v>127698</v>
      </c>
      <c r="BI41">
        <v>137713.79399999999</v>
      </c>
      <c r="BJ41">
        <v>139806</v>
      </c>
      <c r="BK41">
        <v>150000</v>
      </c>
      <c r="BL41">
        <v>161820.22</v>
      </c>
      <c r="BM41">
        <v>190199.99999999991</v>
      </c>
      <c r="BN41">
        <v>213800</v>
      </c>
      <c r="BO41">
        <v>259913.9999999998</v>
      </c>
      <c r="BP41">
        <v>440000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0</v>
      </c>
      <c r="CI41">
        <v>0</v>
      </c>
      <c r="CJ41">
        <v>0</v>
      </c>
      <c r="CK41">
        <v>0</v>
      </c>
    </row>
    <row r="42" spans="1:89" x14ac:dyDescent="0.35">
      <c r="A42">
        <v>337549</v>
      </c>
      <c r="B42" t="s">
        <v>388</v>
      </c>
      <c r="C42" t="s">
        <v>389</v>
      </c>
      <c r="D42" s="1">
        <v>45776</v>
      </c>
      <c r="E42">
        <v>53850</v>
      </c>
      <c r="F42">
        <v>129</v>
      </c>
      <c r="G42" t="s">
        <v>283</v>
      </c>
      <c r="H42" t="s">
        <v>48</v>
      </c>
      <c r="I42" t="s">
        <v>49</v>
      </c>
      <c r="K42">
        <v>202504287931405</v>
      </c>
      <c r="L42">
        <v>2343300010453</v>
      </c>
      <c r="M42">
        <v>20250428</v>
      </c>
      <c r="N42" t="s">
        <v>392</v>
      </c>
      <c r="Q42" t="s">
        <v>58</v>
      </c>
      <c r="R42">
        <v>89149.25</v>
      </c>
      <c r="S42">
        <v>0</v>
      </c>
      <c r="T42">
        <v>4247777</v>
      </c>
      <c r="U42">
        <v>233470236</v>
      </c>
      <c r="V42" t="s">
        <v>260</v>
      </c>
      <c r="W42" t="s">
        <v>56</v>
      </c>
      <c r="X42" t="s">
        <v>72</v>
      </c>
      <c r="Y42" t="s">
        <v>51</v>
      </c>
      <c r="Z42">
        <v>1696</v>
      </c>
      <c r="AH42">
        <v>0</v>
      </c>
      <c r="AI42">
        <v>202504</v>
      </c>
      <c r="AJ42" t="s">
        <v>177</v>
      </c>
      <c r="AK42">
        <v>1</v>
      </c>
      <c r="AL42">
        <v>1</v>
      </c>
      <c r="AM42">
        <v>4247777</v>
      </c>
      <c r="AN42">
        <v>1</v>
      </c>
      <c r="AO42">
        <v>0</v>
      </c>
      <c r="AP42">
        <v>463</v>
      </c>
      <c r="AQ42">
        <v>430</v>
      </c>
      <c r="AR42">
        <v>430463</v>
      </c>
      <c r="AS42" t="s">
        <v>61</v>
      </c>
      <c r="AU42" t="s">
        <v>61</v>
      </c>
      <c r="AV42">
        <v>85050</v>
      </c>
      <c r="AW42">
        <v>89030</v>
      </c>
      <c r="AX42">
        <v>91669.203999999998</v>
      </c>
      <c r="AY42">
        <v>93087.394</v>
      </c>
      <c r="AZ42">
        <v>94164.18</v>
      </c>
      <c r="BA42">
        <v>96798.05</v>
      </c>
      <c r="BB42">
        <v>100000</v>
      </c>
      <c r="BC42">
        <v>100000</v>
      </c>
      <c r="BD42">
        <v>101589.726</v>
      </c>
      <c r="BE42">
        <v>106295.712</v>
      </c>
      <c r="BF42">
        <v>110193.28</v>
      </c>
      <c r="BG42">
        <v>119645.424</v>
      </c>
      <c r="BH42">
        <v>127698</v>
      </c>
      <c r="BI42">
        <v>137713.79399999999</v>
      </c>
      <c r="BJ42">
        <v>139806</v>
      </c>
      <c r="BK42">
        <v>150000</v>
      </c>
      <c r="BL42">
        <v>161820.22</v>
      </c>
      <c r="BM42">
        <v>190199.99999999991</v>
      </c>
      <c r="BN42">
        <v>213800</v>
      </c>
      <c r="BO42">
        <v>259913.9999999998</v>
      </c>
      <c r="BP42">
        <v>440000</v>
      </c>
      <c r="BQ42">
        <v>1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 x14ac:dyDescent="0.35">
      <c r="A43">
        <v>337548</v>
      </c>
      <c r="B43" t="s">
        <v>388</v>
      </c>
      <c r="C43" t="s">
        <v>389</v>
      </c>
      <c r="D43" s="1">
        <v>45776</v>
      </c>
      <c r="E43">
        <v>53850</v>
      </c>
      <c r="F43">
        <v>161</v>
      </c>
      <c r="G43" t="s">
        <v>95</v>
      </c>
      <c r="H43" t="s">
        <v>48</v>
      </c>
      <c r="I43" t="s">
        <v>49</v>
      </c>
      <c r="K43" t="s">
        <v>278</v>
      </c>
      <c r="L43">
        <v>1613300029653</v>
      </c>
      <c r="M43">
        <v>20250428</v>
      </c>
      <c r="N43" t="s">
        <v>262</v>
      </c>
      <c r="Q43" t="s">
        <v>58</v>
      </c>
      <c r="R43">
        <v>79891.56</v>
      </c>
      <c r="S43">
        <v>10100</v>
      </c>
      <c r="T43">
        <v>4088769</v>
      </c>
      <c r="U43">
        <v>5150120722</v>
      </c>
      <c r="V43" t="s">
        <v>407</v>
      </c>
      <c r="W43" t="s">
        <v>56</v>
      </c>
      <c r="X43" t="s">
        <v>78</v>
      </c>
      <c r="Y43" t="s">
        <v>51</v>
      </c>
      <c r="Z43">
        <v>1903</v>
      </c>
      <c r="AH43">
        <v>0</v>
      </c>
      <c r="AI43">
        <v>202504</v>
      </c>
      <c r="AJ43" t="s">
        <v>63</v>
      </c>
      <c r="AK43">
        <v>0</v>
      </c>
      <c r="AL43">
        <v>1</v>
      </c>
      <c r="AM43">
        <v>4088769</v>
      </c>
      <c r="AN43">
        <v>1</v>
      </c>
      <c r="AO43">
        <v>1</v>
      </c>
      <c r="AP43">
        <v>464</v>
      </c>
      <c r="AQ43">
        <v>430</v>
      </c>
      <c r="AR43">
        <v>430464</v>
      </c>
      <c r="AS43" t="s">
        <v>79</v>
      </c>
      <c r="AU43" t="s">
        <v>79</v>
      </c>
      <c r="AV43">
        <v>76382.789999999994</v>
      </c>
      <c r="AW43">
        <v>79891.56</v>
      </c>
      <c r="AX43">
        <v>79937.08</v>
      </c>
      <c r="AY43">
        <v>88865.89</v>
      </c>
      <c r="AZ43">
        <v>94634.78</v>
      </c>
      <c r="BA43">
        <v>97229.53</v>
      </c>
      <c r="BB43">
        <v>98360.01</v>
      </c>
      <c r="BC43">
        <v>100000</v>
      </c>
      <c r="BD43">
        <v>104738.68</v>
      </c>
      <c r="BE43">
        <v>108176.82</v>
      </c>
      <c r="BF43">
        <v>110891.36</v>
      </c>
      <c r="BG43">
        <v>115427.47</v>
      </c>
      <c r="BH43">
        <v>118009.65</v>
      </c>
      <c r="BI43">
        <v>136718.03</v>
      </c>
      <c r="BJ43">
        <v>148758.49</v>
      </c>
      <c r="BK43">
        <v>182944.14</v>
      </c>
      <c r="BL43">
        <v>217448.27</v>
      </c>
      <c r="BM43">
        <v>222704.65</v>
      </c>
      <c r="BN43">
        <v>225130.1</v>
      </c>
      <c r="BO43">
        <v>259946.2</v>
      </c>
      <c r="BP43">
        <v>270019.89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 x14ac:dyDescent="0.35">
      <c r="A44">
        <v>337547</v>
      </c>
      <c r="B44" t="s">
        <v>388</v>
      </c>
      <c r="C44" t="s">
        <v>389</v>
      </c>
      <c r="D44" s="1">
        <v>45776</v>
      </c>
      <c r="E44">
        <v>53850</v>
      </c>
      <c r="F44">
        <v>175</v>
      </c>
      <c r="G44" t="s">
        <v>65</v>
      </c>
      <c r="H44" t="s">
        <v>48</v>
      </c>
      <c r="I44" t="s">
        <v>49</v>
      </c>
      <c r="K44" t="s">
        <v>278</v>
      </c>
      <c r="L44">
        <v>1753302203127</v>
      </c>
      <c r="M44">
        <v>20250428</v>
      </c>
      <c r="N44" t="s">
        <v>262</v>
      </c>
      <c r="Q44" t="s">
        <v>58</v>
      </c>
      <c r="R44">
        <v>115615.55</v>
      </c>
      <c r="S44">
        <v>47710</v>
      </c>
      <c r="T44">
        <v>4160138</v>
      </c>
      <c r="U44">
        <v>484200779</v>
      </c>
      <c r="V44" t="s">
        <v>279</v>
      </c>
      <c r="W44" t="s">
        <v>56</v>
      </c>
      <c r="X44" t="s">
        <v>280</v>
      </c>
      <c r="Y44" t="s">
        <v>51</v>
      </c>
      <c r="Z44">
        <v>739</v>
      </c>
      <c r="AH44">
        <v>0</v>
      </c>
      <c r="AI44">
        <v>202504</v>
      </c>
      <c r="AJ44" t="s">
        <v>168</v>
      </c>
      <c r="AK44">
        <v>1</v>
      </c>
      <c r="AL44">
        <v>1</v>
      </c>
      <c r="AM44">
        <v>4160138</v>
      </c>
      <c r="AN44">
        <v>1</v>
      </c>
      <c r="AO44">
        <v>1</v>
      </c>
      <c r="AP44">
        <v>999</v>
      </c>
      <c r="AQ44">
        <v>430</v>
      </c>
      <c r="AR44">
        <v>430999</v>
      </c>
      <c r="AT44">
        <v>1</v>
      </c>
      <c r="AU44" t="s">
        <v>57</v>
      </c>
      <c r="AV44">
        <v>101552.46</v>
      </c>
      <c r="AW44">
        <v>114647.6485</v>
      </c>
      <c r="AX44">
        <v>118167.008</v>
      </c>
      <c r="AY44">
        <v>123559.05899999999</v>
      </c>
      <c r="AZ44">
        <v>128796.368</v>
      </c>
      <c r="BA44">
        <v>130000</v>
      </c>
      <c r="BB44">
        <v>135819.11300000001</v>
      </c>
      <c r="BC44">
        <v>145008.255</v>
      </c>
      <c r="BD44">
        <v>146226.546</v>
      </c>
      <c r="BE44">
        <v>148171.67300000001</v>
      </c>
      <c r="BF44">
        <v>156533.16500000001</v>
      </c>
      <c r="BG44">
        <v>167340.8915</v>
      </c>
      <c r="BH44">
        <v>179808.78</v>
      </c>
      <c r="BI44">
        <v>187222.14799999999</v>
      </c>
      <c r="BJ44">
        <v>206328.26500000001</v>
      </c>
      <c r="BK44">
        <v>220390.6225</v>
      </c>
      <c r="BL44">
        <v>239280.00000000009</v>
      </c>
      <c r="BM44">
        <v>298738.61</v>
      </c>
      <c r="BN44">
        <v>365407.64500000002</v>
      </c>
      <c r="BO44">
        <v>399465.49400000001</v>
      </c>
      <c r="BP44">
        <v>515709.15</v>
      </c>
      <c r="BQ44">
        <v>1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 x14ac:dyDescent="0.35">
      <c r="A45">
        <v>337541</v>
      </c>
      <c r="B45" t="s">
        <v>388</v>
      </c>
      <c r="C45" t="s">
        <v>389</v>
      </c>
      <c r="D45" s="1">
        <v>45772</v>
      </c>
      <c r="E45">
        <v>53850</v>
      </c>
      <c r="F45">
        <v>109</v>
      </c>
      <c r="G45" t="s">
        <v>68</v>
      </c>
      <c r="H45" t="s">
        <v>48</v>
      </c>
      <c r="I45" t="s">
        <v>49</v>
      </c>
      <c r="K45" t="s">
        <v>291</v>
      </c>
      <c r="L45">
        <v>1093306677188</v>
      </c>
      <c r="M45">
        <v>20250424</v>
      </c>
      <c r="N45" t="s">
        <v>400</v>
      </c>
      <c r="Q45" t="s">
        <v>58</v>
      </c>
      <c r="R45">
        <v>224800</v>
      </c>
      <c r="S45">
        <v>0</v>
      </c>
      <c r="T45">
        <v>3724794</v>
      </c>
      <c r="U45">
        <v>6790530726</v>
      </c>
      <c r="V45" t="s">
        <v>440</v>
      </c>
      <c r="W45" t="s">
        <v>56</v>
      </c>
      <c r="X45" t="s">
        <v>62</v>
      </c>
      <c r="Y45" t="s">
        <v>51</v>
      </c>
      <c r="Z45">
        <v>502</v>
      </c>
      <c r="AH45">
        <v>0</v>
      </c>
      <c r="AI45">
        <v>202504</v>
      </c>
      <c r="AJ45" t="s">
        <v>168</v>
      </c>
      <c r="AK45">
        <v>1</v>
      </c>
      <c r="AL45">
        <v>1</v>
      </c>
      <c r="AO45">
        <v>0</v>
      </c>
      <c r="AP45">
        <v>412</v>
      </c>
      <c r="AQ45">
        <v>430</v>
      </c>
      <c r="AR45">
        <v>430412</v>
      </c>
      <c r="AS45" t="s">
        <v>61</v>
      </c>
      <c r="AU45" t="s">
        <v>61</v>
      </c>
      <c r="AV45">
        <v>85050</v>
      </c>
      <c r="AW45">
        <v>89030</v>
      </c>
      <c r="AX45">
        <v>91669.203999999998</v>
      </c>
      <c r="AY45">
        <v>93087.394</v>
      </c>
      <c r="AZ45">
        <v>94164.18</v>
      </c>
      <c r="BA45">
        <v>96798.05</v>
      </c>
      <c r="BB45">
        <v>100000</v>
      </c>
      <c r="BC45">
        <v>100000</v>
      </c>
      <c r="BD45">
        <v>101589.726</v>
      </c>
      <c r="BE45">
        <v>106295.712</v>
      </c>
      <c r="BF45">
        <v>110193.28</v>
      </c>
      <c r="BG45">
        <v>119645.424</v>
      </c>
      <c r="BH45">
        <v>127698</v>
      </c>
      <c r="BI45">
        <v>137713.79399999999</v>
      </c>
      <c r="BJ45">
        <v>139806</v>
      </c>
      <c r="BK45">
        <v>150000</v>
      </c>
      <c r="BL45">
        <v>161820.22</v>
      </c>
      <c r="BM45">
        <v>190199.99999999991</v>
      </c>
      <c r="BN45">
        <v>213800</v>
      </c>
      <c r="BO45">
        <v>259913.9999999998</v>
      </c>
      <c r="BP45">
        <v>440000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0</v>
      </c>
      <c r="CK45">
        <v>0</v>
      </c>
    </row>
    <row r="46" spans="1:89" x14ac:dyDescent="0.35">
      <c r="A46">
        <v>337539</v>
      </c>
      <c r="B46" t="s">
        <v>388</v>
      </c>
      <c r="C46" t="s">
        <v>389</v>
      </c>
      <c r="D46" s="1">
        <v>45772</v>
      </c>
      <c r="E46">
        <v>53850</v>
      </c>
      <c r="F46">
        <v>108</v>
      </c>
      <c r="G46" t="s">
        <v>89</v>
      </c>
      <c r="H46" t="s">
        <v>48</v>
      </c>
      <c r="I46" t="s">
        <v>49</v>
      </c>
      <c r="K46" t="s">
        <v>291</v>
      </c>
      <c r="L46">
        <v>1083300011180</v>
      </c>
      <c r="M46">
        <v>20250424</v>
      </c>
      <c r="N46" t="s">
        <v>262</v>
      </c>
      <c r="Q46" t="s">
        <v>58</v>
      </c>
      <c r="R46">
        <v>170925.18</v>
      </c>
      <c r="S46">
        <v>0</v>
      </c>
      <c r="T46">
        <v>1118</v>
      </c>
      <c r="U46">
        <v>3246700722</v>
      </c>
      <c r="V46" t="s">
        <v>416</v>
      </c>
      <c r="W46" t="s">
        <v>56</v>
      </c>
      <c r="X46" t="s">
        <v>411</v>
      </c>
      <c r="Y46" t="s">
        <v>51</v>
      </c>
      <c r="Z46">
        <v>1058</v>
      </c>
      <c r="AH46">
        <v>0</v>
      </c>
      <c r="AI46">
        <v>202504</v>
      </c>
      <c r="AJ46" t="s">
        <v>54</v>
      </c>
      <c r="AK46">
        <v>0</v>
      </c>
      <c r="AL46">
        <v>1</v>
      </c>
      <c r="AO46">
        <v>1</v>
      </c>
      <c r="AP46">
        <v>999</v>
      </c>
      <c r="AQ46">
        <v>430</v>
      </c>
      <c r="AR46">
        <v>430999</v>
      </c>
      <c r="AT46">
        <v>1</v>
      </c>
      <c r="AU46" t="s">
        <v>57</v>
      </c>
      <c r="AV46">
        <v>101552.46</v>
      </c>
      <c r="AW46">
        <v>114647.6485</v>
      </c>
      <c r="AX46">
        <v>118167.008</v>
      </c>
      <c r="AY46">
        <v>123559.05899999999</v>
      </c>
      <c r="AZ46">
        <v>128796.368</v>
      </c>
      <c r="BA46">
        <v>130000</v>
      </c>
      <c r="BB46">
        <v>135819.11300000001</v>
      </c>
      <c r="BC46">
        <v>145008.255</v>
      </c>
      <c r="BD46">
        <v>146226.546</v>
      </c>
      <c r="BE46">
        <v>148171.67300000001</v>
      </c>
      <c r="BF46">
        <v>156533.16500000001</v>
      </c>
      <c r="BG46">
        <v>167340.8915</v>
      </c>
      <c r="BH46">
        <v>179808.78</v>
      </c>
      <c r="BI46">
        <v>187222.14799999999</v>
      </c>
      <c r="BJ46">
        <v>206328.26500000001</v>
      </c>
      <c r="BK46">
        <v>220390.6225</v>
      </c>
      <c r="BL46">
        <v>239280.00000000009</v>
      </c>
      <c r="BM46">
        <v>298738.61</v>
      </c>
      <c r="BN46">
        <v>365407.64500000002</v>
      </c>
      <c r="BO46">
        <v>399465.49400000001</v>
      </c>
      <c r="BP46">
        <v>515709.15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 x14ac:dyDescent="0.35">
      <c r="A47">
        <v>337538</v>
      </c>
      <c r="B47" t="s">
        <v>388</v>
      </c>
      <c r="C47" t="s">
        <v>389</v>
      </c>
      <c r="D47" s="1">
        <v>45772</v>
      </c>
      <c r="E47">
        <v>53850</v>
      </c>
      <c r="F47">
        <v>171</v>
      </c>
      <c r="G47" t="s">
        <v>70</v>
      </c>
      <c r="H47" t="s">
        <v>48</v>
      </c>
      <c r="I47" t="s">
        <v>49</v>
      </c>
      <c r="K47" t="s">
        <v>291</v>
      </c>
      <c r="L47">
        <v>1713302214147</v>
      </c>
      <c r="M47">
        <v>20250424</v>
      </c>
      <c r="N47" t="s">
        <v>253</v>
      </c>
      <c r="Q47" t="s">
        <v>58</v>
      </c>
      <c r="R47">
        <v>219015</v>
      </c>
      <c r="S47">
        <v>219015</v>
      </c>
      <c r="T47">
        <v>4199319</v>
      </c>
      <c r="U47">
        <v>6037810725</v>
      </c>
      <c r="V47" t="s">
        <v>269</v>
      </c>
      <c r="W47" t="s">
        <v>56</v>
      </c>
      <c r="X47" t="s">
        <v>258</v>
      </c>
      <c r="Y47" t="s">
        <v>51</v>
      </c>
      <c r="Z47">
        <v>1903</v>
      </c>
      <c r="AH47">
        <v>0</v>
      </c>
      <c r="AI47">
        <v>202504</v>
      </c>
      <c r="AJ47" t="s">
        <v>63</v>
      </c>
      <c r="AK47">
        <v>0</v>
      </c>
      <c r="AL47">
        <v>1</v>
      </c>
      <c r="AM47">
        <v>4199319</v>
      </c>
      <c r="AN47">
        <v>1</v>
      </c>
      <c r="AO47">
        <v>0</v>
      </c>
      <c r="AP47">
        <v>999</v>
      </c>
      <c r="AQ47">
        <v>430</v>
      </c>
      <c r="AR47">
        <v>430999</v>
      </c>
      <c r="AT47">
        <v>1</v>
      </c>
      <c r="AU47" t="s">
        <v>57</v>
      </c>
      <c r="AV47">
        <v>101552.46</v>
      </c>
      <c r="AW47">
        <v>114647.6485</v>
      </c>
      <c r="AX47">
        <v>118167.008</v>
      </c>
      <c r="AY47">
        <v>123559.05899999999</v>
      </c>
      <c r="AZ47">
        <v>128796.368</v>
      </c>
      <c r="BA47">
        <v>130000</v>
      </c>
      <c r="BB47">
        <v>135819.11300000001</v>
      </c>
      <c r="BC47">
        <v>145008.255</v>
      </c>
      <c r="BD47">
        <v>146226.546</v>
      </c>
      <c r="BE47">
        <v>148171.67300000001</v>
      </c>
      <c r="BF47">
        <v>156533.16500000001</v>
      </c>
      <c r="BG47">
        <v>167340.8915</v>
      </c>
      <c r="BH47">
        <v>179808.78</v>
      </c>
      <c r="BI47">
        <v>187222.14799999999</v>
      </c>
      <c r="BJ47">
        <v>206328.26500000001</v>
      </c>
      <c r="BK47">
        <v>220390.6225</v>
      </c>
      <c r="BL47">
        <v>239280.00000000009</v>
      </c>
      <c r="BM47">
        <v>298738.61</v>
      </c>
      <c r="BN47">
        <v>365407.64500000002</v>
      </c>
      <c r="BO47">
        <v>399465.49400000001</v>
      </c>
      <c r="BP47">
        <v>515709.15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 x14ac:dyDescent="0.35">
      <c r="A48">
        <v>337513</v>
      </c>
      <c r="B48" t="s">
        <v>388</v>
      </c>
      <c r="C48" t="s">
        <v>389</v>
      </c>
      <c r="D48" s="1">
        <v>45772</v>
      </c>
      <c r="E48">
        <v>53850</v>
      </c>
      <c r="F48">
        <v>116</v>
      </c>
      <c r="G48" t="s">
        <v>259</v>
      </c>
      <c r="H48" t="s">
        <v>48</v>
      </c>
      <c r="I48" t="s">
        <v>49</v>
      </c>
      <c r="K48">
        <v>202504247924393</v>
      </c>
      <c r="L48">
        <v>2343300010453</v>
      </c>
      <c r="M48">
        <v>20250424</v>
      </c>
      <c r="N48" t="s">
        <v>253</v>
      </c>
      <c r="Q48" t="s">
        <v>58</v>
      </c>
      <c r="R48">
        <v>181575.3</v>
      </c>
      <c r="S48">
        <v>181575.3</v>
      </c>
      <c r="T48">
        <v>4247777</v>
      </c>
      <c r="U48">
        <v>233470236</v>
      </c>
      <c r="V48" t="s">
        <v>260</v>
      </c>
      <c r="W48" t="s">
        <v>56</v>
      </c>
      <c r="X48" t="s">
        <v>72</v>
      </c>
      <c r="Y48" t="s">
        <v>51</v>
      </c>
      <c r="Z48">
        <v>1696</v>
      </c>
      <c r="AH48">
        <v>0</v>
      </c>
      <c r="AI48">
        <v>202504</v>
      </c>
      <c r="AJ48" t="s">
        <v>177</v>
      </c>
      <c r="AK48">
        <v>1</v>
      </c>
      <c r="AL48">
        <v>1</v>
      </c>
      <c r="AM48">
        <v>4247777</v>
      </c>
      <c r="AN48">
        <v>1</v>
      </c>
      <c r="AO48">
        <v>0</v>
      </c>
      <c r="AP48">
        <v>463</v>
      </c>
      <c r="AQ48">
        <v>430</v>
      </c>
      <c r="AR48">
        <v>430463</v>
      </c>
      <c r="AS48" t="s">
        <v>61</v>
      </c>
      <c r="AU48" t="s">
        <v>61</v>
      </c>
      <c r="AV48">
        <v>85050</v>
      </c>
      <c r="AW48">
        <v>89030</v>
      </c>
      <c r="AX48">
        <v>91669.203999999998</v>
      </c>
      <c r="AY48">
        <v>93087.394</v>
      </c>
      <c r="AZ48">
        <v>94164.18</v>
      </c>
      <c r="BA48">
        <v>96798.05</v>
      </c>
      <c r="BB48">
        <v>100000</v>
      </c>
      <c r="BC48">
        <v>100000</v>
      </c>
      <c r="BD48">
        <v>101589.726</v>
      </c>
      <c r="BE48">
        <v>106295.712</v>
      </c>
      <c r="BF48">
        <v>110193.28</v>
      </c>
      <c r="BG48">
        <v>119645.424</v>
      </c>
      <c r="BH48">
        <v>127698</v>
      </c>
      <c r="BI48">
        <v>137713.79399999999</v>
      </c>
      <c r="BJ48">
        <v>139806</v>
      </c>
      <c r="BK48">
        <v>150000</v>
      </c>
      <c r="BL48">
        <v>161820.22</v>
      </c>
      <c r="BM48">
        <v>190199.99999999991</v>
      </c>
      <c r="BN48">
        <v>213800</v>
      </c>
      <c r="BO48">
        <v>259913.9999999998</v>
      </c>
      <c r="BP48">
        <v>440000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</row>
    <row r="49" spans="1:89" x14ac:dyDescent="0.35">
      <c r="A49">
        <v>337509</v>
      </c>
      <c r="B49" t="s">
        <v>388</v>
      </c>
      <c r="C49" t="s">
        <v>389</v>
      </c>
      <c r="D49" s="1">
        <v>45772</v>
      </c>
      <c r="E49">
        <v>53850</v>
      </c>
      <c r="F49">
        <v>171</v>
      </c>
      <c r="G49" t="s">
        <v>70</v>
      </c>
      <c r="H49" t="s">
        <v>48</v>
      </c>
      <c r="I49" t="s">
        <v>49</v>
      </c>
      <c r="K49" t="s">
        <v>291</v>
      </c>
      <c r="L49">
        <v>1713305728950</v>
      </c>
      <c r="M49">
        <v>20250424</v>
      </c>
      <c r="N49" t="s">
        <v>253</v>
      </c>
      <c r="Q49" t="s">
        <v>58</v>
      </c>
      <c r="R49">
        <v>515709.15</v>
      </c>
      <c r="S49">
        <v>515709.15</v>
      </c>
      <c r="T49">
        <v>572895</v>
      </c>
      <c r="U49">
        <v>4161600723</v>
      </c>
      <c r="V49" t="s">
        <v>257</v>
      </c>
      <c r="W49" t="s">
        <v>56</v>
      </c>
      <c r="X49" t="s">
        <v>258</v>
      </c>
      <c r="Y49" t="s">
        <v>51</v>
      </c>
      <c r="Z49">
        <v>1903</v>
      </c>
      <c r="AH49">
        <v>0</v>
      </c>
      <c r="AI49">
        <v>202504</v>
      </c>
      <c r="AJ49" t="s">
        <v>63</v>
      </c>
      <c r="AK49">
        <v>0</v>
      </c>
      <c r="AL49">
        <v>1</v>
      </c>
      <c r="AM49">
        <v>572895</v>
      </c>
      <c r="AN49">
        <v>1</v>
      </c>
      <c r="AO49">
        <v>0</v>
      </c>
      <c r="AP49">
        <v>999</v>
      </c>
      <c r="AQ49">
        <v>430</v>
      </c>
      <c r="AR49">
        <v>430999</v>
      </c>
      <c r="AT49">
        <v>1</v>
      </c>
      <c r="AU49" t="s">
        <v>57</v>
      </c>
      <c r="AV49">
        <v>101552.46</v>
      </c>
      <c r="AW49">
        <v>114647.6485</v>
      </c>
      <c r="AX49">
        <v>118167.008</v>
      </c>
      <c r="AY49">
        <v>123559.05899999999</v>
      </c>
      <c r="AZ49">
        <v>128796.368</v>
      </c>
      <c r="BA49">
        <v>130000</v>
      </c>
      <c r="BB49">
        <v>135819.11300000001</v>
      </c>
      <c r="BC49">
        <v>145008.255</v>
      </c>
      <c r="BD49">
        <v>146226.546</v>
      </c>
      <c r="BE49">
        <v>148171.67300000001</v>
      </c>
      <c r="BF49">
        <v>156533.16500000001</v>
      </c>
      <c r="BG49">
        <v>167340.8915</v>
      </c>
      <c r="BH49">
        <v>179808.78</v>
      </c>
      <c r="BI49">
        <v>187222.14799999999</v>
      </c>
      <c r="BJ49">
        <v>206328.26500000001</v>
      </c>
      <c r="BK49">
        <v>220390.6225</v>
      </c>
      <c r="BL49">
        <v>239280.00000000009</v>
      </c>
      <c r="BM49">
        <v>298738.61</v>
      </c>
      <c r="BN49">
        <v>365407.64500000002</v>
      </c>
      <c r="BO49">
        <v>399465.49400000001</v>
      </c>
      <c r="BP49">
        <v>515709.15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</row>
    <row r="50" spans="1:89" x14ac:dyDescent="0.35">
      <c r="A50">
        <v>337498</v>
      </c>
      <c r="B50" t="s">
        <v>388</v>
      </c>
      <c r="C50" t="s">
        <v>389</v>
      </c>
      <c r="D50" s="1">
        <v>45771</v>
      </c>
      <c r="E50">
        <v>53850</v>
      </c>
      <c r="F50">
        <v>116</v>
      </c>
      <c r="G50" t="s">
        <v>259</v>
      </c>
      <c r="H50" t="s">
        <v>48</v>
      </c>
      <c r="I50" t="s">
        <v>49</v>
      </c>
      <c r="K50">
        <v>202504237921281</v>
      </c>
      <c r="L50">
        <v>2343300010453</v>
      </c>
      <c r="M50">
        <v>20250423</v>
      </c>
      <c r="N50" t="s">
        <v>253</v>
      </c>
      <c r="Q50" t="s">
        <v>58</v>
      </c>
      <c r="R50">
        <v>192737.85</v>
      </c>
      <c r="S50">
        <v>192737.85</v>
      </c>
      <c r="T50">
        <v>4247777</v>
      </c>
      <c r="U50">
        <v>233470236</v>
      </c>
      <c r="V50" t="s">
        <v>260</v>
      </c>
      <c r="W50" t="s">
        <v>56</v>
      </c>
      <c r="X50" t="s">
        <v>72</v>
      </c>
      <c r="Y50" t="s">
        <v>51</v>
      </c>
      <c r="Z50">
        <v>1696</v>
      </c>
      <c r="AH50">
        <v>0</v>
      </c>
      <c r="AI50">
        <v>202504</v>
      </c>
      <c r="AJ50" t="s">
        <v>177</v>
      </c>
      <c r="AK50">
        <v>1</v>
      </c>
      <c r="AL50">
        <v>1</v>
      </c>
      <c r="AM50">
        <v>4247777</v>
      </c>
      <c r="AN50">
        <v>1</v>
      </c>
      <c r="AO50">
        <v>0</v>
      </c>
      <c r="AP50">
        <v>463</v>
      </c>
      <c r="AQ50">
        <v>430</v>
      </c>
      <c r="AR50">
        <v>430463</v>
      </c>
      <c r="AS50" t="s">
        <v>61</v>
      </c>
      <c r="AU50" t="s">
        <v>61</v>
      </c>
      <c r="AV50">
        <v>85050</v>
      </c>
      <c r="AW50">
        <v>89030</v>
      </c>
      <c r="AX50">
        <v>91669.203999999998</v>
      </c>
      <c r="AY50">
        <v>93087.394</v>
      </c>
      <c r="AZ50">
        <v>94164.18</v>
      </c>
      <c r="BA50">
        <v>96798.05</v>
      </c>
      <c r="BB50">
        <v>100000</v>
      </c>
      <c r="BC50">
        <v>100000</v>
      </c>
      <c r="BD50">
        <v>101589.726</v>
      </c>
      <c r="BE50">
        <v>106295.712</v>
      </c>
      <c r="BF50">
        <v>110193.28</v>
      </c>
      <c r="BG50">
        <v>119645.424</v>
      </c>
      <c r="BH50">
        <v>127698</v>
      </c>
      <c r="BI50">
        <v>137713.79399999999</v>
      </c>
      <c r="BJ50">
        <v>139806</v>
      </c>
      <c r="BK50">
        <v>150000</v>
      </c>
      <c r="BL50">
        <v>161820.22</v>
      </c>
      <c r="BM50">
        <v>190199.99999999991</v>
      </c>
      <c r="BN50">
        <v>213800</v>
      </c>
      <c r="BO50">
        <v>259913.9999999998</v>
      </c>
      <c r="BP50">
        <v>440000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0</v>
      </c>
      <c r="CJ50">
        <v>0</v>
      </c>
      <c r="CK50">
        <v>0</v>
      </c>
    </row>
    <row r="51" spans="1:89" x14ac:dyDescent="0.35">
      <c r="A51">
        <v>337494</v>
      </c>
      <c r="B51" t="s">
        <v>388</v>
      </c>
      <c r="C51" t="s">
        <v>389</v>
      </c>
      <c r="D51" s="1">
        <v>45771</v>
      </c>
      <c r="E51">
        <v>53850</v>
      </c>
      <c r="F51">
        <v>171</v>
      </c>
      <c r="G51" t="s">
        <v>70</v>
      </c>
      <c r="H51" t="s">
        <v>48</v>
      </c>
      <c r="I51" t="s">
        <v>49</v>
      </c>
      <c r="K51" t="s">
        <v>292</v>
      </c>
      <c r="L51">
        <v>1713305728950</v>
      </c>
      <c r="M51">
        <v>20250423</v>
      </c>
      <c r="N51" t="s">
        <v>253</v>
      </c>
      <c r="Q51" t="s">
        <v>58</v>
      </c>
      <c r="R51">
        <v>205860</v>
      </c>
      <c r="S51">
        <v>205860</v>
      </c>
      <c r="T51">
        <v>572895</v>
      </c>
      <c r="U51">
        <v>4161600723</v>
      </c>
      <c r="V51" t="s">
        <v>257</v>
      </c>
      <c r="W51" t="s">
        <v>56</v>
      </c>
      <c r="X51" t="s">
        <v>258</v>
      </c>
      <c r="Y51" t="s">
        <v>51</v>
      </c>
      <c r="Z51">
        <v>1903</v>
      </c>
      <c r="AH51">
        <v>0</v>
      </c>
      <c r="AI51">
        <v>202504</v>
      </c>
      <c r="AJ51" t="s">
        <v>63</v>
      </c>
      <c r="AK51">
        <v>0</v>
      </c>
      <c r="AL51">
        <v>1</v>
      </c>
      <c r="AM51">
        <v>572895</v>
      </c>
      <c r="AN51">
        <v>1</v>
      </c>
      <c r="AO51">
        <v>0</v>
      </c>
      <c r="AP51">
        <v>999</v>
      </c>
      <c r="AQ51">
        <v>430</v>
      </c>
      <c r="AR51">
        <v>430999</v>
      </c>
      <c r="AT51">
        <v>1</v>
      </c>
      <c r="AU51" t="s">
        <v>57</v>
      </c>
      <c r="AV51">
        <v>101552.46</v>
      </c>
      <c r="AW51">
        <v>114647.6485</v>
      </c>
      <c r="AX51">
        <v>118167.008</v>
      </c>
      <c r="AY51">
        <v>123559.05899999999</v>
      </c>
      <c r="AZ51">
        <v>128796.368</v>
      </c>
      <c r="BA51">
        <v>130000</v>
      </c>
      <c r="BB51">
        <v>135819.11300000001</v>
      </c>
      <c r="BC51">
        <v>145008.255</v>
      </c>
      <c r="BD51">
        <v>146226.546</v>
      </c>
      <c r="BE51">
        <v>148171.67300000001</v>
      </c>
      <c r="BF51">
        <v>156533.16500000001</v>
      </c>
      <c r="BG51">
        <v>167340.8915</v>
      </c>
      <c r="BH51">
        <v>179808.78</v>
      </c>
      <c r="BI51">
        <v>187222.14799999999</v>
      </c>
      <c r="BJ51">
        <v>206328.26500000001</v>
      </c>
      <c r="BK51">
        <v>220390.6225</v>
      </c>
      <c r="BL51">
        <v>239280.00000000009</v>
      </c>
      <c r="BM51">
        <v>298738.61</v>
      </c>
      <c r="BN51">
        <v>365407.64500000002</v>
      </c>
      <c r="BO51">
        <v>399465.49400000001</v>
      </c>
      <c r="BP51">
        <v>515709.15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 x14ac:dyDescent="0.35">
      <c r="A52">
        <v>337491</v>
      </c>
      <c r="B52" t="s">
        <v>388</v>
      </c>
      <c r="C52" t="s">
        <v>389</v>
      </c>
      <c r="D52" s="1">
        <v>45771</v>
      </c>
      <c r="E52">
        <v>53850</v>
      </c>
      <c r="F52">
        <v>108</v>
      </c>
      <c r="G52" t="s">
        <v>89</v>
      </c>
      <c r="H52" t="s">
        <v>48</v>
      </c>
      <c r="I52" t="s">
        <v>49</v>
      </c>
      <c r="K52" t="s">
        <v>292</v>
      </c>
      <c r="L52">
        <v>1083306291105</v>
      </c>
      <c r="M52">
        <v>20250423</v>
      </c>
      <c r="N52" t="s">
        <v>262</v>
      </c>
      <c r="Q52" t="s">
        <v>58</v>
      </c>
      <c r="R52">
        <v>134580.47</v>
      </c>
      <c r="S52">
        <v>118883.45</v>
      </c>
      <c r="T52">
        <v>4227057</v>
      </c>
      <c r="U52">
        <v>4874620729</v>
      </c>
      <c r="V52" t="s">
        <v>263</v>
      </c>
      <c r="W52" t="s">
        <v>56</v>
      </c>
      <c r="X52" t="s">
        <v>264</v>
      </c>
      <c r="Y52" t="s">
        <v>51</v>
      </c>
      <c r="Z52">
        <v>1058</v>
      </c>
      <c r="AH52">
        <v>0</v>
      </c>
      <c r="AI52">
        <v>202504</v>
      </c>
      <c r="AJ52" t="s">
        <v>63</v>
      </c>
      <c r="AK52">
        <v>0</v>
      </c>
      <c r="AL52">
        <v>1</v>
      </c>
      <c r="AM52">
        <v>4227057</v>
      </c>
      <c r="AN52">
        <v>1</v>
      </c>
      <c r="AO52">
        <v>1</v>
      </c>
      <c r="AP52">
        <v>999</v>
      </c>
      <c r="AQ52">
        <v>430</v>
      </c>
      <c r="AR52">
        <v>430999</v>
      </c>
      <c r="AT52">
        <v>1</v>
      </c>
      <c r="AU52" t="s">
        <v>57</v>
      </c>
      <c r="AV52">
        <v>101552.46</v>
      </c>
      <c r="AW52">
        <v>114647.6485</v>
      </c>
      <c r="AX52">
        <v>118167.008</v>
      </c>
      <c r="AY52">
        <v>123559.05899999999</v>
      </c>
      <c r="AZ52">
        <v>128796.368</v>
      </c>
      <c r="BA52">
        <v>130000</v>
      </c>
      <c r="BB52">
        <v>135819.11300000001</v>
      </c>
      <c r="BC52">
        <v>145008.255</v>
      </c>
      <c r="BD52">
        <v>146226.546</v>
      </c>
      <c r="BE52">
        <v>148171.67300000001</v>
      </c>
      <c r="BF52">
        <v>156533.16500000001</v>
      </c>
      <c r="BG52">
        <v>167340.8915</v>
      </c>
      <c r="BH52">
        <v>179808.78</v>
      </c>
      <c r="BI52">
        <v>187222.14799999999</v>
      </c>
      <c r="BJ52">
        <v>206328.26500000001</v>
      </c>
      <c r="BK52">
        <v>220390.6225</v>
      </c>
      <c r="BL52">
        <v>239280.00000000009</v>
      </c>
      <c r="BM52">
        <v>298738.61</v>
      </c>
      <c r="BN52">
        <v>365407.64500000002</v>
      </c>
      <c r="BO52">
        <v>399465.49400000001</v>
      </c>
      <c r="BP52">
        <v>515709.15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 x14ac:dyDescent="0.35">
      <c r="A53">
        <v>337486</v>
      </c>
      <c r="B53" t="s">
        <v>388</v>
      </c>
      <c r="C53" t="s">
        <v>389</v>
      </c>
      <c r="D53" s="1">
        <v>45771</v>
      </c>
      <c r="E53">
        <v>53850</v>
      </c>
      <c r="F53">
        <v>108</v>
      </c>
      <c r="G53" t="s">
        <v>89</v>
      </c>
      <c r="H53" t="s">
        <v>48</v>
      </c>
      <c r="I53" t="s">
        <v>49</v>
      </c>
      <c r="K53" t="s">
        <v>292</v>
      </c>
      <c r="L53">
        <v>1083300011180</v>
      </c>
      <c r="M53">
        <v>20250423</v>
      </c>
      <c r="N53" t="s">
        <v>262</v>
      </c>
      <c r="Q53" t="s">
        <v>58</v>
      </c>
      <c r="R53">
        <v>108046.93</v>
      </c>
      <c r="S53">
        <v>1050</v>
      </c>
      <c r="T53">
        <v>1118</v>
      </c>
      <c r="U53">
        <v>3246700722</v>
      </c>
      <c r="V53" t="s">
        <v>416</v>
      </c>
      <c r="W53" t="s">
        <v>56</v>
      </c>
      <c r="X53" t="s">
        <v>411</v>
      </c>
      <c r="Y53" t="s">
        <v>51</v>
      </c>
      <c r="Z53">
        <v>1058</v>
      </c>
      <c r="AH53">
        <v>0</v>
      </c>
      <c r="AI53">
        <v>202504</v>
      </c>
      <c r="AJ53" t="s">
        <v>54</v>
      </c>
      <c r="AK53">
        <v>0</v>
      </c>
      <c r="AL53">
        <v>1</v>
      </c>
      <c r="AO53">
        <v>1</v>
      </c>
      <c r="AP53">
        <v>999</v>
      </c>
      <c r="AQ53">
        <v>430</v>
      </c>
      <c r="AR53">
        <v>430999</v>
      </c>
      <c r="AT53">
        <v>1</v>
      </c>
      <c r="AU53" t="s">
        <v>57</v>
      </c>
      <c r="AV53">
        <v>101552.46</v>
      </c>
      <c r="AW53">
        <v>114647.6485</v>
      </c>
      <c r="AX53">
        <v>118167.008</v>
      </c>
      <c r="AY53">
        <v>123559.05899999999</v>
      </c>
      <c r="AZ53">
        <v>128796.368</v>
      </c>
      <c r="BA53">
        <v>130000</v>
      </c>
      <c r="BB53">
        <v>135819.11300000001</v>
      </c>
      <c r="BC53">
        <v>145008.255</v>
      </c>
      <c r="BD53">
        <v>146226.546</v>
      </c>
      <c r="BE53">
        <v>148171.67300000001</v>
      </c>
      <c r="BF53">
        <v>156533.16500000001</v>
      </c>
      <c r="BG53">
        <v>167340.8915</v>
      </c>
      <c r="BH53">
        <v>179808.78</v>
      </c>
      <c r="BI53">
        <v>187222.14799999999</v>
      </c>
      <c r="BJ53">
        <v>206328.26500000001</v>
      </c>
      <c r="BK53">
        <v>220390.6225</v>
      </c>
      <c r="BL53">
        <v>239280.00000000009</v>
      </c>
      <c r="BM53">
        <v>298738.61</v>
      </c>
      <c r="BN53">
        <v>365407.64500000002</v>
      </c>
      <c r="BO53">
        <v>399465.49400000001</v>
      </c>
      <c r="BP53">
        <v>515709.15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 x14ac:dyDescent="0.35">
      <c r="A54">
        <v>337484</v>
      </c>
      <c r="B54" t="s">
        <v>388</v>
      </c>
      <c r="C54" t="s">
        <v>389</v>
      </c>
      <c r="D54" s="1">
        <v>45771</v>
      </c>
      <c r="E54">
        <v>53850</v>
      </c>
      <c r="F54">
        <v>268</v>
      </c>
      <c r="G54" t="s">
        <v>178</v>
      </c>
      <c r="H54" t="s">
        <v>48</v>
      </c>
      <c r="I54" t="s">
        <v>49</v>
      </c>
      <c r="K54">
        <v>202504237921843</v>
      </c>
      <c r="L54">
        <v>2683300010911</v>
      </c>
      <c r="M54">
        <v>20250423</v>
      </c>
      <c r="N54" t="s">
        <v>392</v>
      </c>
      <c r="Q54" t="s">
        <v>58</v>
      </c>
      <c r="R54">
        <v>150500</v>
      </c>
      <c r="S54">
        <v>0</v>
      </c>
      <c r="T54">
        <v>3743523</v>
      </c>
      <c r="U54" t="s">
        <v>441</v>
      </c>
      <c r="V54" t="s">
        <v>442</v>
      </c>
      <c r="W54" t="s">
        <v>50</v>
      </c>
      <c r="Y54" t="s">
        <v>51</v>
      </c>
      <c r="Z54">
        <v>1757</v>
      </c>
      <c r="AH54">
        <v>0</v>
      </c>
      <c r="AI54">
        <v>202504</v>
      </c>
      <c r="AJ54" t="s">
        <v>168</v>
      </c>
      <c r="AK54">
        <v>1</v>
      </c>
      <c r="AL54">
        <v>1</v>
      </c>
      <c r="AO54">
        <v>0</v>
      </c>
      <c r="AP54">
        <v>999</v>
      </c>
      <c r="AQ54">
        <v>600</v>
      </c>
      <c r="AR54">
        <v>600999</v>
      </c>
      <c r="AS54" t="s">
        <v>52</v>
      </c>
      <c r="AU54" t="s">
        <v>52</v>
      </c>
      <c r="AV54">
        <v>107500</v>
      </c>
      <c r="AW54">
        <v>109625</v>
      </c>
      <c r="AX54">
        <v>110000</v>
      </c>
      <c r="AY54">
        <v>112750</v>
      </c>
      <c r="AZ54">
        <v>120738</v>
      </c>
      <c r="BA54">
        <v>129508.75</v>
      </c>
      <c r="BB54">
        <v>130380</v>
      </c>
      <c r="BC54">
        <v>133610</v>
      </c>
      <c r="BD54">
        <v>133800</v>
      </c>
      <c r="BE54">
        <v>141080</v>
      </c>
      <c r="BF54">
        <v>147500</v>
      </c>
      <c r="BG54">
        <v>155382.03049999999</v>
      </c>
      <c r="BH54">
        <v>165585.11799999999</v>
      </c>
      <c r="BI54">
        <v>166416.67000000001</v>
      </c>
      <c r="BJ54">
        <v>166416.67000000001</v>
      </c>
      <c r="BK54">
        <v>173582.95749999999</v>
      </c>
      <c r="BL54">
        <v>190388.68799999999</v>
      </c>
      <c r="BM54">
        <v>212150</v>
      </c>
      <c r="BN54">
        <v>283513.16900000011</v>
      </c>
      <c r="BO54">
        <v>415377.23</v>
      </c>
      <c r="BP54">
        <v>415377.23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 x14ac:dyDescent="0.35">
      <c r="A55">
        <v>337482</v>
      </c>
      <c r="B55" t="s">
        <v>388</v>
      </c>
      <c r="C55" t="s">
        <v>389</v>
      </c>
      <c r="D55" s="1">
        <v>45771</v>
      </c>
      <c r="E55">
        <v>53850</v>
      </c>
      <c r="F55">
        <v>196</v>
      </c>
      <c r="G55" t="s">
        <v>305</v>
      </c>
      <c r="H55" t="s">
        <v>48</v>
      </c>
      <c r="I55" t="s">
        <v>49</v>
      </c>
      <c r="K55">
        <v>202504237921785</v>
      </c>
      <c r="L55">
        <v>1963302350399</v>
      </c>
      <c r="M55">
        <v>20250423</v>
      </c>
      <c r="N55" t="s">
        <v>392</v>
      </c>
      <c r="Q55" t="s">
        <v>58</v>
      </c>
      <c r="R55">
        <v>137474.39000000001</v>
      </c>
      <c r="S55">
        <v>0</v>
      </c>
      <c r="T55">
        <v>4054312</v>
      </c>
      <c r="U55" t="s">
        <v>443</v>
      </c>
      <c r="V55" t="s">
        <v>444</v>
      </c>
      <c r="W55" t="s">
        <v>66</v>
      </c>
      <c r="X55" t="s">
        <v>175</v>
      </c>
      <c r="Y55" t="s">
        <v>51</v>
      </c>
      <c r="Z55">
        <v>1911</v>
      </c>
      <c r="AH55">
        <v>0</v>
      </c>
      <c r="AI55">
        <v>202504</v>
      </c>
      <c r="AJ55" t="s">
        <v>63</v>
      </c>
      <c r="AK55">
        <v>0</v>
      </c>
      <c r="AL55">
        <v>1</v>
      </c>
      <c r="AO55">
        <v>0</v>
      </c>
      <c r="AP55">
        <v>999</v>
      </c>
      <c r="AQ55">
        <v>615</v>
      </c>
      <c r="AR55">
        <v>615999</v>
      </c>
      <c r="AT55">
        <v>1</v>
      </c>
      <c r="AU55" t="s">
        <v>61</v>
      </c>
      <c r="AV55">
        <v>85050</v>
      </c>
      <c r="AW55">
        <v>89030</v>
      </c>
      <c r="AX55">
        <v>91669.203999999998</v>
      </c>
      <c r="AY55">
        <v>93087.394</v>
      </c>
      <c r="AZ55">
        <v>94164.18</v>
      </c>
      <c r="BA55">
        <v>96798.05</v>
      </c>
      <c r="BB55">
        <v>100000</v>
      </c>
      <c r="BC55">
        <v>100000</v>
      </c>
      <c r="BD55">
        <v>101589.726</v>
      </c>
      <c r="BE55">
        <v>106295.712</v>
      </c>
      <c r="BF55">
        <v>110193.28</v>
      </c>
      <c r="BG55">
        <v>119645.424</v>
      </c>
      <c r="BH55">
        <v>127698</v>
      </c>
      <c r="BI55">
        <v>137713.79399999999</v>
      </c>
      <c r="BJ55">
        <v>139806</v>
      </c>
      <c r="BK55">
        <v>150000</v>
      </c>
      <c r="BL55">
        <v>161820.22</v>
      </c>
      <c r="BM55">
        <v>190199.99999999991</v>
      </c>
      <c r="BN55">
        <v>213800</v>
      </c>
      <c r="BO55">
        <v>259913.9999999998</v>
      </c>
      <c r="BP55">
        <v>440000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 x14ac:dyDescent="0.35">
      <c r="A56">
        <v>337481</v>
      </c>
      <c r="B56" t="s">
        <v>388</v>
      </c>
      <c r="C56" t="s">
        <v>389</v>
      </c>
      <c r="D56" s="1">
        <v>45771</v>
      </c>
      <c r="E56">
        <v>53850</v>
      </c>
      <c r="F56">
        <v>121</v>
      </c>
      <c r="G56" t="s">
        <v>71</v>
      </c>
      <c r="H56" t="s">
        <v>48</v>
      </c>
      <c r="I56" t="s">
        <v>49</v>
      </c>
      <c r="K56" t="s">
        <v>292</v>
      </c>
      <c r="L56">
        <v>1213300002600</v>
      </c>
      <c r="M56">
        <v>20250423</v>
      </c>
      <c r="N56" t="s">
        <v>262</v>
      </c>
      <c r="Q56" t="s">
        <v>58</v>
      </c>
      <c r="R56">
        <v>641011.26</v>
      </c>
      <c r="S56">
        <v>0</v>
      </c>
      <c r="T56">
        <v>4939345</v>
      </c>
      <c r="U56">
        <v>5754810728</v>
      </c>
      <c r="V56" t="s">
        <v>176</v>
      </c>
      <c r="W56" t="s">
        <v>56</v>
      </c>
      <c r="X56" t="s">
        <v>72</v>
      </c>
      <c r="Y56" t="s">
        <v>51</v>
      </c>
      <c r="Z56">
        <v>1058</v>
      </c>
      <c r="AH56">
        <v>0</v>
      </c>
      <c r="AI56">
        <v>202504</v>
      </c>
      <c r="AJ56" t="s">
        <v>177</v>
      </c>
      <c r="AK56">
        <v>1</v>
      </c>
      <c r="AL56">
        <v>1</v>
      </c>
      <c r="AO56">
        <v>1</v>
      </c>
      <c r="AP56">
        <v>463</v>
      </c>
      <c r="AQ56">
        <v>430</v>
      </c>
      <c r="AR56">
        <v>430463</v>
      </c>
      <c r="AS56" t="s">
        <v>61</v>
      </c>
      <c r="AU56" t="s">
        <v>61</v>
      </c>
      <c r="AV56">
        <v>85050</v>
      </c>
      <c r="AW56">
        <v>89030</v>
      </c>
      <c r="AX56">
        <v>91669.203999999998</v>
      </c>
      <c r="AY56">
        <v>93087.394</v>
      </c>
      <c r="AZ56">
        <v>94164.18</v>
      </c>
      <c r="BA56">
        <v>96798.05</v>
      </c>
      <c r="BB56">
        <v>100000</v>
      </c>
      <c r="BC56">
        <v>100000</v>
      </c>
      <c r="BD56">
        <v>101589.726</v>
      </c>
      <c r="BE56">
        <v>106295.712</v>
      </c>
      <c r="BF56">
        <v>110193.28</v>
      </c>
      <c r="BG56">
        <v>119645.424</v>
      </c>
      <c r="BH56">
        <v>127698</v>
      </c>
      <c r="BI56">
        <v>137713.79399999999</v>
      </c>
      <c r="BJ56">
        <v>139806</v>
      </c>
      <c r="BK56">
        <v>150000</v>
      </c>
      <c r="BL56">
        <v>161820.22</v>
      </c>
      <c r="BM56">
        <v>190199.99999999991</v>
      </c>
      <c r="BN56">
        <v>213800</v>
      </c>
      <c r="BO56">
        <v>259913.9999999998</v>
      </c>
      <c r="BP56">
        <v>440000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</row>
    <row r="57" spans="1:89" x14ac:dyDescent="0.35">
      <c r="A57">
        <v>337466</v>
      </c>
      <c r="B57" t="s">
        <v>388</v>
      </c>
      <c r="C57" t="s">
        <v>389</v>
      </c>
      <c r="D57" s="1">
        <v>45770</v>
      </c>
      <c r="E57">
        <v>53850</v>
      </c>
      <c r="F57">
        <v>128</v>
      </c>
      <c r="G57" t="s">
        <v>274</v>
      </c>
      <c r="H57" t="s">
        <v>48</v>
      </c>
      <c r="I57" t="s">
        <v>49</v>
      </c>
      <c r="K57" t="s">
        <v>295</v>
      </c>
      <c r="L57">
        <v>1093306672844</v>
      </c>
      <c r="M57">
        <v>20250422</v>
      </c>
      <c r="N57" t="s">
        <v>262</v>
      </c>
      <c r="Q57" t="s">
        <v>58</v>
      </c>
      <c r="R57">
        <v>90324.160000000003</v>
      </c>
      <c r="S57">
        <v>16000</v>
      </c>
      <c r="T57">
        <v>440311</v>
      </c>
      <c r="U57">
        <v>3550290724</v>
      </c>
      <c r="V57" t="s">
        <v>237</v>
      </c>
      <c r="W57" t="s">
        <v>56</v>
      </c>
      <c r="X57" t="s">
        <v>238</v>
      </c>
      <c r="Y57" t="s">
        <v>51</v>
      </c>
      <c r="Z57">
        <v>1903</v>
      </c>
      <c r="AH57">
        <v>0</v>
      </c>
      <c r="AI57">
        <v>202504</v>
      </c>
      <c r="AJ57" t="s">
        <v>63</v>
      </c>
      <c r="AK57">
        <v>0</v>
      </c>
      <c r="AL57">
        <v>1</v>
      </c>
      <c r="AM57">
        <v>440311</v>
      </c>
      <c r="AN57">
        <v>1</v>
      </c>
      <c r="AO57">
        <v>1</v>
      </c>
      <c r="AP57">
        <v>451</v>
      </c>
      <c r="AQ57">
        <v>430</v>
      </c>
      <c r="AR57">
        <v>430451</v>
      </c>
      <c r="AS57" t="s">
        <v>61</v>
      </c>
      <c r="AU57" t="s">
        <v>61</v>
      </c>
      <c r="AV57">
        <v>85050</v>
      </c>
      <c r="AW57">
        <v>89030</v>
      </c>
      <c r="AX57">
        <v>91669.203999999998</v>
      </c>
      <c r="AY57">
        <v>93087.394</v>
      </c>
      <c r="AZ57">
        <v>94164.18</v>
      </c>
      <c r="BA57">
        <v>96798.05</v>
      </c>
      <c r="BB57">
        <v>100000</v>
      </c>
      <c r="BC57">
        <v>100000</v>
      </c>
      <c r="BD57">
        <v>101589.726</v>
      </c>
      <c r="BE57">
        <v>106295.712</v>
      </c>
      <c r="BF57">
        <v>110193.28</v>
      </c>
      <c r="BG57">
        <v>119645.424</v>
      </c>
      <c r="BH57">
        <v>127698</v>
      </c>
      <c r="BI57">
        <v>137713.79399999999</v>
      </c>
      <c r="BJ57">
        <v>139806</v>
      </c>
      <c r="BK57">
        <v>150000</v>
      </c>
      <c r="BL57">
        <v>161820.22</v>
      </c>
      <c r="BM57">
        <v>190199.99999999991</v>
      </c>
      <c r="BN57">
        <v>213800</v>
      </c>
      <c r="BO57">
        <v>259913.9999999998</v>
      </c>
      <c r="BP57">
        <v>440000</v>
      </c>
      <c r="BQ57">
        <v>1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 x14ac:dyDescent="0.35">
      <c r="A58">
        <v>337462</v>
      </c>
      <c r="B58" t="s">
        <v>388</v>
      </c>
      <c r="C58" t="s">
        <v>389</v>
      </c>
      <c r="D58" s="1">
        <v>45770</v>
      </c>
      <c r="E58">
        <v>53850</v>
      </c>
      <c r="F58">
        <v>165</v>
      </c>
      <c r="G58" t="s">
        <v>445</v>
      </c>
      <c r="H58" t="s">
        <v>48</v>
      </c>
      <c r="I58" t="s">
        <v>49</v>
      </c>
      <c r="K58">
        <v>202504227918373</v>
      </c>
      <c r="L58">
        <v>1653300628564</v>
      </c>
      <c r="M58">
        <v>20250422</v>
      </c>
      <c r="N58" t="s">
        <v>392</v>
      </c>
      <c r="Q58" t="s">
        <v>58</v>
      </c>
      <c r="R58">
        <v>236000</v>
      </c>
      <c r="S58">
        <v>0</v>
      </c>
      <c r="T58">
        <v>4798342</v>
      </c>
      <c r="U58">
        <v>2195870718</v>
      </c>
      <c r="V58" t="s">
        <v>446</v>
      </c>
      <c r="W58" t="s">
        <v>56</v>
      </c>
      <c r="X58" t="s">
        <v>447</v>
      </c>
      <c r="Y58" t="s">
        <v>51</v>
      </c>
      <c r="Z58">
        <v>870</v>
      </c>
      <c r="AH58">
        <v>0</v>
      </c>
      <c r="AI58">
        <v>202504</v>
      </c>
      <c r="AJ58" t="s">
        <v>54</v>
      </c>
      <c r="AK58">
        <v>0</v>
      </c>
      <c r="AL58">
        <v>1</v>
      </c>
      <c r="AO58">
        <v>0</v>
      </c>
      <c r="AP58">
        <v>999</v>
      </c>
      <c r="AQ58">
        <v>430</v>
      </c>
      <c r="AR58">
        <v>430999</v>
      </c>
      <c r="AT58">
        <v>1</v>
      </c>
      <c r="AU58" t="s">
        <v>57</v>
      </c>
      <c r="AV58">
        <v>101552.46</v>
      </c>
      <c r="AW58">
        <v>114647.6485</v>
      </c>
      <c r="AX58">
        <v>118167.008</v>
      </c>
      <c r="AY58">
        <v>123559.05899999999</v>
      </c>
      <c r="AZ58">
        <v>128796.368</v>
      </c>
      <c r="BA58">
        <v>130000</v>
      </c>
      <c r="BB58">
        <v>135819.11300000001</v>
      </c>
      <c r="BC58">
        <v>145008.255</v>
      </c>
      <c r="BD58">
        <v>146226.546</v>
      </c>
      <c r="BE58">
        <v>148171.67300000001</v>
      </c>
      <c r="BF58">
        <v>156533.16500000001</v>
      </c>
      <c r="BG58">
        <v>167340.8915</v>
      </c>
      <c r="BH58">
        <v>179808.78</v>
      </c>
      <c r="BI58">
        <v>187222.14799999999</v>
      </c>
      <c r="BJ58">
        <v>206328.26500000001</v>
      </c>
      <c r="BK58">
        <v>220390.6225</v>
      </c>
      <c r="BL58">
        <v>239280.00000000009</v>
      </c>
      <c r="BM58">
        <v>298738.61</v>
      </c>
      <c r="BN58">
        <v>365407.64500000002</v>
      </c>
      <c r="BO58">
        <v>399465.49400000001</v>
      </c>
      <c r="BP58">
        <v>515709.15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 x14ac:dyDescent="0.35">
      <c r="A59">
        <v>337457</v>
      </c>
      <c r="B59" t="s">
        <v>388</v>
      </c>
      <c r="C59" t="s">
        <v>389</v>
      </c>
      <c r="D59" s="1">
        <v>45770</v>
      </c>
      <c r="E59">
        <v>53850</v>
      </c>
      <c r="F59">
        <v>114</v>
      </c>
      <c r="G59" t="s">
        <v>267</v>
      </c>
      <c r="H59" t="s">
        <v>48</v>
      </c>
      <c r="I59" t="s">
        <v>49</v>
      </c>
      <c r="K59" t="s">
        <v>295</v>
      </c>
      <c r="L59">
        <v>1143306280621</v>
      </c>
      <c r="M59">
        <v>20250422</v>
      </c>
      <c r="N59" t="s">
        <v>265</v>
      </c>
      <c r="Q59" t="s">
        <v>58</v>
      </c>
      <c r="R59">
        <v>61530</v>
      </c>
      <c r="S59">
        <v>61530</v>
      </c>
      <c r="T59">
        <v>4658875</v>
      </c>
      <c r="U59">
        <v>3230890711</v>
      </c>
      <c r="V59" t="s">
        <v>268</v>
      </c>
      <c r="W59" t="s">
        <v>64</v>
      </c>
      <c r="X59" t="s">
        <v>80</v>
      </c>
      <c r="Y59" t="s">
        <v>51</v>
      </c>
      <c r="Z59">
        <v>870</v>
      </c>
      <c r="AH59">
        <v>0</v>
      </c>
      <c r="AI59">
        <v>202504</v>
      </c>
      <c r="AJ59" t="s">
        <v>63</v>
      </c>
      <c r="AK59">
        <v>0</v>
      </c>
      <c r="AL59">
        <v>1</v>
      </c>
      <c r="AM59">
        <v>4658875</v>
      </c>
      <c r="AN59">
        <v>1</v>
      </c>
      <c r="AO59">
        <v>0</v>
      </c>
      <c r="AP59">
        <v>477</v>
      </c>
      <c r="AQ59">
        <v>492</v>
      </c>
      <c r="AR59">
        <v>492477</v>
      </c>
      <c r="AS59" t="s">
        <v>234</v>
      </c>
      <c r="AU59" t="s">
        <v>234</v>
      </c>
      <c r="AV59">
        <v>55650</v>
      </c>
      <c r="AW59">
        <v>56502</v>
      </c>
      <c r="AX59">
        <v>57354</v>
      </c>
      <c r="AY59">
        <v>58206</v>
      </c>
      <c r="AZ59">
        <v>59098</v>
      </c>
      <c r="BA59">
        <v>60010</v>
      </c>
      <c r="BB59">
        <v>60922</v>
      </c>
      <c r="BC59">
        <v>61827</v>
      </c>
      <c r="BD59">
        <v>62718</v>
      </c>
      <c r="BE59">
        <v>63609</v>
      </c>
      <c r="BF59">
        <v>64500</v>
      </c>
      <c r="BG59">
        <v>66288</v>
      </c>
      <c r="BH59">
        <v>68076</v>
      </c>
      <c r="BI59">
        <v>69864</v>
      </c>
      <c r="BJ59">
        <v>70482</v>
      </c>
      <c r="BK59">
        <v>70515</v>
      </c>
      <c r="BL59">
        <v>70548</v>
      </c>
      <c r="BM59">
        <v>70590</v>
      </c>
      <c r="BN59">
        <v>70650</v>
      </c>
      <c r="BO59">
        <v>70710</v>
      </c>
      <c r="BP59">
        <v>70770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 x14ac:dyDescent="0.35">
      <c r="A60">
        <v>337455</v>
      </c>
      <c r="B60" t="s">
        <v>388</v>
      </c>
      <c r="C60" t="s">
        <v>389</v>
      </c>
      <c r="D60" s="1">
        <v>45770</v>
      </c>
      <c r="E60">
        <v>53850</v>
      </c>
      <c r="F60">
        <v>121</v>
      </c>
      <c r="G60" t="s">
        <v>71</v>
      </c>
      <c r="H60" t="s">
        <v>48</v>
      </c>
      <c r="I60" t="s">
        <v>49</v>
      </c>
      <c r="K60">
        <v>202504227918223</v>
      </c>
      <c r="L60">
        <v>1733300001396</v>
      </c>
      <c r="M60">
        <v>20250422</v>
      </c>
      <c r="N60" t="s">
        <v>400</v>
      </c>
      <c r="Q60" t="s">
        <v>58</v>
      </c>
      <c r="R60">
        <v>227000</v>
      </c>
      <c r="S60">
        <v>0</v>
      </c>
      <c r="T60">
        <v>4287458</v>
      </c>
      <c r="U60" t="s">
        <v>448</v>
      </c>
      <c r="V60" t="s">
        <v>449</v>
      </c>
      <c r="W60" t="s">
        <v>50</v>
      </c>
      <c r="Y60" t="s">
        <v>51</v>
      </c>
      <c r="Z60">
        <v>1530</v>
      </c>
      <c r="AH60">
        <v>0</v>
      </c>
      <c r="AI60">
        <v>202504</v>
      </c>
      <c r="AJ60" t="s">
        <v>54</v>
      </c>
      <c r="AK60">
        <v>0</v>
      </c>
      <c r="AL60">
        <v>1</v>
      </c>
      <c r="AO60">
        <v>0</v>
      </c>
      <c r="AP60">
        <v>999</v>
      </c>
      <c r="AQ60">
        <v>600</v>
      </c>
      <c r="AR60">
        <v>600999</v>
      </c>
      <c r="AS60" t="s">
        <v>52</v>
      </c>
      <c r="AU60" t="s">
        <v>52</v>
      </c>
      <c r="AV60">
        <v>107500</v>
      </c>
      <c r="AW60">
        <v>109625</v>
      </c>
      <c r="AX60">
        <v>110000</v>
      </c>
      <c r="AY60">
        <v>112750</v>
      </c>
      <c r="AZ60">
        <v>120738</v>
      </c>
      <c r="BA60">
        <v>129508.75</v>
      </c>
      <c r="BB60">
        <v>130380</v>
      </c>
      <c r="BC60">
        <v>133610</v>
      </c>
      <c r="BD60">
        <v>133800</v>
      </c>
      <c r="BE60">
        <v>141080</v>
      </c>
      <c r="BF60">
        <v>147500</v>
      </c>
      <c r="BG60">
        <v>155382.03049999999</v>
      </c>
      <c r="BH60">
        <v>165585.11799999999</v>
      </c>
      <c r="BI60">
        <v>166416.67000000001</v>
      </c>
      <c r="BJ60">
        <v>166416.67000000001</v>
      </c>
      <c r="BK60">
        <v>173582.95749999999</v>
      </c>
      <c r="BL60">
        <v>190388.68799999999</v>
      </c>
      <c r="BM60">
        <v>212150</v>
      </c>
      <c r="BN60">
        <v>283513.16900000011</v>
      </c>
      <c r="BO60">
        <v>415377.23</v>
      </c>
      <c r="BP60">
        <v>415377.23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0</v>
      </c>
      <c r="CJ60">
        <v>0</v>
      </c>
      <c r="CK60">
        <v>0</v>
      </c>
    </row>
    <row r="61" spans="1:89" x14ac:dyDescent="0.35">
      <c r="A61">
        <v>337450</v>
      </c>
      <c r="B61" t="s">
        <v>388</v>
      </c>
      <c r="C61" t="s">
        <v>389</v>
      </c>
      <c r="D61" s="1">
        <v>45770</v>
      </c>
      <c r="E61">
        <v>53850</v>
      </c>
      <c r="F61">
        <v>182</v>
      </c>
      <c r="G61" t="s">
        <v>284</v>
      </c>
      <c r="H61" t="s">
        <v>48</v>
      </c>
      <c r="I61" t="s">
        <v>49</v>
      </c>
      <c r="K61">
        <v>202504227918470</v>
      </c>
      <c r="L61">
        <v>1823300174370</v>
      </c>
      <c r="M61">
        <v>20250422</v>
      </c>
      <c r="N61" t="s">
        <v>400</v>
      </c>
      <c r="Q61" t="s">
        <v>58</v>
      </c>
      <c r="R61">
        <v>300000</v>
      </c>
      <c r="S61">
        <v>0</v>
      </c>
      <c r="T61">
        <v>4981499</v>
      </c>
      <c r="U61">
        <v>80221830583</v>
      </c>
      <c r="V61" t="s">
        <v>450</v>
      </c>
      <c r="W61" t="s">
        <v>56</v>
      </c>
      <c r="X61" t="s">
        <v>451</v>
      </c>
      <c r="Y61" t="s">
        <v>51</v>
      </c>
      <c r="Z61">
        <v>1101</v>
      </c>
      <c r="AH61">
        <v>0</v>
      </c>
      <c r="AI61">
        <v>202504</v>
      </c>
      <c r="AJ61" t="s">
        <v>168</v>
      </c>
      <c r="AK61">
        <v>1</v>
      </c>
      <c r="AL61">
        <v>1</v>
      </c>
      <c r="AO61">
        <v>0</v>
      </c>
      <c r="AP61">
        <v>999</v>
      </c>
      <c r="AQ61">
        <v>430</v>
      </c>
      <c r="AR61">
        <v>430999</v>
      </c>
      <c r="AT61">
        <v>1</v>
      </c>
      <c r="AU61" t="s">
        <v>57</v>
      </c>
      <c r="AV61">
        <v>101552.46</v>
      </c>
      <c r="AW61">
        <v>114647.6485</v>
      </c>
      <c r="AX61">
        <v>118167.008</v>
      </c>
      <c r="AY61">
        <v>123559.05899999999</v>
      </c>
      <c r="AZ61">
        <v>128796.368</v>
      </c>
      <c r="BA61">
        <v>130000</v>
      </c>
      <c r="BB61">
        <v>135819.11300000001</v>
      </c>
      <c r="BC61">
        <v>145008.255</v>
      </c>
      <c r="BD61">
        <v>146226.546</v>
      </c>
      <c r="BE61">
        <v>148171.67300000001</v>
      </c>
      <c r="BF61">
        <v>156533.16500000001</v>
      </c>
      <c r="BG61">
        <v>167340.8915</v>
      </c>
      <c r="BH61">
        <v>179808.78</v>
      </c>
      <c r="BI61">
        <v>187222.14799999999</v>
      </c>
      <c r="BJ61">
        <v>206328.26500000001</v>
      </c>
      <c r="BK61">
        <v>220390.6225</v>
      </c>
      <c r="BL61">
        <v>239280.00000000009</v>
      </c>
      <c r="BM61">
        <v>298738.61</v>
      </c>
      <c r="BN61">
        <v>365407.64500000002</v>
      </c>
      <c r="BO61">
        <v>399465.49400000001</v>
      </c>
      <c r="BP61">
        <v>515709.15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0</v>
      </c>
      <c r="CJ61">
        <v>0</v>
      </c>
      <c r="CK61">
        <v>0</v>
      </c>
    </row>
    <row r="62" spans="1:89" x14ac:dyDescent="0.35">
      <c r="A62">
        <v>337449</v>
      </c>
      <c r="B62" t="s">
        <v>388</v>
      </c>
      <c r="C62" t="s">
        <v>389</v>
      </c>
      <c r="D62" s="1">
        <v>45770</v>
      </c>
      <c r="E62">
        <v>53850</v>
      </c>
      <c r="F62">
        <v>102</v>
      </c>
      <c r="G62" t="s">
        <v>55</v>
      </c>
      <c r="H62" t="s">
        <v>48</v>
      </c>
      <c r="I62" t="s">
        <v>49</v>
      </c>
      <c r="K62" t="s">
        <v>295</v>
      </c>
      <c r="L62">
        <v>1023300660520</v>
      </c>
      <c r="M62">
        <v>20250422</v>
      </c>
      <c r="N62" t="s">
        <v>262</v>
      </c>
      <c r="Q62" t="s">
        <v>58</v>
      </c>
      <c r="R62">
        <v>193321.85</v>
      </c>
      <c r="S62">
        <v>49770</v>
      </c>
      <c r="T62">
        <v>66052</v>
      </c>
      <c r="U62">
        <v>398110726</v>
      </c>
      <c r="V62" t="s">
        <v>287</v>
      </c>
      <c r="W62" t="s">
        <v>56</v>
      </c>
      <c r="X62" t="s">
        <v>235</v>
      </c>
      <c r="Y62" t="s">
        <v>51</v>
      </c>
      <c r="Z62">
        <v>1203</v>
      </c>
      <c r="AH62">
        <v>0</v>
      </c>
      <c r="AI62">
        <v>202504</v>
      </c>
      <c r="AJ62" t="s">
        <v>169</v>
      </c>
      <c r="AK62">
        <v>1</v>
      </c>
      <c r="AL62">
        <v>1</v>
      </c>
      <c r="AM62">
        <v>66052</v>
      </c>
      <c r="AN62">
        <v>1</v>
      </c>
      <c r="AO62">
        <v>1</v>
      </c>
      <c r="AP62">
        <v>999</v>
      </c>
      <c r="AQ62">
        <v>430</v>
      </c>
      <c r="AR62">
        <v>430999</v>
      </c>
      <c r="AT62">
        <v>1</v>
      </c>
      <c r="AU62" t="s">
        <v>57</v>
      </c>
      <c r="AV62">
        <v>101552.46</v>
      </c>
      <c r="AW62">
        <v>114647.6485</v>
      </c>
      <c r="AX62">
        <v>118167.008</v>
      </c>
      <c r="AY62">
        <v>123559.05899999999</v>
      </c>
      <c r="AZ62">
        <v>128796.368</v>
      </c>
      <c r="BA62">
        <v>130000</v>
      </c>
      <c r="BB62">
        <v>135819.11300000001</v>
      </c>
      <c r="BC62">
        <v>145008.255</v>
      </c>
      <c r="BD62">
        <v>146226.546</v>
      </c>
      <c r="BE62">
        <v>148171.67300000001</v>
      </c>
      <c r="BF62">
        <v>156533.16500000001</v>
      </c>
      <c r="BG62">
        <v>167340.8915</v>
      </c>
      <c r="BH62">
        <v>179808.78</v>
      </c>
      <c r="BI62">
        <v>187222.14799999999</v>
      </c>
      <c r="BJ62">
        <v>206328.26500000001</v>
      </c>
      <c r="BK62">
        <v>220390.6225</v>
      </c>
      <c r="BL62">
        <v>239280.00000000009</v>
      </c>
      <c r="BM62">
        <v>298738.61</v>
      </c>
      <c r="BN62">
        <v>365407.64500000002</v>
      </c>
      <c r="BO62">
        <v>399465.49400000001</v>
      </c>
      <c r="BP62">
        <v>515709.15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 x14ac:dyDescent="0.35">
      <c r="A63">
        <v>337445</v>
      </c>
      <c r="B63" t="s">
        <v>388</v>
      </c>
      <c r="C63" t="s">
        <v>389</v>
      </c>
      <c r="D63" s="1">
        <v>45770</v>
      </c>
      <c r="E63">
        <v>53850</v>
      </c>
      <c r="F63">
        <v>121</v>
      </c>
      <c r="G63" t="s">
        <v>71</v>
      </c>
      <c r="H63" t="s">
        <v>48</v>
      </c>
      <c r="I63" t="s">
        <v>49</v>
      </c>
      <c r="K63">
        <v>202504227918223</v>
      </c>
      <c r="L63">
        <v>1733300001396</v>
      </c>
      <c r="M63">
        <v>20250422</v>
      </c>
      <c r="N63" t="s">
        <v>400</v>
      </c>
      <c r="Q63" t="s">
        <v>58</v>
      </c>
      <c r="R63">
        <v>227000</v>
      </c>
      <c r="S63">
        <v>0</v>
      </c>
      <c r="T63">
        <v>4144053</v>
      </c>
      <c r="U63" t="s">
        <v>452</v>
      </c>
      <c r="V63" t="s">
        <v>453</v>
      </c>
      <c r="W63" t="s">
        <v>66</v>
      </c>
      <c r="X63" t="s">
        <v>175</v>
      </c>
      <c r="Y63" t="s">
        <v>51</v>
      </c>
      <c r="Z63">
        <v>1530</v>
      </c>
      <c r="AH63">
        <v>0</v>
      </c>
      <c r="AI63">
        <v>202504</v>
      </c>
      <c r="AJ63" t="s">
        <v>54</v>
      </c>
      <c r="AK63">
        <v>0</v>
      </c>
      <c r="AL63">
        <v>1</v>
      </c>
      <c r="AO63">
        <v>0</v>
      </c>
      <c r="AP63">
        <v>999</v>
      </c>
      <c r="AQ63">
        <v>615</v>
      </c>
      <c r="AR63">
        <v>615999</v>
      </c>
      <c r="AT63">
        <v>1</v>
      </c>
      <c r="AU63" t="s">
        <v>61</v>
      </c>
      <c r="AV63">
        <v>85050</v>
      </c>
      <c r="AW63">
        <v>89030</v>
      </c>
      <c r="AX63">
        <v>91669.203999999998</v>
      </c>
      <c r="AY63">
        <v>93087.394</v>
      </c>
      <c r="AZ63">
        <v>94164.18</v>
      </c>
      <c r="BA63">
        <v>96798.05</v>
      </c>
      <c r="BB63">
        <v>100000</v>
      </c>
      <c r="BC63">
        <v>100000</v>
      </c>
      <c r="BD63">
        <v>101589.726</v>
      </c>
      <c r="BE63">
        <v>106295.712</v>
      </c>
      <c r="BF63">
        <v>110193.28</v>
      </c>
      <c r="BG63">
        <v>119645.424</v>
      </c>
      <c r="BH63">
        <v>127698</v>
      </c>
      <c r="BI63">
        <v>137713.79399999999</v>
      </c>
      <c r="BJ63">
        <v>139806</v>
      </c>
      <c r="BK63">
        <v>150000</v>
      </c>
      <c r="BL63">
        <v>161820.22</v>
      </c>
      <c r="BM63">
        <v>190199.99999999991</v>
      </c>
      <c r="BN63">
        <v>213800</v>
      </c>
      <c r="BO63">
        <v>259913.9999999998</v>
      </c>
      <c r="BP63">
        <v>440000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0</v>
      </c>
      <c r="CK63">
        <v>0</v>
      </c>
    </row>
    <row r="64" spans="1:89" x14ac:dyDescent="0.35">
      <c r="A64">
        <v>337438</v>
      </c>
      <c r="B64" t="s">
        <v>388</v>
      </c>
      <c r="C64" t="s">
        <v>389</v>
      </c>
      <c r="D64" s="1">
        <v>45770</v>
      </c>
      <c r="E64">
        <v>53850</v>
      </c>
      <c r="F64">
        <v>128</v>
      </c>
      <c r="G64" t="s">
        <v>274</v>
      </c>
      <c r="H64" t="s">
        <v>48</v>
      </c>
      <c r="I64" t="s">
        <v>49</v>
      </c>
      <c r="K64" t="s">
        <v>295</v>
      </c>
      <c r="L64">
        <v>1283300001665</v>
      </c>
      <c r="M64">
        <v>20250422</v>
      </c>
      <c r="N64" t="s">
        <v>262</v>
      </c>
      <c r="Q64" t="s">
        <v>58</v>
      </c>
      <c r="R64">
        <v>162810.71</v>
      </c>
      <c r="S64">
        <v>0</v>
      </c>
      <c r="T64">
        <v>4254896</v>
      </c>
      <c r="U64">
        <v>6234730726</v>
      </c>
      <c r="V64" t="s">
        <v>410</v>
      </c>
      <c r="W64" t="s">
        <v>56</v>
      </c>
      <c r="X64" t="s">
        <v>411</v>
      </c>
      <c r="Y64" t="s">
        <v>51</v>
      </c>
      <c r="Z64">
        <v>1919</v>
      </c>
      <c r="AH64">
        <v>0</v>
      </c>
      <c r="AI64">
        <v>202504</v>
      </c>
      <c r="AJ64" t="s">
        <v>63</v>
      </c>
      <c r="AK64">
        <v>0</v>
      </c>
      <c r="AL64">
        <v>1</v>
      </c>
      <c r="AO64">
        <v>1</v>
      </c>
      <c r="AP64">
        <v>999</v>
      </c>
      <c r="AQ64">
        <v>430</v>
      </c>
      <c r="AR64">
        <v>430999</v>
      </c>
      <c r="AT64">
        <v>1</v>
      </c>
      <c r="AU64" t="s">
        <v>57</v>
      </c>
      <c r="AV64">
        <v>101552.46</v>
      </c>
      <c r="AW64">
        <v>114647.6485</v>
      </c>
      <c r="AX64">
        <v>118167.008</v>
      </c>
      <c r="AY64">
        <v>123559.05899999999</v>
      </c>
      <c r="AZ64">
        <v>128796.368</v>
      </c>
      <c r="BA64">
        <v>130000</v>
      </c>
      <c r="BB64">
        <v>135819.11300000001</v>
      </c>
      <c r="BC64">
        <v>145008.255</v>
      </c>
      <c r="BD64">
        <v>146226.546</v>
      </c>
      <c r="BE64">
        <v>148171.67300000001</v>
      </c>
      <c r="BF64">
        <v>156533.16500000001</v>
      </c>
      <c r="BG64">
        <v>167340.8915</v>
      </c>
      <c r="BH64">
        <v>179808.78</v>
      </c>
      <c r="BI64">
        <v>187222.14799999999</v>
      </c>
      <c r="BJ64">
        <v>206328.26500000001</v>
      </c>
      <c r="BK64">
        <v>220390.6225</v>
      </c>
      <c r="BL64">
        <v>239280.00000000009</v>
      </c>
      <c r="BM64">
        <v>298738.61</v>
      </c>
      <c r="BN64">
        <v>365407.64500000002</v>
      </c>
      <c r="BO64">
        <v>399465.49400000001</v>
      </c>
      <c r="BP64">
        <v>515709.15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 x14ac:dyDescent="0.35">
      <c r="A65">
        <v>337435</v>
      </c>
      <c r="B65" t="s">
        <v>388</v>
      </c>
      <c r="C65" t="s">
        <v>389</v>
      </c>
      <c r="D65" s="1">
        <v>45770</v>
      </c>
      <c r="E65">
        <v>53850</v>
      </c>
      <c r="F65">
        <v>267</v>
      </c>
      <c r="G65" t="s">
        <v>170</v>
      </c>
      <c r="H65" t="s">
        <v>48</v>
      </c>
      <c r="I65" t="s">
        <v>49</v>
      </c>
      <c r="K65">
        <v>202504227918583</v>
      </c>
      <c r="L65">
        <v>2673300003600</v>
      </c>
      <c r="M65">
        <v>20250422</v>
      </c>
      <c r="N65" t="s">
        <v>265</v>
      </c>
      <c r="Q65" t="s">
        <v>58</v>
      </c>
      <c r="R65">
        <v>134000</v>
      </c>
      <c r="S65">
        <v>134000</v>
      </c>
      <c r="T65">
        <v>1705101</v>
      </c>
      <c r="U65">
        <v>2896870793</v>
      </c>
      <c r="V65" t="s">
        <v>288</v>
      </c>
      <c r="W65" t="s">
        <v>64</v>
      </c>
      <c r="X65" t="s">
        <v>258</v>
      </c>
      <c r="Y65" t="s">
        <v>51</v>
      </c>
      <c r="Z65">
        <v>1878</v>
      </c>
      <c r="AH65">
        <v>0</v>
      </c>
      <c r="AI65">
        <v>202504</v>
      </c>
      <c r="AJ65" t="s">
        <v>63</v>
      </c>
      <c r="AK65">
        <v>0</v>
      </c>
      <c r="AL65">
        <v>1</v>
      </c>
      <c r="AM65">
        <v>1705101</v>
      </c>
      <c r="AN65">
        <v>1</v>
      </c>
      <c r="AO65">
        <v>0</v>
      </c>
      <c r="AP65">
        <v>999</v>
      </c>
      <c r="AQ65">
        <v>492</v>
      </c>
      <c r="AR65">
        <v>492999</v>
      </c>
      <c r="AT65">
        <v>1</v>
      </c>
      <c r="AU65" t="s">
        <v>272</v>
      </c>
      <c r="AV65">
        <v>98000</v>
      </c>
      <c r="AW65">
        <v>98368.7</v>
      </c>
      <c r="AX65">
        <v>98737.4</v>
      </c>
      <c r="AY65">
        <v>99106.1</v>
      </c>
      <c r="AZ65">
        <v>99955</v>
      </c>
      <c r="BA65">
        <v>101044</v>
      </c>
      <c r="BB65">
        <v>102133</v>
      </c>
      <c r="BC65">
        <v>103273.1</v>
      </c>
      <c r="BD65">
        <v>104515.4</v>
      </c>
      <c r="BE65">
        <v>105757.7</v>
      </c>
      <c r="BF65">
        <v>107000</v>
      </c>
      <c r="BG65">
        <v>109400</v>
      </c>
      <c r="BH65">
        <v>111800</v>
      </c>
      <c r="BI65">
        <v>114200</v>
      </c>
      <c r="BJ65">
        <v>118800</v>
      </c>
      <c r="BK65">
        <v>124500</v>
      </c>
      <c r="BL65">
        <v>130200</v>
      </c>
      <c r="BM65">
        <v>151054.99999999991</v>
      </c>
      <c r="BN65">
        <v>202220.00000000009</v>
      </c>
      <c r="BO65">
        <v>253384.99999999991</v>
      </c>
      <c r="BP65">
        <v>304550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0</v>
      </c>
      <c r="CI65">
        <v>0</v>
      </c>
      <c r="CJ65">
        <v>0</v>
      </c>
      <c r="CK65">
        <v>0</v>
      </c>
    </row>
    <row r="66" spans="1:89" x14ac:dyDescent="0.35">
      <c r="A66">
        <v>337424</v>
      </c>
      <c r="B66" t="s">
        <v>388</v>
      </c>
      <c r="C66" t="s">
        <v>389</v>
      </c>
      <c r="D66" s="1">
        <v>45770</v>
      </c>
      <c r="E66">
        <v>53850</v>
      </c>
      <c r="F66">
        <v>175</v>
      </c>
      <c r="G66" t="s">
        <v>65</v>
      </c>
      <c r="H66" t="s">
        <v>48</v>
      </c>
      <c r="I66" t="s">
        <v>49</v>
      </c>
      <c r="K66" t="s">
        <v>295</v>
      </c>
      <c r="L66">
        <v>1753302203127</v>
      </c>
      <c r="M66">
        <v>20250422</v>
      </c>
      <c r="N66" t="s">
        <v>262</v>
      </c>
      <c r="Q66" t="s">
        <v>58</v>
      </c>
      <c r="R66">
        <v>108027.24</v>
      </c>
      <c r="S66">
        <v>25145</v>
      </c>
      <c r="T66">
        <v>4160138</v>
      </c>
      <c r="U66">
        <v>484200779</v>
      </c>
      <c r="V66" t="s">
        <v>279</v>
      </c>
      <c r="W66" t="s">
        <v>56</v>
      </c>
      <c r="X66" t="s">
        <v>280</v>
      </c>
      <c r="Y66" t="s">
        <v>51</v>
      </c>
      <c r="Z66">
        <v>739</v>
      </c>
      <c r="AH66">
        <v>0</v>
      </c>
      <c r="AI66">
        <v>202504</v>
      </c>
      <c r="AJ66" t="s">
        <v>168</v>
      </c>
      <c r="AK66">
        <v>1</v>
      </c>
      <c r="AL66">
        <v>1</v>
      </c>
      <c r="AM66">
        <v>4160138</v>
      </c>
      <c r="AN66">
        <v>1</v>
      </c>
      <c r="AO66">
        <v>1</v>
      </c>
      <c r="AP66">
        <v>999</v>
      </c>
      <c r="AQ66">
        <v>430</v>
      </c>
      <c r="AR66">
        <v>430999</v>
      </c>
      <c r="AT66">
        <v>1</v>
      </c>
      <c r="AU66" t="s">
        <v>57</v>
      </c>
      <c r="AV66">
        <v>101552.46</v>
      </c>
      <c r="AW66">
        <v>114647.6485</v>
      </c>
      <c r="AX66">
        <v>118167.008</v>
      </c>
      <c r="AY66">
        <v>123559.05899999999</v>
      </c>
      <c r="AZ66">
        <v>128796.368</v>
      </c>
      <c r="BA66">
        <v>130000</v>
      </c>
      <c r="BB66">
        <v>135819.11300000001</v>
      </c>
      <c r="BC66">
        <v>145008.255</v>
      </c>
      <c r="BD66">
        <v>146226.546</v>
      </c>
      <c r="BE66">
        <v>148171.67300000001</v>
      </c>
      <c r="BF66">
        <v>156533.16500000001</v>
      </c>
      <c r="BG66">
        <v>167340.8915</v>
      </c>
      <c r="BH66">
        <v>179808.78</v>
      </c>
      <c r="BI66">
        <v>187222.14799999999</v>
      </c>
      <c r="BJ66">
        <v>206328.26500000001</v>
      </c>
      <c r="BK66">
        <v>220390.6225</v>
      </c>
      <c r="BL66">
        <v>239280.00000000009</v>
      </c>
      <c r="BM66">
        <v>298738.61</v>
      </c>
      <c r="BN66">
        <v>365407.64500000002</v>
      </c>
      <c r="BO66">
        <v>399465.49400000001</v>
      </c>
      <c r="BP66">
        <v>515709.15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 x14ac:dyDescent="0.35">
      <c r="A67">
        <v>337410</v>
      </c>
      <c r="B67" t="s">
        <v>388</v>
      </c>
      <c r="C67" t="s">
        <v>389</v>
      </c>
      <c r="D67" s="1">
        <v>45766</v>
      </c>
      <c r="E67">
        <v>53850</v>
      </c>
      <c r="F67">
        <v>171</v>
      </c>
      <c r="G67" t="s">
        <v>70</v>
      </c>
      <c r="H67" t="s">
        <v>48</v>
      </c>
      <c r="I67" t="s">
        <v>49</v>
      </c>
      <c r="K67" t="s">
        <v>297</v>
      </c>
      <c r="L67">
        <v>1713305728950</v>
      </c>
      <c r="M67">
        <v>20250418</v>
      </c>
      <c r="N67" t="s">
        <v>253</v>
      </c>
      <c r="Q67" t="s">
        <v>58</v>
      </c>
      <c r="R67">
        <v>356959.45</v>
      </c>
      <c r="S67">
        <v>356959.45</v>
      </c>
      <c r="T67">
        <v>572895</v>
      </c>
      <c r="U67">
        <v>4161600723</v>
      </c>
      <c r="V67" t="s">
        <v>257</v>
      </c>
      <c r="W67" t="s">
        <v>56</v>
      </c>
      <c r="X67" t="s">
        <v>258</v>
      </c>
      <c r="Y67" t="s">
        <v>51</v>
      </c>
      <c r="Z67">
        <v>1903</v>
      </c>
      <c r="AH67">
        <v>0</v>
      </c>
      <c r="AI67">
        <v>202504</v>
      </c>
      <c r="AJ67" t="s">
        <v>63</v>
      </c>
      <c r="AK67">
        <v>0</v>
      </c>
      <c r="AL67">
        <v>1</v>
      </c>
      <c r="AM67">
        <v>572895</v>
      </c>
      <c r="AN67">
        <v>1</v>
      </c>
      <c r="AO67">
        <v>0</v>
      </c>
      <c r="AP67">
        <v>999</v>
      </c>
      <c r="AQ67">
        <v>430</v>
      </c>
      <c r="AR67">
        <v>430999</v>
      </c>
      <c r="AT67">
        <v>1</v>
      </c>
      <c r="AU67" t="s">
        <v>57</v>
      </c>
      <c r="AV67">
        <v>101552.46</v>
      </c>
      <c r="AW67">
        <v>114647.6485</v>
      </c>
      <c r="AX67">
        <v>118167.008</v>
      </c>
      <c r="AY67">
        <v>123559.05899999999</v>
      </c>
      <c r="AZ67">
        <v>128796.368</v>
      </c>
      <c r="BA67">
        <v>130000</v>
      </c>
      <c r="BB67">
        <v>135819.11300000001</v>
      </c>
      <c r="BC67">
        <v>145008.255</v>
      </c>
      <c r="BD67">
        <v>146226.546</v>
      </c>
      <c r="BE67">
        <v>148171.67300000001</v>
      </c>
      <c r="BF67">
        <v>156533.16500000001</v>
      </c>
      <c r="BG67">
        <v>167340.8915</v>
      </c>
      <c r="BH67">
        <v>179808.78</v>
      </c>
      <c r="BI67">
        <v>187222.14799999999</v>
      </c>
      <c r="BJ67">
        <v>206328.26500000001</v>
      </c>
      <c r="BK67">
        <v>220390.6225</v>
      </c>
      <c r="BL67">
        <v>239280.00000000009</v>
      </c>
      <c r="BM67">
        <v>298738.61</v>
      </c>
      <c r="BN67">
        <v>365407.64500000002</v>
      </c>
      <c r="BO67">
        <v>399465.49400000001</v>
      </c>
      <c r="BP67">
        <v>515709.15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0</v>
      </c>
      <c r="CJ67">
        <v>0</v>
      </c>
      <c r="CK67">
        <v>0</v>
      </c>
    </row>
    <row r="68" spans="1:89" x14ac:dyDescent="0.35">
      <c r="A68">
        <v>337409</v>
      </c>
      <c r="B68" t="s">
        <v>388</v>
      </c>
      <c r="C68" t="s">
        <v>389</v>
      </c>
      <c r="D68" s="1">
        <v>45766</v>
      </c>
      <c r="E68">
        <v>53850</v>
      </c>
      <c r="F68">
        <v>164</v>
      </c>
      <c r="G68" t="s">
        <v>355</v>
      </c>
      <c r="H68" t="s">
        <v>48</v>
      </c>
      <c r="I68" t="s">
        <v>49</v>
      </c>
      <c r="K68">
        <v>202504187910080</v>
      </c>
      <c r="L68">
        <v>1643300370890</v>
      </c>
      <c r="M68">
        <v>20250418</v>
      </c>
      <c r="N68" t="s">
        <v>400</v>
      </c>
      <c r="Q68" t="s">
        <v>58</v>
      </c>
      <c r="R68">
        <v>130000</v>
      </c>
      <c r="S68">
        <v>0</v>
      </c>
      <c r="T68">
        <v>810024</v>
      </c>
      <c r="U68" t="s">
        <v>454</v>
      </c>
      <c r="V68" t="s">
        <v>455</v>
      </c>
      <c r="W68" t="s">
        <v>50</v>
      </c>
      <c r="Y68" t="s">
        <v>51</v>
      </c>
      <c r="Z68">
        <v>793</v>
      </c>
      <c r="AH68">
        <v>0</v>
      </c>
      <c r="AI68">
        <v>202504</v>
      </c>
      <c r="AJ68" t="s">
        <v>169</v>
      </c>
      <c r="AK68">
        <v>1</v>
      </c>
      <c r="AL68">
        <v>1</v>
      </c>
      <c r="AO68">
        <v>0</v>
      </c>
      <c r="AP68">
        <v>999</v>
      </c>
      <c r="AQ68">
        <v>600</v>
      </c>
      <c r="AR68">
        <v>600999</v>
      </c>
      <c r="AS68" t="s">
        <v>52</v>
      </c>
      <c r="AU68" t="s">
        <v>52</v>
      </c>
      <c r="AV68">
        <v>107500</v>
      </c>
      <c r="AW68">
        <v>109625</v>
      </c>
      <c r="AX68">
        <v>110000</v>
      </c>
      <c r="AY68">
        <v>112750</v>
      </c>
      <c r="AZ68">
        <v>120738</v>
      </c>
      <c r="BA68">
        <v>129508.75</v>
      </c>
      <c r="BB68">
        <v>130380</v>
      </c>
      <c r="BC68">
        <v>133610</v>
      </c>
      <c r="BD68">
        <v>133800</v>
      </c>
      <c r="BE68">
        <v>141080</v>
      </c>
      <c r="BF68">
        <v>147500</v>
      </c>
      <c r="BG68">
        <v>155382.03049999999</v>
      </c>
      <c r="BH68">
        <v>165585.11799999999</v>
      </c>
      <c r="BI68">
        <v>166416.67000000001</v>
      </c>
      <c r="BJ68">
        <v>166416.67000000001</v>
      </c>
      <c r="BK68">
        <v>173582.95749999999</v>
      </c>
      <c r="BL68">
        <v>190388.68799999999</v>
      </c>
      <c r="BM68">
        <v>212150</v>
      </c>
      <c r="BN68">
        <v>283513.16900000011</v>
      </c>
      <c r="BO68">
        <v>415377.23</v>
      </c>
      <c r="BP68">
        <v>415377.23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 x14ac:dyDescent="0.35">
      <c r="A69">
        <v>337405</v>
      </c>
      <c r="B69" t="s">
        <v>388</v>
      </c>
      <c r="C69" t="s">
        <v>389</v>
      </c>
      <c r="D69" s="1">
        <v>45766</v>
      </c>
      <c r="E69">
        <v>53850</v>
      </c>
      <c r="F69">
        <v>103</v>
      </c>
      <c r="G69" t="s">
        <v>59</v>
      </c>
      <c r="H69" t="s">
        <v>48</v>
      </c>
      <c r="I69" t="s">
        <v>49</v>
      </c>
      <c r="K69" t="s">
        <v>297</v>
      </c>
      <c r="L69">
        <v>1033306971100</v>
      </c>
      <c r="M69">
        <v>20250418</v>
      </c>
      <c r="N69" t="s">
        <v>262</v>
      </c>
      <c r="Q69" t="s">
        <v>58</v>
      </c>
      <c r="R69">
        <v>160000</v>
      </c>
      <c r="S69">
        <v>0</v>
      </c>
      <c r="T69">
        <v>557455</v>
      </c>
      <c r="U69" t="s">
        <v>456</v>
      </c>
      <c r="V69" t="s">
        <v>457</v>
      </c>
      <c r="W69" t="s">
        <v>50</v>
      </c>
      <c r="Y69" t="s">
        <v>51</v>
      </c>
      <c r="Z69">
        <v>1916</v>
      </c>
      <c r="AH69">
        <v>0</v>
      </c>
      <c r="AI69">
        <v>202504</v>
      </c>
      <c r="AJ69" t="s">
        <v>168</v>
      </c>
      <c r="AK69">
        <v>1</v>
      </c>
      <c r="AL69">
        <v>1</v>
      </c>
      <c r="AO69">
        <v>1</v>
      </c>
      <c r="AP69">
        <v>999</v>
      </c>
      <c r="AQ69">
        <v>600</v>
      </c>
      <c r="AR69">
        <v>600999</v>
      </c>
      <c r="AS69" t="s">
        <v>52</v>
      </c>
      <c r="AU69" t="s">
        <v>52</v>
      </c>
      <c r="AV69">
        <v>107500</v>
      </c>
      <c r="AW69">
        <v>109625</v>
      </c>
      <c r="AX69">
        <v>110000</v>
      </c>
      <c r="AY69">
        <v>112750</v>
      </c>
      <c r="AZ69">
        <v>120738</v>
      </c>
      <c r="BA69">
        <v>129508.75</v>
      </c>
      <c r="BB69">
        <v>130380</v>
      </c>
      <c r="BC69">
        <v>133610</v>
      </c>
      <c r="BD69">
        <v>133800</v>
      </c>
      <c r="BE69">
        <v>141080</v>
      </c>
      <c r="BF69">
        <v>147500</v>
      </c>
      <c r="BG69">
        <v>155382.03049999999</v>
      </c>
      <c r="BH69">
        <v>165585.11799999999</v>
      </c>
      <c r="BI69">
        <v>166416.67000000001</v>
      </c>
      <c r="BJ69">
        <v>166416.67000000001</v>
      </c>
      <c r="BK69">
        <v>173582.95749999999</v>
      </c>
      <c r="BL69">
        <v>190388.68799999999</v>
      </c>
      <c r="BM69">
        <v>212150</v>
      </c>
      <c r="BN69">
        <v>283513.16900000011</v>
      </c>
      <c r="BO69">
        <v>415377.23</v>
      </c>
      <c r="BP69">
        <v>415377.23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 x14ac:dyDescent="0.35">
      <c r="A70">
        <v>337403</v>
      </c>
      <c r="B70" t="s">
        <v>388</v>
      </c>
      <c r="C70" t="s">
        <v>389</v>
      </c>
      <c r="D70" s="1">
        <v>45766</v>
      </c>
      <c r="E70">
        <v>53850</v>
      </c>
      <c r="F70">
        <v>171</v>
      </c>
      <c r="G70" t="s">
        <v>70</v>
      </c>
      <c r="H70" t="s">
        <v>48</v>
      </c>
      <c r="I70" t="s">
        <v>49</v>
      </c>
      <c r="K70" t="s">
        <v>297</v>
      </c>
      <c r="L70">
        <v>1713302214147</v>
      </c>
      <c r="M70">
        <v>20250418</v>
      </c>
      <c r="N70" t="s">
        <v>253</v>
      </c>
      <c r="Q70" t="s">
        <v>58</v>
      </c>
      <c r="R70">
        <v>147260.07</v>
      </c>
      <c r="S70">
        <v>147260.07</v>
      </c>
      <c r="T70">
        <v>4199319</v>
      </c>
      <c r="U70">
        <v>6037810725</v>
      </c>
      <c r="V70" t="s">
        <v>269</v>
      </c>
      <c r="W70" t="s">
        <v>56</v>
      </c>
      <c r="X70" t="s">
        <v>258</v>
      </c>
      <c r="Y70" t="s">
        <v>51</v>
      </c>
      <c r="Z70">
        <v>1903</v>
      </c>
      <c r="AH70">
        <v>0</v>
      </c>
      <c r="AI70">
        <v>202504</v>
      </c>
      <c r="AJ70" t="s">
        <v>63</v>
      </c>
      <c r="AK70">
        <v>0</v>
      </c>
      <c r="AL70">
        <v>1</v>
      </c>
      <c r="AM70">
        <v>4199319</v>
      </c>
      <c r="AN70">
        <v>1</v>
      </c>
      <c r="AO70">
        <v>0</v>
      </c>
      <c r="AP70">
        <v>999</v>
      </c>
      <c r="AQ70">
        <v>430</v>
      </c>
      <c r="AR70">
        <v>430999</v>
      </c>
      <c r="AT70">
        <v>1</v>
      </c>
      <c r="AU70" t="s">
        <v>57</v>
      </c>
      <c r="AV70">
        <v>101552.46</v>
      </c>
      <c r="AW70">
        <v>114647.6485</v>
      </c>
      <c r="AX70">
        <v>118167.008</v>
      </c>
      <c r="AY70">
        <v>123559.05899999999</v>
      </c>
      <c r="AZ70">
        <v>128796.368</v>
      </c>
      <c r="BA70">
        <v>130000</v>
      </c>
      <c r="BB70">
        <v>135819.11300000001</v>
      </c>
      <c r="BC70">
        <v>145008.255</v>
      </c>
      <c r="BD70">
        <v>146226.546</v>
      </c>
      <c r="BE70">
        <v>148171.67300000001</v>
      </c>
      <c r="BF70">
        <v>156533.16500000001</v>
      </c>
      <c r="BG70">
        <v>167340.8915</v>
      </c>
      <c r="BH70">
        <v>179808.78</v>
      </c>
      <c r="BI70">
        <v>187222.14799999999</v>
      </c>
      <c r="BJ70">
        <v>206328.26500000001</v>
      </c>
      <c r="BK70">
        <v>220390.6225</v>
      </c>
      <c r="BL70">
        <v>239280.00000000009</v>
      </c>
      <c r="BM70">
        <v>298738.61</v>
      </c>
      <c r="BN70">
        <v>365407.64500000002</v>
      </c>
      <c r="BO70">
        <v>399465.49400000001</v>
      </c>
      <c r="BP70">
        <v>515709.15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 x14ac:dyDescent="0.35">
      <c r="A71">
        <v>337399</v>
      </c>
      <c r="B71" t="s">
        <v>388</v>
      </c>
      <c r="C71" t="s">
        <v>389</v>
      </c>
      <c r="D71" s="1">
        <v>45766</v>
      </c>
      <c r="E71">
        <v>53850</v>
      </c>
      <c r="F71">
        <v>104</v>
      </c>
      <c r="G71" t="s">
        <v>53</v>
      </c>
      <c r="H71" t="s">
        <v>48</v>
      </c>
      <c r="I71" t="s">
        <v>49</v>
      </c>
      <c r="K71" t="s">
        <v>297</v>
      </c>
      <c r="L71">
        <v>1043309509217</v>
      </c>
      <c r="M71">
        <v>20250418</v>
      </c>
      <c r="N71" t="s">
        <v>253</v>
      </c>
      <c r="Q71" t="s">
        <v>58</v>
      </c>
      <c r="R71">
        <v>121800</v>
      </c>
      <c r="S71">
        <v>121800</v>
      </c>
      <c r="T71">
        <v>4323562</v>
      </c>
      <c r="U71" t="s">
        <v>298</v>
      </c>
      <c r="V71" t="s">
        <v>299</v>
      </c>
      <c r="W71" t="s">
        <v>66</v>
      </c>
      <c r="X71" t="s">
        <v>261</v>
      </c>
      <c r="Y71" t="s">
        <v>51</v>
      </c>
      <c r="Z71">
        <v>1401</v>
      </c>
      <c r="AH71">
        <v>0</v>
      </c>
      <c r="AI71">
        <v>202504</v>
      </c>
      <c r="AJ71" t="s">
        <v>63</v>
      </c>
      <c r="AK71">
        <v>0</v>
      </c>
      <c r="AL71">
        <v>1</v>
      </c>
      <c r="AM71">
        <v>4323562</v>
      </c>
      <c r="AN71">
        <v>1</v>
      </c>
      <c r="AO71">
        <v>0</v>
      </c>
      <c r="AP71">
        <v>999</v>
      </c>
      <c r="AQ71">
        <v>615</v>
      </c>
      <c r="AR71">
        <v>615999</v>
      </c>
      <c r="AT71">
        <v>1</v>
      </c>
      <c r="AU71" t="s">
        <v>61</v>
      </c>
      <c r="AV71">
        <v>85050</v>
      </c>
      <c r="AW71">
        <v>89030</v>
      </c>
      <c r="AX71">
        <v>91669.203999999998</v>
      </c>
      <c r="AY71">
        <v>93087.394</v>
      </c>
      <c r="AZ71">
        <v>94164.18</v>
      </c>
      <c r="BA71">
        <v>96798.05</v>
      </c>
      <c r="BB71">
        <v>100000</v>
      </c>
      <c r="BC71">
        <v>100000</v>
      </c>
      <c r="BD71">
        <v>101589.726</v>
      </c>
      <c r="BE71">
        <v>106295.712</v>
      </c>
      <c r="BF71">
        <v>110193.28</v>
      </c>
      <c r="BG71">
        <v>119645.424</v>
      </c>
      <c r="BH71">
        <v>127698</v>
      </c>
      <c r="BI71">
        <v>137713.79399999999</v>
      </c>
      <c r="BJ71">
        <v>139806</v>
      </c>
      <c r="BK71">
        <v>150000</v>
      </c>
      <c r="BL71">
        <v>161820.22</v>
      </c>
      <c r="BM71">
        <v>190199.99999999991</v>
      </c>
      <c r="BN71">
        <v>213800</v>
      </c>
      <c r="BO71">
        <v>259913.9999999998</v>
      </c>
      <c r="BP71">
        <v>440000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 x14ac:dyDescent="0.35">
      <c r="A72">
        <v>337398</v>
      </c>
      <c r="B72" t="s">
        <v>388</v>
      </c>
      <c r="C72" t="s">
        <v>389</v>
      </c>
      <c r="D72" s="1">
        <v>45766</v>
      </c>
      <c r="E72">
        <v>53850</v>
      </c>
      <c r="F72">
        <v>103</v>
      </c>
      <c r="G72" t="s">
        <v>59</v>
      </c>
      <c r="H72" t="s">
        <v>48</v>
      </c>
      <c r="I72" t="s">
        <v>49</v>
      </c>
      <c r="K72" t="s">
        <v>297</v>
      </c>
      <c r="L72">
        <v>1033306971100</v>
      </c>
      <c r="M72">
        <v>20250418</v>
      </c>
      <c r="N72" t="s">
        <v>262</v>
      </c>
      <c r="Q72" t="s">
        <v>58</v>
      </c>
      <c r="R72">
        <v>160000</v>
      </c>
      <c r="S72">
        <v>0</v>
      </c>
      <c r="T72">
        <v>615551</v>
      </c>
      <c r="U72" t="s">
        <v>458</v>
      </c>
      <c r="V72" t="s">
        <v>459</v>
      </c>
      <c r="W72" t="s">
        <v>66</v>
      </c>
      <c r="X72" t="s">
        <v>94</v>
      </c>
      <c r="Y72" t="s">
        <v>51</v>
      </c>
      <c r="Z72">
        <v>1916</v>
      </c>
      <c r="AH72">
        <v>0</v>
      </c>
      <c r="AI72">
        <v>202504</v>
      </c>
      <c r="AJ72" t="s">
        <v>168</v>
      </c>
      <c r="AK72">
        <v>1</v>
      </c>
      <c r="AL72">
        <v>1</v>
      </c>
      <c r="AO72">
        <v>1</v>
      </c>
      <c r="AP72">
        <v>999</v>
      </c>
      <c r="AQ72">
        <v>615</v>
      </c>
      <c r="AR72">
        <v>615999</v>
      </c>
      <c r="AT72">
        <v>1</v>
      </c>
      <c r="AU72" t="s">
        <v>61</v>
      </c>
      <c r="AV72">
        <v>85050</v>
      </c>
      <c r="AW72">
        <v>89030</v>
      </c>
      <c r="AX72">
        <v>91669.203999999998</v>
      </c>
      <c r="AY72">
        <v>93087.394</v>
      </c>
      <c r="AZ72">
        <v>94164.18</v>
      </c>
      <c r="BA72">
        <v>96798.05</v>
      </c>
      <c r="BB72">
        <v>100000</v>
      </c>
      <c r="BC72">
        <v>100000</v>
      </c>
      <c r="BD72">
        <v>101589.726</v>
      </c>
      <c r="BE72">
        <v>106295.712</v>
      </c>
      <c r="BF72">
        <v>110193.28</v>
      </c>
      <c r="BG72">
        <v>119645.424</v>
      </c>
      <c r="BH72">
        <v>127698</v>
      </c>
      <c r="BI72">
        <v>137713.79399999999</v>
      </c>
      <c r="BJ72">
        <v>139806</v>
      </c>
      <c r="BK72">
        <v>150000</v>
      </c>
      <c r="BL72">
        <v>161820.22</v>
      </c>
      <c r="BM72">
        <v>190199.99999999991</v>
      </c>
      <c r="BN72">
        <v>213800</v>
      </c>
      <c r="BO72">
        <v>259913.9999999998</v>
      </c>
      <c r="BP72">
        <v>440000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 x14ac:dyDescent="0.35">
      <c r="A73">
        <v>337394</v>
      </c>
      <c r="B73" t="s">
        <v>388</v>
      </c>
      <c r="C73" t="s">
        <v>389</v>
      </c>
      <c r="D73" s="1">
        <v>45766</v>
      </c>
      <c r="E73">
        <v>53850</v>
      </c>
      <c r="F73">
        <v>161</v>
      </c>
      <c r="G73" t="s">
        <v>95</v>
      </c>
      <c r="H73" t="s">
        <v>48</v>
      </c>
      <c r="I73" t="s">
        <v>49</v>
      </c>
      <c r="K73" t="s">
        <v>297</v>
      </c>
      <c r="L73">
        <v>1613300029653</v>
      </c>
      <c r="M73">
        <v>20250418</v>
      </c>
      <c r="N73" t="s">
        <v>262</v>
      </c>
      <c r="Q73" t="s">
        <v>58</v>
      </c>
      <c r="R73">
        <v>79937.08</v>
      </c>
      <c r="S73">
        <v>5000</v>
      </c>
      <c r="T73">
        <v>4088769</v>
      </c>
      <c r="U73">
        <v>5150120722</v>
      </c>
      <c r="V73" t="s">
        <v>407</v>
      </c>
      <c r="W73" t="s">
        <v>56</v>
      </c>
      <c r="X73" t="s">
        <v>78</v>
      </c>
      <c r="Y73" t="s">
        <v>51</v>
      </c>
      <c r="Z73">
        <v>1903</v>
      </c>
      <c r="AH73">
        <v>0</v>
      </c>
      <c r="AI73">
        <v>202504</v>
      </c>
      <c r="AJ73" t="s">
        <v>63</v>
      </c>
      <c r="AK73">
        <v>0</v>
      </c>
      <c r="AL73">
        <v>1</v>
      </c>
      <c r="AM73">
        <v>4088769</v>
      </c>
      <c r="AN73">
        <v>1</v>
      </c>
      <c r="AO73">
        <v>1</v>
      </c>
      <c r="AP73">
        <v>464</v>
      </c>
      <c r="AQ73">
        <v>430</v>
      </c>
      <c r="AR73">
        <v>430464</v>
      </c>
      <c r="AS73" t="s">
        <v>79</v>
      </c>
      <c r="AU73" t="s">
        <v>79</v>
      </c>
      <c r="AV73">
        <v>76382.789999999994</v>
      </c>
      <c r="AW73">
        <v>79891.56</v>
      </c>
      <c r="AX73">
        <v>79937.08</v>
      </c>
      <c r="AY73">
        <v>88865.89</v>
      </c>
      <c r="AZ73">
        <v>94634.78</v>
      </c>
      <c r="BA73">
        <v>97229.53</v>
      </c>
      <c r="BB73">
        <v>98360.01</v>
      </c>
      <c r="BC73">
        <v>100000</v>
      </c>
      <c r="BD73">
        <v>104738.68</v>
      </c>
      <c r="BE73">
        <v>108176.82</v>
      </c>
      <c r="BF73">
        <v>110891.36</v>
      </c>
      <c r="BG73">
        <v>115427.47</v>
      </c>
      <c r="BH73">
        <v>118009.65</v>
      </c>
      <c r="BI73">
        <v>136718.03</v>
      </c>
      <c r="BJ73">
        <v>148758.49</v>
      </c>
      <c r="BK73">
        <v>182944.14</v>
      </c>
      <c r="BL73">
        <v>217448.27</v>
      </c>
      <c r="BM73">
        <v>222704.65</v>
      </c>
      <c r="BN73">
        <v>225130.1</v>
      </c>
      <c r="BO73">
        <v>259946.2</v>
      </c>
      <c r="BP73">
        <v>270019.89</v>
      </c>
      <c r="BQ73">
        <v>1</v>
      </c>
      <c r="BR73">
        <v>1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 x14ac:dyDescent="0.35">
      <c r="A74">
        <v>337393</v>
      </c>
      <c r="B74" t="s">
        <v>388</v>
      </c>
      <c r="C74" t="s">
        <v>389</v>
      </c>
      <c r="D74" s="1">
        <v>45766</v>
      </c>
      <c r="E74">
        <v>53850</v>
      </c>
      <c r="F74">
        <v>164</v>
      </c>
      <c r="G74" t="s">
        <v>355</v>
      </c>
      <c r="H74" t="s">
        <v>48</v>
      </c>
      <c r="I74" t="s">
        <v>49</v>
      </c>
      <c r="K74">
        <v>202504187910080</v>
      </c>
      <c r="L74">
        <v>1643300370890</v>
      </c>
      <c r="M74">
        <v>20250418</v>
      </c>
      <c r="N74" t="s">
        <v>400</v>
      </c>
      <c r="Q74" t="s">
        <v>58</v>
      </c>
      <c r="R74">
        <v>130000</v>
      </c>
      <c r="S74">
        <v>0</v>
      </c>
      <c r="T74">
        <v>811351</v>
      </c>
      <c r="U74" t="s">
        <v>460</v>
      </c>
      <c r="V74" t="s">
        <v>461</v>
      </c>
      <c r="W74" t="s">
        <v>50</v>
      </c>
      <c r="Y74" t="s">
        <v>51</v>
      </c>
      <c r="AH74">
        <v>0</v>
      </c>
      <c r="AI74">
        <v>202504</v>
      </c>
      <c r="AJ74" t="s">
        <v>63</v>
      </c>
      <c r="AK74">
        <v>0</v>
      </c>
      <c r="AL74">
        <v>1</v>
      </c>
      <c r="AO74">
        <v>0</v>
      </c>
      <c r="AP74">
        <v>999</v>
      </c>
      <c r="AQ74">
        <v>600</v>
      </c>
      <c r="AR74">
        <v>600999</v>
      </c>
      <c r="AS74" t="s">
        <v>52</v>
      </c>
      <c r="AU74" t="s">
        <v>52</v>
      </c>
      <c r="AV74">
        <v>107500</v>
      </c>
      <c r="AW74">
        <v>109625</v>
      </c>
      <c r="AX74">
        <v>110000</v>
      </c>
      <c r="AY74">
        <v>112750</v>
      </c>
      <c r="AZ74">
        <v>120738</v>
      </c>
      <c r="BA74">
        <v>129508.75</v>
      </c>
      <c r="BB74">
        <v>130380</v>
      </c>
      <c r="BC74">
        <v>133610</v>
      </c>
      <c r="BD74">
        <v>133800</v>
      </c>
      <c r="BE74">
        <v>141080</v>
      </c>
      <c r="BF74">
        <v>147500</v>
      </c>
      <c r="BG74">
        <v>155382.03049999999</v>
      </c>
      <c r="BH74">
        <v>165585.11799999999</v>
      </c>
      <c r="BI74">
        <v>166416.67000000001</v>
      </c>
      <c r="BJ74">
        <v>166416.67000000001</v>
      </c>
      <c r="BK74">
        <v>173582.95749999999</v>
      </c>
      <c r="BL74">
        <v>190388.68799999999</v>
      </c>
      <c r="BM74">
        <v>212150</v>
      </c>
      <c r="BN74">
        <v>283513.16900000011</v>
      </c>
      <c r="BO74">
        <v>415377.23</v>
      </c>
      <c r="BP74">
        <v>415377.23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 x14ac:dyDescent="0.35">
      <c r="A75">
        <v>337389</v>
      </c>
      <c r="B75" t="s">
        <v>388</v>
      </c>
      <c r="C75" t="s">
        <v>389</v>
      </c>
      <c r="D75" s="1">
        <v>45766</v>
      </c>
      <c r="E75">
        <v>53850</v>
      </c>
      <c r="F75">
        <v>103</v>
      </c>
      <c r="G75" t="s">
        <v>59</v>
      </c>
      <c r="H75" t="s">
        <v>48</v>
      </c>
      <c r="I75" t="s">
        <v>49</v>
      </c>
      <c r="K75">
        <v>202504187909880</v>
      </c>
      <c r="L75">
        <v>1033306976386</v>
      </c>
      <c r="M75">
        <v>20250418</v>
      </c>
      <c r="N75" t="s">
        <v>417</v>
      </c>
      <c r="Q75" t="s">
        <v>58</v>
      </c>
      <c r="R75">
        <v>103334</v>
      </c>
      <c r="S75">
        <v>0</v>
      </c>
      <c r="T75">
        <v>609867</v>
      </c>
      <c r="U75" t="s">
        <v>462</v>
      </c>
      <c r="V75" t="s">
        <v>463</v>
      </c>
      <c r="W75" t="s">
        <v>50</v>
      </c>
      <c r="Y75" t="s">
        <v>51</v>
      </c>
      <c r="Z75">
        <v>407</v>
      </c>
      <c r="AH75">
        <v>0</v>
      </c>
      <c r="AI75">
        <v>202504</v>
      </c>
      <c r="AJ75" t="s">
        <v>168</v>
      </c>
      <c r="AK75">
        <v>1</v>
      </c>
      <c r="AL75">
        <v>1</v>
      </c>
      <c r="AO75">
        <v>0</v>
      </c>
      <c r="AP75">
        <v>999</v>
      </c>
      <c r="AQ75">
        <v>600</v>
      </c>
      <c r="AR75">
        <v>600999</v>
      </c>
      <c r="AS75" t="s">
        <v>52</v>
      </c>
      <c r="AU75" t="s">
        <v>52</v>
      </c>
      <c r="AV75">
        <v>107500</v>
      </c>
      <c r="AW75">
        <v>109625</v>
      </c>
      <c r="AX75">
        <v>110000</v>
      </c>
      <c r="AY75">
        <v>112750</v>
      </c>
      <c r="AZ75">
        <v>120738</v>
      </c>
      <c r="BA75">
        <v>129508.75</v>
      </c>
      <c r="BB75">
        <v>130380</v>
      </c>
      <c r="BC75">
        <v>133610</v>
      </c>
      <c r="BD75">
        <v>133800</v>
      </c>
      <c r="BE75">
        <v>141080</v>
      </c>
      <c r="BF75">
        <v>147500</v>
      </c>
      <c r="BG75">
        <v>155382.03049999999</v>
      </c>
      <c r="BH75">
        <v>165585.11799999999</v>
      </c>
      <c r="BI75">
        <v>166416.67000000001</v>
      </c>
      <c r="BJ75">
        <v>166416.67000000001</v>
      </c>
      <c r="BK75">
        <v>173582.95749999999</v>
      </c>
      <c r="BL75">
        <v>190388.68799999999</v>
      </c>
      <c r="BM75">
        <v>212150</v>
      </c>
      <c r="BN75">
        <v>283513.16900000011</v>
      </c>
      <c r="BO75">
        <v>415377.23</v>
      </c>
      <c r="BP75">
        <v>415377.23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 x14ac:dyDescent="0.35">
      <c r="A76">
        <v>337384</v>
      </c>
      <c r="B76" t="s">
        <v>388</v>
      </c>
      <c r="C76" t="s">
        <v>389</v>
      </c>
      <c r="D76" s="1">
        <v>45766</v>
      </c>
      <c r="E76">
        <v>53850</v>
      </c>
      <c r="F76">
        <v>121</v>
      </c>
      <c r="G76" t="s">
        <v>71</v>
      </c>
      <c r="H76" t="s">
        <v>48</v>
      </c>
      <c r="I76" t="s">
        <v>49</v>
      </c>
      <c r="K76" t="s">
        <v>297</v>
      </c>
      <c r="L76">
        <v>1213300002600</v>
      </c>
      <c r="M76">
        <v>20250418</v>
      </c>
      <c r="N76" t="s">
        <v>262</v>
      </c>
      <c r="Q76" t="s">
        <v>58</v>
      </c>
      <c r="R76">
        <v>899373.62</v>
      </c>
      <c r="S76">
        <v>0</v>
      </c>
      <c r="T76">
        <v>4939345</v>
      </c>
      <c r="U76">
        <v>5754810728</v>
      </c>
      <c r="V76" t="s">
        <v>176</v>
      </c>
      <c r="W76" t="s">
        <v>56</v>
      </c>
      <c r="X76" t="s">
        <v>72</v>
      </c>
      <c r="Y76" t="s">
        <v>51</v>
      </c>
      <c r="Z76">
        <v>1058</v>
      </c>
      <c r="AH76">
        <v>0</v>
      </c>
      <c r="AI76">
        <v>202504</v>
      </c>
      <c r="AJ76" t="s">
        <v>177</v>
      </c>
      <c r="AK76">
        <v>1</v>
      </c>
      <c r="AL76">
        <v>1</v>
      </c>
      <c r="AO76">
        <v>1</v>
      </c>
      <c r="AP76">
        <v>463</v>
      </c>
      <c r="AQ76">
        <v>430</v>
      </c>
      <c r="AR76">
        <v>430463</v>
      </c>
      <c r="AS76" t="s">
        <v>61</v>
      </c>
      <c r="AU76" t="s">
        <v>61</v>
      </c>
      <c r="AV76">
        <v>85050</v>
      </c>
      <c r="AW76">
        <v>89030</v>
      </c>
      <c r="AX76">
        <v>91669.203999999998</v>
      </c>
      <c r="AY76">
        <v>93087.394</v>
      </c>
      <c r="AZ76">
        <v>94164.18</v>
      </c>
      <c r="BA76">
        <v>96798.05</v>
      </c>
      <c r="BB76">
        <v>100000</v>
      </c>
      <c r="BC76">
        <v>100000</v>
      </c>
      <c r="BD76">
        <v>101589.726</v>
      </c>
      <c r="BE76">
        <v>106295.712</v>
      </c>
      <c r="BF76">
        <v>110193.28</v>
      </c>
      <c r="BG76">
        <v>119645.424</v>
      </c>
      <c r="BH76">
        <v>127698</v>
      </c>
      <c r="BI76">
        <v>137713.79399999999</v>
      </c>
      <c r="BJ76">
        <v>139806</v>
      </c>
      <c r="BK76">
        <v>150000</v>
      </c>
      <c r="BL76">
        <v>161820.22</v>
      </c>
      <c r="BM76">
        <v>190199.99999999991</v>
      </c>
      <c r="BN76">
        <v>213800</v>
      </c>
      <c r="BO76">
        <v>259913.9999999998</v>
      </c>
      <c r="BP76">
        <v>440000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</row>
    <row r="77" spans="1:89" x14ac:dyDescent="0.35">
      <c r="A77">
        <v>337359</v>
      </c>
      <c r="B77" t="s">
        <v>388</v>
      </c>
      <c r="C77" t="s">
        <v>389</v>
      </c>
      <c r="D77" s="1">
        <v>45765</v>
      </c>
      <c r="E77">
        <v>53850</v>
      </c>
      <c r="F77">
        <v>109</v>
      </c>
      <c r="G77" t="s">
        <v>68</v>
      </c>
      <c r="H77" t="s">
        <v>48</v>
      </c>
      <c r="I77" t="s">
        <v>49</v>
      </c>
      <c r="K77">
        <v>202504177908002</v>
      </c>
      <c r="L77">
        <v>1093306677535</v>
      </c>
      <c r="M77">
        <v>20250417</v>
      </c>
      <c r="N77" t="s">
        <v>400</v>
      </c>
      <c r="Q77" t="s">
        <v>58</v>
      </c>
      <c r="R77">
        <v>100000</v>
      </c>
      <c r="S77">
        <v>0</v>
      </c>
      <c r="T77">
        <v>3706791</v>
      </c>
      <c r="U77" t="s">
        <v>464</v>
      </c>
      <c r="V77" t="s">
        <v>465</v>
      </c>
      <c r="W77" t="s">
        <v>66</v>
      </c>
      <c r="X77" t="s">
        <v>466</v>
      </c>
      <c r="Y77" t="s">
        <v>51</v>
      </c>
      <c r="Z77">
        <v>1925</v>
      </c>
      <c r="AH77">
        <v>0</v>
      </c>
      <c r="AI77">
        <v>202504</v>
      </c>
      <c r="AJ77" t="s">
        <v>168</v>
      </c>
      <c r="AK77">
        <v>1</v>
      </c>
      <c r="AL77">
        <v>1</v>
      </c>
      <c r="AO77">
        <v>0</v>
      </c>
      <c r="AP77">
        <v>999</v>
      </c>
      <c r="AQ77">
        <v>615</v>
      </c>
      <c r="AR77">
        <v>615999</v>
      </c>
      <c r="AT77">
        <v>1</v>
      </c>
      <c r="AU77" t="s">
        <v>61</v>
      </c>
      <c r="AV77">
        <v>85050</v>
      </c>
      <c r="AW77">
        <v>89030</v>
      </c>
      <c r="AX77">
        <v>91669.203999999998</v>
      </c>
      <c r="AY77">
        <v>93087.394</v>
      </c>
      <c r="AZ77">
        <v>94164.18</v>
      </c>
      <c r="BA77">
        <v>96798.05</v>
      </c>
      <c r="BB77">
        <v>100000</v>
      </c>
      <c r="BC77">
        <v>100000</v>
      </c>
      <c r="BD77">
        <v>101589.726</v>
      </c>
      <c r="BE77">
        <v>106295.712</v>
      </c>
      <c r="BF77">
        <v>110193.28</v>
      </c>
      <c r="BG77">
        <v>119645.424</v>
      </c>
      <c r="BH77">
        <v>127698</v>
      </c>
      <c r="BI77">
        <v>137713.79399999999</v>
      </c>
      <c r="BJ77">
        <v>139806</v>
      </c>
      <c r="BK77">
        <v>150000</v>
      </c>
      <c r="BL77">
        <v>161820.22</v>
      </c>
      <c r="BM77">
        <v>190199.99999999991</v>
      </c>
      <c r="BN77">
        <v>213800</v>
      </c>
      <c r="BO77">
        <v>259913.9999999998</v>
      </c>
      <c r="BP77">
        <v>440000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 x14ac:dyDescent="0.35">
      <c r="A78">
        <v>337358</v>
      </c>
      <c r="B78" t="s">
        <v>388</v>
      </c>
      <c r="C78" t="s">
        <v>389</v>
      </c>
      <c r="D78" s="1">
        <v>45765</v>
      </c>
      <c r="E78">
        <v>53850</v>
      </c>
      <c r="F78">
        <v>174</v>
      </c>
      <c r="G78" t="s">
        <v>88</v>
      </c>
      <c r="H78" t="s">
        <v>48</v>
      </c>
      <c r="I78" t="s">
        <v>49</v>
      </c>
      <c r="K78">
        <v>202504177908183</v>
      </c>
      <c r="L78">
        <v>1743302881185</v>
      </c>
      <c r="M78">
        <v>20250417</v>
      </c>
      <c r="N78" t="s">
        <v>400</v>
      </c>
      <c r="Q78" t="s">
        <v>58</v>
      </c>
      <c r="R78">
        <v>40000</v>
      </c>
      <c r="S78">
        <v>0</v>
      </c>
      <c r="T78">
        <v>4485506</v>
      </c>
      <c r="U78" t="s">
        <v>467</v>
      </c>
      <c r="V78" t="s">
        <v>468</v>
      </c>
      <c r="W78" t="s">
        <v>66</v>
      </c>
      <c r="X78" t="s">
        <v>80</v>
      </c>
      <c r="Y78" t="s">
        <v>51</v>
      </c>
      <c r="Z78">
        <v>448</v>
      </c>
      <c r="AH78">
        <v>0</v>
      </c>
      <c r="AI78">
        <v>202504</v>
      </c>
      <c r="AJ78" t="s">
        <v>63</v>
      </c>
      <c r="AK78">
        <v>0</v>
      </c>
      <c r="AL78">
        <v>1</v>
      </c>
      <c r="AO78">
        <v>0</v>
      </c>
      <c r="AP78">
        <v>477</v>
      </c>
      <c r="AQ78">
        <v>615</v>
      </c>
      <c r="AR78">
        <v>615477</v>
      </c>
      <c r="AS78" t="s">
        <v>270</v>
      </c>
      <c r="AU78" t="s">
        <v>270</v>
      </c>
      <c r="AV78">
        <v>37615</v>
      </c>
      <c r="AW78">
        <v>38129.25</v>
      </c>
      <c r="AX78">
        <v>38617</v>
      </c>
      <c r="AY78">
        <v>38985.5</v>
      </c>
      <c r="AZ78">
        <v>39276</v>
      </c>
      <c r="BA78">
        <v>39430</v>
      </c>
      <c r="BB78">
        <v>39650</v>
      </c>
      <c r="BC78">
        <v>39925</v>
      </c>
      <c r="BD78">
        <v>40004</v>
      </c>
      <c r="BE78">
        <v>40009.5</v>
      </c>
      <c r="BF78">
        <v>40505</v>
      </c>
      <c r="BG78">
        <v>41243.25</v>
      </c>
      <c r="BH78">
        <v>43919</v>
      </c>
      <c r="BI78">
        <v>46035.25</v>
      </c>
      <c r="BJ78">
        <v>46659.5</v>
      </c>
      <c r="BK78">
        <v>48836.25</v>
      </c>
      <c r="BL78">
        <v>52876.000000000007</v>
      </c>
      <c r="BM78">
        <v>56324.25</v>
      </c>
      <c r="BN78">
        <v>59434.5</v>
      </c>
      <c r="BO78">
        <v>63675.005999999987</v>
      </c>
      <c r="BP78">
        <v>68166.679999999993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 x14ac:dyDescent="0.35">
      <c r="A79">
        <v>337331</v>
      </c>
      <c r="B79" t="s">
        <v>388</v>
      </c>
      <c r="C79" t="s">
        <v>389</v>
      </c>
      <c r="D79" s="1">
        <v>45764</v>
      </c>
      <c r="E79">
        <v>53850</v>
      </c>
      <c r="F79">
        <v>116</v>
      </c>
      <c r="G79" t="s">
        <v>259</v>
      </c>
      <c r="H79" t="s">
        <v>48</v>
      </c>
      <c r="I79" t="s">
        <v>49</v>
      </c>
      <c r="K79">
        <v>202504167904761</v>
      </c>
      <c r="L79">
        <v>2343300010453</v>
      </c>
      <c r="M79">
        <v>20250416</v>
      </c>
      <c r="N79" t="s">
        <v>253</v>
      </c>
      <c r="Q79" t="s">
        <v>58</v>
      </c>
      <c r="R79">
        <v>160463.5</v>
      </c>
      <c r="S79">
        <v>160463.5</v>
      </c>
      <c r="T79">
        <v>4247777</v>
      </c>
      <c r="U79">
        <v>233470236</v>
      </c>
      <c r="V79" t="s">
        <v>260</v>
      </c>
      <c r="W79" t="s">
        <v>56</v>
      </c>
      <c r="X79" t="s">
        <v>72</v>
      </c>
      <c r="Y79" t="s">
        <v>51</v>
      </c>
      <c r="Z79">
        <v>1696</v>
      </c>
      <c r="AH79">
        <v>0</v>
      </c>
      <c r="AI79">
        <v>202504</v>
      </c>
      <c r="AJ79" t="s">
        <v>177</v>
      </c>
      <c r="AK79">
        <v>1</v>
      </c>
      <c r="AL79">
        <v>1</v>
      </c>
      <c r="AM79">
        <v>4247777</v>
      </c>
      <c r="AN79">
        <v>1</v>
      </c>
      <c r="AO79">
        <v>0</v>
      </c>
      <c r="AP79">
        <v>463</v>
      </c>
      <c r="AQ79">
        <v>430</v>
      </c>
      <c r="AR79">
        <v>430463</v>
      </c>
      <c r="AS79" t="s">
        <v>61</v>
      </c>
      <c r="AU79" t="s">
        <v>61</v>
      </c>
      <c r="AV79">
        <v>85050</v>
      </c>
      <c r="AW79">
        <v>89030</v>
      </c>
      <c r="AX79">
        <v>91669.203999999998</v>
      </c>
      <c r="AY79">
        <v>93087.394</v>
      </c>
      <c r="AZ79">
        <v>94164.18</v>
      </c>
      <c r="BA79">
        <v>96798.05</v>
      </c>
      <c r="BB79">
        <v>100000</v>
      </c>
      <c r="BC79">
        <v>100000</v>
      </c>
      <c r="BD79">
        <v>101589.726</v>
      </c>
      <c r="BE79">
        <v>106295.712</v>
      </c>
      <c r="BF79">
        <v>110193.28</v>
      </c>
      <c r="BG79">
        <v>119645.424</v>
      </c>
      <c r="BH79">
        <v>127698</v>
      </c>
      <c r="BI79">
        <v>137713.79399999999</v>
      </c>
      <c r="BJ79">
        <v>139806</v>
      </c>
      <c r="BK79">
        <v>150000</v>
      </c>
      <c r="BL79">
        <v>161820.22</v>
      </c>
      <c r="BM79">
        <v>190199.99999999991</v>
      </c>
      <c r="BN79">
        <v>213800</v>
      </c>
      <c r="BO79">
        <v>259913.9999999998</v>
      </c>
      <c r="BP79">
        <v>440000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 x14ac:dyDescent="0.35">
      <c r="A80">
        <v>337325</v>
      </c>
      <c r="B80" t="s">
        <v>388</v>
      </c>
      <c r="C80" t="s">
        <v>389</v>
      </c>
      <c r="D80" s="1">
        <v>45764</v>
      </c>
      <c r="E80">
        <v>53850</v>
      </c>
      <c r="F80">
        <v>105</v>
      </c>
      <c r="G80" t="s">
        <v>47</v>
      </c>
      <c r="H80" t="s">
        <v>48</v>
      </c>
      <c r="I80" t="s">
        <v>49</v>
      </c>
      <c r="K80">
        <v>202504167904959</v>
      </c>
      <c r="L80">
        <v>1053306290053</v>
      </c>
      <c r="M80">
        <v>20250416</v>
      </c>
      <c r="N80" t="s">
        <v>417</v>
      </c>
      <c r="Q80" t="s">
        <v>58</v>
      </c>
      <c r="R80">
        <v>100000</v>
      </c>
      <c r="S80">
        <v>0</v>
      </c>
      <c r="T80">
        <v>55359</v>
      </c>
      <c r="U80">
        <v>296600729</v>
      </c>
      <c r="V80" t="s">
        <v>469</v>
      </c>
      <c r="W80" t="s">
        <v>56</v>
      </c>
      <c r="X80" t="s">
        <v>180</v>
      </c>
      <c r="Y80" t="s">
        <v>51</v>
      </c>
      <c r="Z80">
        <v>1058</v>
      </c>
      <c r="AH80">
        <v>0</v>
      </c>
      <c r="AI80">
        <v>202504</v>
      </c>
      <c r="AJ80" t="s">
        <v>63</v>
      </c>
      <c r="AK80">
        <v>0</v>
      </c>
      <c r="AL80">
        <v>1</v>
      </c>
      <c r="AO80">
        <v>0</v>
      </c>
      <c r="AP80">
        <v>493</v>
      </c>
      <c r="AQ80">
        <v>430</v>
      </c>
      <c r="AR80">
        <v>430493</v>
      </c>
      <c r="AS80" t="s">
        <v>61</v>
      </c>
      <c r="AU80" t="s">
        <v>61</v>
      </c>
      <c r="AV80">
        <v>85050</v>
      </c>
      <c r="AW80">
        <v>89030</v>
      </c>
      <c r="AX80">
        <v>91669.203999999998</v>
      </c>
      <c r="AY80">
        <v>93087.394</v>
      </c>
      <c r="AZ80">
        <v>94164.18</v>
      </c>
      <c r="BA80">
        <v>96798.05</v>
      </c>
      <c r="BB80">
        <v>100000</v>
      </c>
      <c r="BC80">
        <v>100000</v>
      </c>
      <c r="BD80">
        <v>101589.726</v>
      </c>
      <c r="BE80">
        <v>106295.712</v>
      </c>
      <c r="BF80">
        <v>110193.28</v>
      </c>
      <c r="BG80">
        <v>119645.424</v>
      </c>
      <c r="BH80">
        <v>127698</v>
      </c>
      <c r="BI80">
        <v>137713.79399999999</v>
      </c>
      <c r="BJ80">
        <v>139806</v>
      </c>
      <c r="BK80">
        <v>150000</v>
      </c>
      <c r="BL80">
        <v>161820.22</v>
      </c>
      <c r="BM80">
        <v>190199.99999999991</v>
      </c>
      <c r="BN80">
        <v>213800</v>
      </c>
      <c r="BO80">
        <v>259913.9999999998</v>
      </c>
      <c r="BP80">
        <v>440000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 x14ac:dyDescent="0.35">
      <c r="A81">
        <v>337321</v>
      </c>
      <c r="B81" t="s">
        <v>388</v>
      </c>
      <c r="C81" t="s">
        <v>389</v>
      </c>
      <c r="D81" s="1">
        <v>45764</v>
      </c>
      <c r="E81">
        <v>53850</v>
      </c>
      <c r="F81">
        <v>171</v>
      </c>
      <c r="G81" t="s">
        <v>70</v>
      </c>
      <c r="H81" t="s">
        <v>48</v>
      </c>
      <c r="I81" t="s">
        <v>49</v>
      </c>
      <c r="K81" t="s">
        <v>303</v>
      </c>
      <c r="L81">
        <v>1713305728950</v>
      </c>
      <c r="M81">
        <v>20250416</v>
      </c>
      <c r="N81" t="s">
        <v>253</v>
      </c>
      <c r="Q81" t="s">
        <v>58</v>
      </c>
      <c r="R81">
        <v>415961.05</v>
      </c>
      <c r="S81">
        <v>415961.05</v>
      </c>
      <c r="T81">
        <v>572895</v>
      </c>
      <c r="U81">
        <v>4161600723</v>
      </c>
      <c r="V81" t="s">
        <v>257</v>
      </c>
      <c r="W81" t="s">
        <v>56</v>
      </c>
      <c r="X81" t="s">
        <v>258</v>
      </c>
      <c r="Y81" t="s">
        <v>51</v>
      </c>
      <c r="Z81">
        <v>1903</v>
      </c>
      <c r="AH81">
        <v>0</v>
      </c>
      <c r="AI81">
        <v>202504</v>
      </c>
      <c r="AJ81" t="s">
        <v>63</v>
      </c>
      <c r="AK81">
        <v>0</v>
      </c>
      <c r="AL81">
        <v>1</v>
      </c>
      <c r="AM81">
        <v>572895</v>
      </c>
      <c r="AN81">
        <v>1</v>
      </c>
      <c r="AO81">
        <v>0</v>
      </c>
      <c r="AP81">
        <v>999</v>
      </c>
      <c r="AQ81">
        <v>430</v>
      </c>
      <c r="AR81">
        <v>430999</v>
      </c>
      <c r="AT81">
        <v>1</v>
      </c>
      <c r="AU81" t="s">
        <v>57</v>
      </c>
      <c r="AV81">
        <v>101552.46</v>
      </c>
      <c r="AW81">
        <v>114647.6485</v>
      </c>
      <c r="AX81">
        <v>118167.008</v>
      </c>
      <c r="AY81">
        <v>123559.05899999999</v>
      </c>
      <c r="AZ81">
        <v>128796.368</v>
      </c>
      <c r="BA81">
        <v>130000</v>
      </c>
      <c r="BB81">
        <v>135819.11300000001</v>
      </c>
      <c r="BC81">
        <v>145008.255</v>
      </c>
      <c r="BD81">
        <v>146226.546</v>
      </c>
      <c r="BE81">
        <v>148171.67300000001</v>
      </c>
      <c r="BF81">
        <v>156533.16500000001</v>
      </c>
      <c r="BG81">
        <v>167340.8915</v>
      </c>
      <c r="BH81">
        <v>179808.78</v>
      </c>
      <c r="BI81">
        <v>187222.14799999999</v>
      </c>
      <c r="BJ81">
        <v>206328.26500000001</v>
      </c>
      <c r="BK81">
        <v>220390.6225</v>
      </c>
      <c r="BL81">
        <v>239280.00000000009</v>
      </c>
      <c r="BM81">
        <v>298738.61</v>
      </c>
      <c r="BN81">
        <v>365407.64500000002</v>
      </c>
      <c r="BO81">
        <v>399465.49400000001</v>
      </c>
      <c r="BP81">
        <v>515709.15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0</v>
      </c>
    </row>
    <row r="82" spans="1:89" x14ac:dyDescent="0.35">
      <c r="A82">
        <v>337320</v>
      </c>
      <c r="B82" t="s">
        <v>388</v>
      </c>
      <c r="C82" t="s">
        <v>389</v>
      </c>
      <c r="D82" s="1">
        <v>45764</v>
      </c>
      <c r="E82">
        <v>53850</v>
      </c>
      <c r="F82">
        <v>103</v>
      </c>
      <c r="G82" t="s">
        <v>59</v>
      </c>
      <c r="H82" t="s">
        <v>48</v>
      </c>
      <c r="I82" t="s">
        <v>49</v>
      </c>
      <c r="K82">
        <v>202504167904939</v>
      </c>
      <c r="L82">
        <v>1033306986061</v>
      </c>
      <c r="M82">
        <v>20250416</v>
      </c>
      <c r="N82" t="s">
        <v>400</v>
      </c>
      <c r="Q82" t="s">
        <v>58</v>
      </c>
      <c r="R82">
        <v>145000</v>
      </c>
      <c r="S82">
        <v>0</v>
      </c>
      <c r="T82">
        <v>3743240</v>
      </c>
      <c r="U82">
        <v>7980630722</v>
      </c>
      <c r="V82" t="s">
        <v>470</v>
      </c>
      <c r="W82" t="s">
        <v>64</v>
      </c>
      <c r="X82" t="s">
        <v>471</v>
      </c>
      <c r="Y82" t="s">
        <v>51</v>
      </c>
      <c r="Z82">
        <v>995</v>
      </c>
      <c r="AH82">
        <v>0</v>
      </c>
      <c r="AI82">
        <v>202504</v>
      </c>
      <c r="AJ82" t="s">
        <v>168</v>
      </c>
      <c r="AK82">
        <v>1</v>
      </c>
      <c r="AL82">
        <v>1</v>
      </c>
      <c r="AO82">
        <v>0</v>
      </c>
      <c r="AP82">
        <v>999</v>
      </c>
      <c r="AQ82">
        <v>492</v>
      </c>
      <c r="AR82">
        <v>492999</v>
      </c>
      <c r="AT82">
        <v>1</v>
      </c>
      <c r="AU82" t="s">
        <v>272</v>
      </c>
      <c r="AV82">
        <v>98000</v>
      </c>
      <c r="AW82">
        <v>98368.7</v>
      </c>
      <c r="AX82">
        <v>98737.4</v>
      </c>
      <c r="AY82">
        <v>99106.1</v>
      </c>
      <c r="AZ82">
        <v>99955</v>
      </c>
      <c r="BA82">
        <v>101044</v>
      </c>
      <c r="BB82">
        <v>102133</v>
      </c>
      <c r="BC82">
        <v>103273.1</v>
      </c>
      <c r="BD82">
        <v>104515.4</v>
      </c>
      <c r="BE82">
        <v>105757.7</v>
      </c>
      <c r="BF82">
        <v>107000</v>
      </c>
      <c r="BG82">
        <v>109400</v>
      </c>
      <c r="BH82">
        <v>111800</v>
      </c>
      <c r="BI82">
        <v>114200</v>
      </c>
      <c r="BJ82">
        <v>118800</v>
      </c>
      <c r="BK82">
        <v>124500</v>
      </c>
      <c r="BL82">
        <v>130200</v>
      </c>
      <c r="BM82">
        <v>151054.99999999991</v>
      </c>
      <c r="BN82">
        <v>202220.00000000009</v>
      </c>
      <c r="BO82">
        <v>253384.99999999991</v>
      </c>
      <c r="BP82">
        <v>304550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0</v>
      </c>
      <c r="CI82">
        <v>0</v>
      </c>
      <c r="CJ82">
        <v>0</v>
      </c>
      <c r="CK82">
        <v>0</v>
      </c>
    </row>
    <row r="83" spans="1:89" x14ac:dyDescent="0.35">
      <c r="A83">
        <v>337315</v>
      </c>
      <c r="B83" t="s">
        <v>388</v>
      </c>
      <c r="C83" t="s">
        <v>389</v>
      </c>
      <c r="D83" s="1">
        <v>45764</v>
      </c>
      <c r="E83">
        <v>53850</v>
      </c>
      <c r="F83">
        <v>171</v>
      </c>
      <c r="G83" t="s">
        <v>70</v>
      </c>
      <c r="H83" t="s">
        <v>48</v>
      </c>
      <c r="I83" t="s">
        <v>49</v>
      </c>
      <c r="K83" t="s">
        <v>303</v>
      </c>
      <c r="L83">
        <v>1713302214147</v>
      </c>
      <c r="M83">
        <v>20250416</v>
      </c>
      <c r="N83" t="s">
        <v>253</v>
      </c>
      <c r="Q83" t="s">
        <v>58</v>
      </c>
      <c r="R83">
        <v>158650</v>
      </c>
      <c r="S83">
        <v>158650</v>
      </c>
      <c r="T83">
        <v>4199319</v>
      </c>
      <c r="U83">
        <v>6037810725</v>
      </c>
      <c r="V83" t="s">
        <v>269</v>
      </c>
      <c r="W83" t="s">
        <v>56</v>
      </c>
      <c r="X83" t="s">
        <v>258</v>
      </c>
      <c r="Y83" t="s">
        <v>51</v>
      </c>
      <c r="Z83">
        <v>1903</v>
      </c>
      <c r="AH83">
        <v>0</v>
      </c>
      <c r="AI83">
        <v>202504</v>
      </c>
      <c r="AJ83" t="s">
        <v>63</v>
      </c>
      <c r="AK83">
        <v>0</v>
      </c>
      <c r="AL83">
        <v>1</v>
      </c>
      <c r="AM83">
        <v>4199319</v>
      </c>
      <c r="AN83">
        <v>1</v>
      </c>
      <c r="AO83">
        <v>0</v>
      </c>
      <c r="AP83">
        <v>999</v>
      </c>
      <c r="AQ83">
        <v>430</v>
      </c>
      <c r="AR83">
        <v>430999</v>
      </c>
      <c r="AT83">
        <v>1</v>
      </c>
      <c r="AU83" t="s">
        <v>57</v>
      </c>
      <c r="AV83">
        <v>101552.46</v>
      </c>
      <c r="AW83">
        <v>114647.6485</v>
      </c>
      <c r="AX83">
        <v>118167.008</v>
      </c>
      <c r="AY83">
        <v>123559.05899999999</v>
      </c>
      <c r="AZ83">
        <v>128796.368</v>
      </c>
      <c r="BA83">
        <v>130000</v>
      </c>
      <c r="BB83">
        <v>135819.11300000001</v>
      </c>
      <c r="BC83">
        <v>145008.255</v>
      </c>
      <c r="BD83">
        <v>146226.546</v>
      </c>
      <c r="BE83">
        <v>148171.67300000001</v>
      </c>
      <c r="BF83">
        <v>156533.16500000001</v>
      </c>
      <c r="BG83">
        <v>167340.8915</v>
      </c>
      <c r="BH83">
        <v>179808.78</v>
      </c>
      <c r="BI83">
        <v>187222.14799999999</v>
      </c>
      <c r="BJ83">
        <v>206328.26500000001</v>
      </c>
      <c r="BK83">
        <v>220390.6225</v>
      </c>
      <c r="BL83">
        <v>239280.00000000009</v>
      </c>
      <c r="BM83">
        <v>298738.61</v>
      </c>
      <c r="BN83">
        <v>365407.64500000002</v>
      </c>
      <c r="BO83">
        <v>399465.49400000001</v>
      </c>
      <c r="BP83">
        <v>515709.15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 x14ac:dyDescent="0.35">
      <c r="A84">
        <v>337309</v>
      </c>
      <c r="B84" t="s">
        <v>388</v>
      </c>
      <c r="C84" t="s">
        <v>389</v>
      </c>
      <c r="D84" s="1">
        <v>45764</v>
      </c>
      <c r="E84">
        <v>53850</v>
      </c>
      <c r="F84">
        <v>196</v>
      </c>
      <c r="G84" t="s">
        <v>305</v>
      </c>
      <c r="H84" t="s">
        <v>48</v>
      </c>
      <c r="I84" t="s">
        <v>49</v>
      </c>
      <c r="K84">
        <v>202504167905259</v>
      </c>
      <c r="L84">
        <v>1963302351587</v>
      </c>
      <c r="M84">
        <v>20250416</v>
      </c>
      <c r="N84" t="s">
        <v>392</v>
      </c>
      <c r="Q84" t="s">
        <v>58</v>
      </c>
      <c r="R84">
        <v>120923.23</v>
      </c>
      <c r="S84">
        <v>0</v>
      </c>
      <c r="T84">
        <v>4007031</v>
      </c>
      <c r="U84" t="s">
        <v>472</v>
      </c>
      <c r="V84" t="s">
        <v>473</v>
      </c>
      <c r="W84" t="s">
        <v>66</v>
      </c>
      <c r="X84" t="s">
        <v>447</v>
      </c>
      <c r="Y84" t="s">
        <v>51</v>
      </c>
      <c r="Z84">
        <v>1911</v>
      </c>
      <c r="AH84">
        <v>0</v>
      </c>
      <c r="AI84">
        <v>202504</v>
      </c>
      <c r="AJ84" t="s">
        <v>63</v>
      </c>
      <c r="AK84">
        <v>0</v>
      </c>
      <c r="AL84">
        <v>1</v>
      </c>
      <c r="AO84">
        <v>0</v>
      </c>
      <c r="AP84">
        <v>999</v>
      </c>
      <c r="AQ84">
        <v>615</v>
      </c>
      <c r="AR84">
        <v>615999</v>
      </c>
      <c r="AT84">
        <v>1</v>
      </c>
      <c r="AU84" t="s">
        <v>61</v>
      </c>
      <c r="AV84">
        <v>85050</v>
      </c>
      <c r="AW84">
        <v>89030</v>
      </c>
      <c r="AX84">
        <v>91669.203999999998</v>
      </c>
      <c r="AY84">
        <v>93087.394</v>
      </c>
      <c r="AZ84">
        <v>94164.18</v>
      </c>
      <c r="BA84">
        <v>96798.05</v>
      </c>
      <c r="BB84">
        <v>100000</v>
      </c>
      <c r="BC84">
        <v>100000</v>
      </c>
      <c r="BD84">
        <v>101589.726</v>
      </c>
      <c r="BE84">
        <v>106295.712</v>
      </c>
      <c r="BF84">
        <v>110193.28</v>
      </c>
      <c r="BG84">
        <v>119645.424</v>
      </c>
      <c r="BH84">
        <v>127698</v>
      </c>
      <c r="BI84">
        <v>137713.79399999999</v>
      </c>
      <c r="BJ84">
        <v>139806</v>
      </c>
      <c r="BK84">
        <v>150000</v>
      </c>
      <c r="BL84">
        <v>161820.22</v>
      </c>
      <c r="BM84">
        <v>190199.99999999991</v>
      </c>
      <c r="BN84">
        <v>213800</v>
      </c>
      <c r="BO84">
        <v>259913.9999999998</v>
      </c>
      <c r="BP84">
        <v>440000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 x14ac:dyDescent="0.35">
      <c r="A85">
        <v>337295</v>
      </c>
      <c r="B85" t="s">
        <v>388</v>
      </c>
      <c r="C85" t="s">
        <v>389</v>
      </c>
      <c r="D85" s="1">
        <v>45763</v>
      </c>
      <c r="E85">
        <v>53850</v>
      </c>
      <c r="F85">
        <v>153</v>
      </c>
      <c r="G85" t="s">
        <v>316</v>
      </c>
      <c r="H85" t="s">
        <v>48</v>
      </c>
      <c r="I85" t="s">
        <v>49</v>
      </c>
      <c r="K85">
        <v>202504157901519</v>
      </c>
      <c r="L85">
        <v>1533300660019</v>
      </c>
      <c r="M85">
        <v>20250415</v>
      </c>
      <c r="N85" t="s">
        <v>400</v>
      </c>
      <c r="Q85" t="s">
        <v>58</v>
      </c>
      <c r="R85">
        <v>166416.67000000001</v>
      </c>
      <c r="S85">
        <v>0</v>
      </c>
      <c r="T85">
        <v>4178674</v>
      </c>
      <c r="U85" t="s">
        <v>474</v>
      </c>
      <c r="V85" t="s">
        <v>475</v>
      </c>
      <c r="W85" t="s">
        <v>50</v>
      </c>
      <c r="Y85" t="s">
        <v>51</v>
      </c>
      <c r="Z85">
        <v>1051</v>
      </c>
      <c r="AH85">
        <v>0</v>
      </c>
      <c r="AI85">
        <v>202504</v>
      </c>
      <c r="AJ85" t="s">
        <v>63</v>
      </c>
      <c r="AK85">
        <v>0</v>
      </c>
      <c r="AL85">
        <v>1</v>
      </c>
      <c r="AO85">
        <v>0</v>
      </c>
      <c r="AP85">
        <v>999</v>
      </c>
      <c r="AQ85">
        <v>600</v>
      </c>
      <c r="AR85">
        <v>600999</v>
      </c>
      <c r="AS85" t="s">
        <v>52</v>
      </c>
      <c r="AU85" t="s">
        <v>52</v>
      </c>
      <c r="AV85">
        <v>107500</v>
      </c>
      <c r="AW85">
        <v>109625</v>
      </c>
      <c r="AX85">
        <v>110000</v>
      </c>
      <c r="AY85">
        <v>112750</v>
      </c>
      <c r="AZ85">
        <v>120738</v>
      </c>
      <c r="BA85">
        <v>129508.75</v>
      </c>
      <c r="BB85">
        <v>130380</v>
      </c>
      <c r="BC85">
        <v>133610</v>
      </c>
      <c r="BD85">
        <v>133800</v>
      </c>
      <c r="BE85">
        <v>141080</v>
      </c>
      <c r="BF85">
        <v>147500</v>
      </c>
      <c r="BG85">
        <v>155382.03049999999</v>
      </c>
      <c r="BH85">
        <v>165585.11799999999</v>
      </c>
      <c r="BI85">
        <v>166416.67000000001</v>
      </c>
      <c r="BJ85">
        <v>166416.67000000001</v>
      </c>
      <c r="BK85">
        <v>173582.95749999999</v>
      </c>
      <c r="BL85">
        <v>190388.68799999999</v>
      </c>
      <c r="BM85">
        <v>212150</v>
      </c>
      <c r="BN85">
        <v>283513.16900000011</v>
      </c>
      <c r="BO85">
        <v>415377.23</v>
      </c>
      <c r="BP85">
        <v>415377.23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 x14ac:dyDescent="0.35">
      <c r="A86">
        <v>337294</v>
      </c>
      <c r="B86" t="s">
        <v>388</v>
      </c>
      <c r="C86" t="s">
        <v>389</v>
      </c>
      <c r="D86" s="1">
        <v>45763</v>
      </c>
      <c r="E86">
        <v>53850</v>
      </c>
      <c r="F86">
        <v>216</v>
      </c>
      <c r="G86" t="s">
        <v>476</v>
      </c>
      <c r="H86" t="s">
        <v>48</v>
      </c>
      <c r="I86" t="s">
        <v>49</v>
      </c>
      <c r="K86">
        <v>202504157901680</v>
      </c>
      <c r="L86">
        <v>2163300011173</v>
      </c>
      <c r="M86">
        <v>20250415</v>
      </c>
      <c r="N86" t="s">
        <v>400</v>
      </c>
      <c r="Q86" t="s">
        <v>58</v>
      </c>
      <c r="R86">
        <v>150000</v>
      </c>
      <c r="S86">
        <v>0</v>
      </c>
      <c r="T86">
        <v>4548289</v>
      </c>
      <c r="U86" t="s">
        <v>477</v>
      </c>
      <c r="V86" t="s">
        <v>478</v>
      </c>
      <c r="W86" t="s">
        <v>50</v>
      </c>
      <c r="Y86" t="s">
        <v>51</v>
      </c>
      <c r="Z86">
        <v>1465</v>
      </c>
      <c r="AH86">
        <v>0</v>
      </c>
      <c r="AI86">
        <v>202504</v>
      </c>
      <c r="AJ86" t="s">
        <v>63</v>
      </c>
      <c r="AK86">
        <v>0</v>
      </c>
      <c r="AL86">
        <v>1</v>
      </c>
      <c r="AO86">
        <v>0</v>
      </c>
      <c r="AP86">
        <v>999</v>
      </c>
      <c r="AQ86">
        <v>600</v>
      </c>
      <c r="AR86">
        <v>600999</v>
      </c>
      <c r="AS86" t="s">
        <v>52</v>
      </c>
      <c r="AU86" t="s">
        <v>52</v>
      </c>
      <c r="AV86">
        <v>107500</v>
      </c>
      <c r="AW86">
        <v>109625</v>
      </c>
      <c r="AX86">
        <v>110000</v>
      </c>
      <c r="AY86">
        <v>112750</v>
      </c>
      <c r="AZ86">
        <v>120738</v>
      </c>
      <c r="BA86">
        <v>129508.75</v>
      </c>
      <c r="BB86">
        <v>130380</v>
      </c>
      <c r="BC86">
        <v>133610</v>
      </c>
      <c r="BD86">
        <v>133800</v>
      </c>
      <c r="BE86">
        <v>141080</v>
      </c>
      <c r="BF86">
        <v>147500</v>
      </c>
      <c r="BG86">
        <v>155382.03049999999</v>
      </c>
      <c r="BH86">
        <v>165585.11799999999</v>
      </c>
      <c r="BI86">
        <v>166416.67000000001</v>
      </c>
      <c r="BJ86">
        <v>166416.67000000001</v>
      </c>
      <c r="BK86">
        <v>173582.95749999999</v>
      </c>
      <c r="BL86">
        <v>190388.68799999999</v>
      </c>
      <c r="BM86">
        <v>212150</v>
      </c>
      <c r="BN86">
        <v>283513.16900000011</v>
      </c>
      <c r="BO86">
        <v>415377.23</v>
      </c>
      <c r="BP86">
        <v>415377.23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 x14ac:dyDescent="0.35">
      <c r="A87">
        <v>337290</v>
      </c>
      <c r="B87" t="s">
        <v>388</v>
      </c>
      <c r="C87" t="s">
        <v>389</v>
      </c>
      <c r="D87" s="1">
        <v>45763</v>
      </c>
      <c r="E87">
        <v>53850</v>
      </c>
      <c r="F87">
        <v>153</v>
      </c>
      <c r="G87" t="s">
        <v>316</v>
      </c>
      <c r="H87" t="s">
        <v>48</v>
      </c>
      <c r="I87" t="s">
        <v>49</v>
      </c>
      <c r="K87">
        <v>202504157901519</v>
      </c>
      <c r="L87">
        <v>1533300660019</v>
      </c>
      <c r="M87">
        <v>20250415</v>
      </c>
      <c r="N87" t="s">
        <v>400</v>
      </c>
      <c r="Q87" t="s">
        <v>58</v>
      </c>
      <c r="R87">
        <v>166416.67000000001</v>
      </c>
      <c r="S87">
        <v>0</v>
      </c>
      <c r="T87">
        <v>4178676</v>
      </c>
      <c r="U87" t="s">
        <v>479</v>
      </c>
      <c r="V87" t="s">
        <v>480</v>
      </c>
      <c r="W87" t="s">
        <v>50</v>
      </c>
      <c r="Y87" t="s">
        <v>51</v>
      </c>
      <c r="Z87">
        <v>1051</v>
      </c>
      <c r="AH87">
        <v>0</v>
      </c>
      <c r="AI87">
        <v>202504</v>
      </c>
      <c r="AJ87" t="s">
        <v>63</v>
      </c>
      <c r="AK87">
        <v>0</v>
      </c>
      <c r="AL87">
        <v>1</v>
      </c>
      <c r="AO87">
        <v>0</v>
      </c>
      <c r="AP87">
        <v>999</v>
      </c>
      <c r="AQ87">
        <v>600</v>
      </c>
      <c r="AR87">
        <v>600999</v>
      </c>
      <c r="AS87" t="s">
        <v>52</v>
      </c>
      <c r="AU87" t="s">
        <v>52</v>
      </c>
      <c r="AV87">
        <v>107500</v>
      </c>
      <c r="AW87">
        <v>109625</v>
      </c>
      <c r="AX87">
        <v>110000</v>
      </c>
      <c r="AY87">
        <v>112750</v>
      </c>
      <c r="AZ87">
        <v>120738</v>
      </c>
      <c r="BA87">
        <v>129508.75</v>
      </c>
      <c r="BB87">
        <v>130380</v>
      </c>
      <c r="BC87">
        <v>133610</v>
      </c>
      <c r="BD87">
        <v>133800</v>
      </c>
      <c r="BE87">
        <v>141080</v>
      </c>
      <c r="BF87">
        <v>147500</v>
      </c>
      <c r="BG87">
        <v>155382.03049999999</v>
      </c>
      <c r="BH87">
        <v>165585.11799999999</v>
      </c>
      <c r="BI87">
        <v>166416.67000000001</v>
      </c>
      <c r="BJ87">
        <v>166416.67000000001</v>
      </c>
      <c r="BK87">
        <v>173582.95749999999</v>
      </c>
      <c r="BL87">
        <v>190388.68799999999</v>
      </c>
      <c r="BM87">
        <v>212150</v>
      </c>
      <c r="BN87">
        <v>283513.16900000011</v>
      </c>
      <c r="BO87">
        <v>415377.23</v>
      </c>
      <c r="BP87">
        <v>415377.23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 x14ac:dyDescent="0.35">
      <c r="A88">
        <v>337282</v>
      </c>
      <c r="B88" t="s">
        <v>388</v>
      </c>
      <c r="C88" t="s">
        <v>389</v>
      </c>
      <c r="D88" s="1">
        <v>45763</v>
      </c>
      <c r="E88">
        <v>53850</v>
      </c>
      <c r="F88">
        <v>171</v>
      </c>
      <c r="G88" t="s">
        <v>70</v>
      </c>
      <c r="H88" t="s">
        <v>48</v>
      </c>
      <c r="I88" t="s">
        <v>49</v>
      </c>
      <c r="K88" t="s">
        <v>304</v>
      </c>
      <c r="L88">
        <v>1713305728950</v>
      </c>
      <c r="M88">
        <v>20250415</v>
      </c>
      <c r="N88" t="s">
        <v>253</v>
      </c>
      <c r="Q88" t="s">
        <v>58</v>
      </c>
      <c r="R88">
        <v>210542.65</v>
      </c>
      <c r="S88">
        <v>210542.65</v>
      </c>
      <c r="T88">
        <v>572895</v>
      </c>
      <c r="U88">
        <v>4161600723</v>
      </c>
      <c r="V88" t="s">
        <v>257</v>
      </c>
      <c r="W88" t="s">
        <v>56</v>
      </c>
      <c r="X88" t="s">
        <v>258</v>
      </c>
      <c r="Y88" t="s">
        <v>51</v>
      </c>
      <c r="Z88">
        <v>1903</v>
      </c>
      <c r="AH88">
        <v>0</v>
      </c>
      <c r="AI88">
        <v>202504</v>
      </c>
      <c r="AJ88" t="s">
        <v>63</v>
      </c>
      <c r="AK88">
        <v>0</v>
      </c>
      <c r="AL88">
        <v>1</v>
      </c>
      <c r="AM88">
        <v>572895</v>
      </c>
      <c r="AN88">
        <v>1</v>
      </c>
      <c r="AO88">
        <v>0</v>
      </c>
      <c r="AP88">
        <v>999</v>
      </c>
      <c r="AQ88">
        <v>430</v>
      </c>
      <c r="AR88">
        <v>430999</v>
      </c>
      <c r="AT88">
        <v>1</v>
      </c>
      <c r="AU88" t="s">
        <v>57</v>
      </c>
      <c r="AV88">
        <v>101552.46</v>
      </c>
      <c r="AW88">
        <v>114647.6485</v>
      </c>
      <c r="AX88">
        <v>118167.008</v>
      </c>
      <c r="AY88">
        <v>123559.05899999999</v>
      </c>
      <c r="AZ88">
        <v>128796.368</v>
      </c>
      <c r="BA88">
        <v>130000</v>
      </c>
      <c r="BB88">
        <v>135819.11300000001</v>
      </c>
      <c r="BC88">
        <v>145008.255</v>
      </c>
      <c r="BD88">
        <v>146226.546</v>
      </c>
      <c r="BE88">
        <v>148171.67300000001</v>
      </c>
      <c r="BF88">
        <v>156533.16500000001</v>
      </c>
      <c r="BG88">
        <v>167340.8915</v>
      </c>
      <c r="BH88">
        <v>179808.78</v>
      </c>
      <c r="BI88">
        <v>187222.14799999999</v>
      </c>
      <c r="BJ88">
        <v>206328.26500000001</v>
      </c>
      <c r="BK88">
        <v>220390.6225</v>
      </c>
      <c r="BL88">
        <v>239280.00000000009</v>
      </c>
      <c r="BM88">
        <v>298738.61</v>
      </c>
      <c r="BN88">
        <v>365407.64500000002</v>
      </c>
      <c r="BO88">
        <v>399465.49400000001</v>
      </c>
      <c r="BP88">
        <v>515709.15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 x14ac:dyDescent="0.35">
      <c r="A89">
        <v>337277</v>
      </c>
      <c r="B89" t="s">
        <v>388</v>
      </c>
      <c r="C89" t="s">
        <v>389</v>
      </c>
      <c r="D89" s="1">
        <v>45763</v>
      </c>
      <c r="E89">
        <v>53850</v>
      </c>
      <c r="F89">
        <v>102</v>
      </c>
      <c r="G89" t="s">
        <v>55</v>
      </c>
      <c r="H89" t="s">
        <v>48</v>
      </c>
      <c r="I89" t="s">
        <v>49</v>
      </c>
      <c r="K89" t="s">
        <v>304</v>
      </c>
      <c r="L89">
        <v>1023300660520</v>
      </c>
      <c r="M89">
        <v>20250415</v>
      </c>
      <c r="N89" t="s">
        <v>262</v>
      </c>
      <c r="Q89" t="s">
        <v>58</v>
      </c>
      <c r="R89">
        <v>139257.79999999999</v>
      </c>
      <c r="S89">
        <v>3740</v>
      </c>
      <c r="T89">
        <v>66052</v>
      </c>
      <c r="U89">
        <v>398110726</v>
      </c>
      <c r="V89" t="s">
        <v>287</v>
      </c>
      <c r="W89" t="s">
        <v>56</v>
      </c>
      <c r="X89" t="s">
        <v>235</v>
      </c>
      <c r="Y89" t="s">
        <v>51</v>
      </c>
      <c r="Z89">
        <v>1203</v>
      </c>
      <c r="AH89">
        <v>0</v>
      </c>
      <c r="AI89">
        <v>202504</v>
      </c>
      <c r="AJ89" t="s">
        <v>169</v>
      </c>
      <c r="AK89">
        <v>1</v>
      </c>
      <c r="AL89">
        <v>1</v>
      </c>
      <c r="AM89">
        <v>66052</v>
      </c>
      <c r="AN89">
        <v>1</v>
      </c>
      <c r="AO89">
        <v>1</v>
      </c>
      <c r="AP89">
        <v>999</v>
      </c>
      <c r="AQ89">
        <v>430</v>
      </c>
      <c r="AR89">
        <v>430999</v>
      </c>
      <c r="AT89">
        <v>1</v>
      </c>
      <c r="AU89" t="s">
        <v>57</v>
      </c>
      <c r="AV89">
        <v>101552.46</v>
      </c>
      <c r="AW89">
        <v>114647.6485</v>
      </c>
      <c r="AX89">
        <v>118167.008</v>
      </c>
      <c r="AY89">
        <v>123559.05899999999</v>
      </c>
      <c r="AZ89">
        <v>128796.368</v>
      </c>
      <c r="BA89">
        <v>130000</v>
      </c>
      <c r="BB89">
        <v>135819.11300000001</v>
      </c>
      <c r="BC89">
        <v>145008.255</v>
      </c>
      <c r="BD89">
        <v>146226.546</v>
      </c>
      <c r="BE89">
        <v>148171.67300000001</v>
      </c>
      <c r="BF89">
        <v>156533.16500000001</v>
      </c>
      <c r="BG89">
        <v>167340.8915</v>
      </c>
      <c r="BH89">
        <v>179808.78</v>
      </c>
      <c r="BI89">
        <v>187222.14799999999</v>
      </c>
      <c r="BJ89">
        <v>206328.26500000001</v>
      </c>
      <c r="BK89">
        <v>220390.6225</v>
      </c>
      <c r="BL89">
        <v>239280.00000000009</v>
      </c>
      <c r="BM89">
        <v>298738.61</v>
      </c>
      <c r="BN89">
        <v>365407.64500000002</v>
      </c>
      <c r="BO89">
        <v>399465.49400000001</v>
      </c>
      <c r="BP89">
        <v>515709.15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 x14ac:dyDescent="0.35">
      <c r="A90">
        <v>337269</v>
      </c>
      <c r="B90" t="s">
        <v>388</v>
      </c>
      <c r="C90" t="s">
        <v>389</v>
      </c>
      <c r="D90" s="1">
        <v>45763</v>
      </c>
      <c r="E90">
        <v>53850</v>
      </c>
      <c r="F90">
        <v>161</v>
      </c>
      <c r="G90" t="s">
        <v>95</v>
      </c>
      <c r="H90" t="s">
        <v>48</v>
      </c>
      <c r="I90" t="s">
        <v>49</v>
      </c>
      <c r="K90" t="s">
        <v>304</v>
      </c>
      <c r="L90">
        <v>1613300029653</v>
      </c>
      <c r="M90">
        <v>20250415</v>
      </c>
      <c r="N90" t="s">
        <v>262</v>
      </c>
      <c r="Q90" t="s">
        <v>58</v>
      </c>
      <c r="R90">
        <v>148758.49</v>
      </c>
      <c r="S90">
        <v>0</v>
      </c>
      <c r="T90">
        <v>4088769</v>
      </c>
      <c r="U90">
        <v>5150120722</v>
      </c>
      <c r="V90" t="s">
        <v>407</v>
      </c>
      <c r="W90" t="s">
        <v>56</v>
      </c>
      <c r="X90" t="s">
        <v>78</v>
      </c>
      <c r="Y90" t="s">
        <v>51</v>
      </c>
      <c r="Z90">
        <v>1903</v>
      </c>
      <c r="AH90">
        <v>0</v>
      </c>
      <c r="AI90">
        <v>202504</v>
      </c>
      <c r="AJ90" t="s">
        <v>63</v>
      </c>
      <c r="AK90">
        <v>0</v>
      </c>
      <c r="AL90">
        <v>1</v>
      </c>
      <c r="AM90">
        <v>4088769</v>
      </c>
      <c r="AN90">
        <v>1</v>
      </c>
      <c r="AO90">
        <v>1</v>
      </c>
      <c r="AP90">
        <v>464</v>
      </c>
      <c r="AQ90">
        <v>430</v>
      </c>
      <c r="AR90">
        <v>430464</v>
      </c>
      <c r="AS90" t="s">
        <v>79</v>
      </c>
      <c r="AU90" t="s">
        <v>79</v>
      </c>
      <c r="AV90">
        <v>76382.789999999994</v>
      </c>
      <c r="AW90">
        <v>79891.56</v>
      </c>
      <c r="AX90">
        <v>79937.08</v>
      </c>
      <c r="AY90">
        <v>88865.89</v>
      </c>
      <c r="AZ90">
        <v>94634.78</v>
      </c>
      <c r="BA90">
        <v>97229.53</v>
      </c>
      <c r="BB90">
        <v>98360.01</v>
      </c>
      <c r="BC90">
        <v>100000</v>
      </c>
      <c r="BD90">
        <v>104738.68</v>
      </c>
      <c r="BE90">
        <v>108176.82</v>
      </c>
      <c r="BF90">
        <v>110891.36</v>
      </c>
      <c r="BG90">
        <v>115427.47</v>
      </c>
      <c r="BH90">
        <v>118009.65</v>
      </c>
      <c r="BI90">
        <v>136718.03</v>
      </c>
      <c r="BJ90">
        <v>148758.49</v>
      </c>
      <c r="BK90">
        <v>182944.14</v>
      </c>
      <c r="BL90">
        <v>217448.27</v>
      </c>
      <c r="BM90">
        <v>222704.65</v>
      </c>
      <c r="BN90">
        <v>225130.1</v>
      </c>
      <c r="BO90">
        <v>259946.2</v>
      </c>
      <c r="BP90">
        <v>270019.89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 x14ac:dyDescent="0.35">
      <c r="A91">
        <v>337263</v>
      </c>
      <c r="B91" t="s">
        <v>388</v>
      </c>
      <c r="C91" t="s">
        <v>389</v>
      </c>
      <c r="D91" s="1">
        <v>45762</v>
      </c>
      <c r="E91">
        <v>53850</v>
      </c>
      <c r="F91">
        <v>102</v>
      </c>
      <c r="G91" t="s">
        <v>55</v>
      </c>
      <c r="H91" t="s">
        <v>48</v>
      </c>
      <c r="I91" t="s">
        <v>49</v>
      </c>
      <c r="K91">
        <v>202504147897558</v>
      </c>
      <c r="L91">
        <v>1023306273120</v>
      </c>
      <c r="M91">
        <v>20250414</v>
      </c>
      <c r="N91" t="s">
        <v>392</v>
      </c>
      <c r="Q91" t="s">
        <v>58</v>
      </c>
      <c r="R91">
        <v>105000</v>
      </c>
      <c r="S91">
        <v>0</v>
      </c>
      <c r="T91">
        <v>5530</v>
      </c>
      <c r="U91" t="s">
        <v>481</v>
      </c>
      <c r="V91" t="s">
        <v>482</v>
      </c>
      <c r="W91" t="s">
        <v>50</v>
      </c>
      <c r="Y91" t="s">
        <v>51</v>
      </c>
      <c r="Z91">
        <v>1606</v>
      </c>
      <c r="AH91">
        <v>0</v>
      </c>
      <c r="AI91">
        <v>202504</v>
      </c>
      <c r="AJ91" t="s">
        <v>168</v>
      </c>
      <c r="AK91">
        <v>1</v>
      </c>
      <c r="AL91">
        <v>1</v>
      </c>
      <c r="AO91">
        <v>0</v>
      </c>
      <c r="AP91">
        <v>999</v>
      </c>
      <c r="AQ91">
        <v>600</v>
      </c>
      <c r="AR91">
        <v>600999</v>
      </c>
      <c r="AS91" t="s">
        <v>52</v>
      </c>
      <c r="AU91" t="s">
        <v>52</v>
      </c>
      <c r="AV91">
        <v>107500</v>
      </c>
      <c r="AW91">
        <v>109625</v>
      </c>
      <c r="AX91">
        <v>110000</v>
      </c>
      <c r="AY91">
        <v>112750</v>
      </c>
      <c r="AZ91">
        <v>120738</v>
      </c>
      <c r="BA91">
        <v>129508.75</v>
      </c>
      <c r="BB91">
        <v>130380</v>
      </c>
      <c r="BC91">
        <v>133610</v>
      </c>
      <c r="BD91">
        <v>133800</v>
      </c>
      <c r="BE91">
        <v>141080</v>
      </c>
      <c r="BF91">
        <v>147500</v>
      </c>
      <c r="BG91">
        <v>155382.03049999999</v>
      </c>
      <c r="BH91">
        <v>165585.11799999999</v>
      </c>
      <c r="BI91">
        <v>166416.67000000001</v>
      </c>
      <c r="BJ91">
        <v>166416.67000000001</v>
      </c>
      <c r="BK91">
        <v>173582.95749999999</v>
      </c>
      <c r="BL91">
        <v>190388.68799999999</v>
      </c>
      <c r="BM91">
        <v>212150</v>
      </c>
      <c r="BN91">
        <v>283513.16900000011</v>
      </c>
      <c r="BO91">
        <v>415377.23</v>
      </c>
      <c r="BP91">
        <v>415377.23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 x14ac:dyDescent="0.35">
      <c r="A92">
        <v>337251</v>
      </c>
      <c r="B92" t="s">
        <v>388</v>
      </c>
      <c r="C92" t="s">
        <v>389</v>
      </c>
      <c r="D92" s="1">
        <v>45762</v>
      </c>
      <c r="E92">
        <v>53850</v>
      </c>
      <c r="F92">
        <v>182</v>
      </c>
      <c r="G92" t="s">
        <v>284</v>
      </c>
      <c r="H92" t="s">
        <v>48</v>
      </c>
      <c r="I92" t="s">
        <v>49</v>
      </c>
      <c r="K92" t="s">
        <v>308</v>
      </c>
      <c r="L92">
        <v>1823300169301</v>
      </c>
      <c r="M92">
        <v>20250414</v>
      </c>
      <c r="N92" t="s">
        <v>253</v>
      </c>
      <c r="Q92" t="s">
        <v>58</v>
      </c>
      <c r="R92">
        <v>40010</v>
      </c>
      <c r="S92">
        <v>40010</v>
      </c>
      <c r="T92">
        <v>4284957</v>
      </c>
      <c r="U92" t="s">
        <v>285</v>
      </c>
      <c r="V92" t="s">
        <v>286</v>
      </c>
      <c r="W92" t="s">
        <v>66</v>
      </c>
      <c r="X92" t="s">
        <v>255</v>
      </c>
      <c r="Y92" t="s">
        <v>51</v>
      </c>
      <c r="Z92">
        <v>1656</v>
      </c>
      <c r="AH92">
        <v>0</v>
      </c>
      <c r="AI92">
        <v>202504</v>
      </c>
      <c r="AJ92" t="s">
        <v>63</v>
      </c>
      <c r="AK92">
        <v>0</v>
      </c>
      <c r="AL92">
        <v>1</v>
      </c>
      <c r="AM92">
        <v>4284957</v>
      </c>
      <c r="AN92">
        <v>1</v>
      </c>
      <c r="AO92">
        <v>0</v>
      </c>
      <c r="AP92">
        <v>920</v>
      </c>
      <c r="AQ92">
        <v>615</v>
      </c>
      <c r="AR92">
        <v>615920</v>
      </c>
      <c r="AS92" t="s">
        <v>270</v>
      </c>
      <c r="AU92" t="s">
        <v>270</v>
      </c>
      <c r="AV92">
        <v>37615</v>
      </c>
      <c r="AW92">
        <v>38129.25</v>
      </c>
      <c r="AX92">
        <v>38617</v>
      </c>
      <c r="AY92">
        <v>38985.5</v>
      </c>
      <c r="AZ92">
        <v>39276</v>
      </c>
      <c r="BA92">
        <v>39430</v>
      </c>
      <c r="BB92">
        <v>39650</v>
      </c>
      <c r="BC92">
        <v>39925</v>
      </c>
      <c r="BD92">
        <v>40004</v>
      </c>
      <c r="BE92">
        <v>40009.5</v>
      </c>
      <c r="BF92">
        <v>40505</v>
      </c>
      <c r="BG92">
        <v>41243.25</v>
      </c>
      <c r="BH92">
        <v>43919</v>
      </c>
      <c r="BI92">
        <v>46035.25</v>
      </c>
      <c r="BJ92">
        <v>46659.5</v>
      </c>
      <c r="BK92">
        <v>48836.25</v>
      </c>
      <c r="BL92">
        <v>52876.000000000007</v>
      </c>
      <c r="BM92">
        <v>56324.25</v>
      </c>
      <c r="BN92">
        <v>59434.5</v>
      </c>
      <c r="BO92">
        <v>63675.005999999987</v>
      </c>
      <c r="BP92">
        <v>68166.679999999993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 x14ac:dyDescent="0.35">
      <c r="A93">
        <v>337249</v>
      </c>
      <c r="B93" t="s">
        <v>388</v>
      </c>
      <c r="C93" t="s">
        <v>389</v>
      </c>
      <c r="D93" s="1">
        <v>45762</v>
      </c>
      <c r="E93">
        <v>53850</v>
      </c>
      <c r="F93">
        <v>195</v>
      </c>
      <c r="G93" t="s">
        <v>290</v>
      </c>
      <c r="H93" t="s">
        <v>48</v>
      </c>
      <c r="I93" t="s">
        <v>49</v>
      </c>
      <c r="K93">
        <v>202504147898010</v>
      </c>
      <c r="L93">
        <v>1953300026450</v>
      </c>
      <c r="M93">
        <v>20250414</v>
      </c>
      <c r="N93" t="s">
        <v>392</v>
      </c>
      <c r="Q93" t="s">
        <v>58</v>
      </c>
      <c r="R93">
        <v>100000</v>
      </c>
      <c r="S93">
        <v>0</v>
      </c>
      <c r="T93">
        <v>3109917</v>
      </c>
      <c r="U93" t="s">
        <v>483</v>
      </c>
      <c r="V93" t="s">
        <v>484</v>
      </c>
      <c r="W93" t="s">
        <v>66</v>
      </c>
      <c r="X93" t="s">
        <v>175</v>
      </c>
      <c r="Y93" t="s">
        <v>51</v>
      </c>
      <c r="Z93">
        <v>938</v>
      </c>
      <c r="AH93">
        <v>0</v>
      </c>
      <c r="AI93">
        <v>202504</v>
      </c>
      <c r="AJ93" t="s">
        <v>168</v>
      </c>
      <c r="AK93">
        <v>1</v>
      </c>
      <c r="AL93">
        <v>1</v>
      </c>
      <c r="AO93">
        <v>0</v>
      </c>
      <c r="AP93">
        <v>999</v>
      </c>
      <c r="AQ93">
        <v>615</v>
      </c>
      <c r="AR93">
        <v>615999</v>
      </c>
      <c r="AT93">
        <v>1</v>
      </c>
      <c r="AU93" t="s">
        <v>61</v>
      </c>
      <c r="AV93">
        <v>85050</v>
      </c>
      <c r="AW93">
        <v>89030</v>
      </c>
      <c r="AX93">
        <v>91669.203999999998</v>
      </c>
      <c r="AY93">
        <v>93087.394</v>
      </c>
      <c r="AZ93">
        <v>94164.18</v>
      </c>
      <c r="BA93">
        <v>96798.05</v>
      </c>
      <c r="BB93">
        <v>100000</v>
      </c>
      <c r="BC93">
        <v>100000</v>
      </c>
      <c r="BD93">
        <v>101589.726</v>
      </c>
      <c r="BE93">
        <v>106295.712</v>
      </c>
      <c r="BF93">
        <v>110193.28</v>
      </c>
      <c r="BG93">
        <v>119645.424</v>
      </c>
      <c r="BH93">
        <v>127698</v>
      </c>
      <c r="BI93">
        <v>137713.79399999999</v>
      </c>
      <c r="BJ93">
        <v>139806</v>
      </c>
      <c r="BK93">
        <v>150000</v>
      </c>
      <c r="BL93">
        <v>161820.22</v>
      </c>
      <c r="BM93">
        <v>190199.99999999991</v>
      </c>
      <c r="BN93">
        <v>213800</v>
      </c>
      <c r="BO93">
        <v>259913.9999999998</v>
      </c>
      <c r="BP93">
        <v>440000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 x14ac:dyDescent="0.35">
      <c r="A94">
        <v>337243</v>
      </c>
      <c r="B94" t="s">
        <v>388</v>
      </c>
      <c r="C94" t="s">
        <v>389</v>
      </c>
      <c r="D94" s="1">
        <v>45762</v>
      </c>
      <c r="E94">
        <v>53850</v>
      </c>
      <c r="F94">
        <v>102</v>
      </c>
      <c r="G94" t="s">
        <v>55</v>
      </c>
      <c r="H94" t="s">
        <v>48</v>
      </c>
      <c r="I94" t="s">
        <v>49</v>
      </c>
      <c r="K94" t="s">
        <v>308</v>
      </c>
      <c r="L94">
        <v>1023300660520</v>
      </c>
      <c r="M94">
        <v>20250414</v>
      </c>
      <c r="N94" t="s">
        <v>262</v>
      </c>
      <c r="Q94" t="s">
        <v>58</v>
      </c>
      <c r="R94">
        <v>172920.5</v>
      </c>
      <c r="S94">
        <v>27495</v>
      </c>
      <c r="T94">
        <v>66052</v>
      </c>
      <c r="U94">
        <v>398110726</v>
      </c>
      <c r="V94" t="s">
        <v>287</v>
      </c>
      <c r="W94" t="s">
        <v>56</v>
      </c>
      <c r="X94" t="s">
        <v>235</v>
      </c>
      <c r="Y94" t="s">
        <v>51</v>
      </c>
      <c r="Z94">
        <v>1203</v>
      </c>
      <c r="AH94">
        <v>0</v>
      </c>
      <c r="AI94">
        <v>202504</v>
      </c>
      <c r="AJ94" t="s">
        <v>169</v>
      </c>
      <c r="AK94">
        <v>1</v>
      </c>
      <c r="AL94">
        <v>1</v>
      </c>
      <c r="AM94">
        <v>66052</v>
      </c>
      <c r="AN94">
        <v>1</v>
      </c>
      <c r="AO94">
        <v>1</v>
      </c>
      <c r="AP94">
        <v>999</v>
      </c>
      <c r="AQ94">
        <v>430</v>
      </c>
      <c r="AR94">
        <v>430999</v>
      </c>
      <c r="AT94">
        <v>1</v>
      </c>
      <c r="AU94" t="s">
        <v>57</v>
      </c>
      <c r="AV94">
        <v>101552.46</v>
      </c>
      <c r="AW94">
        <v>114647.6485</v>
      </c>
      <c r="AX94">
        <v>118167.008</v>
      </c>
      <c r="AY94">
        <v>123559.05899999999</v>
      </c>
      <c r="AZ94">
        <v>128796.368</v>
      </c>
      <c r="BA94">
        <v>130000</v>
      </c>
      <c r="BB94">
        <v>135819.11300000001</v>
      </c>
      <c r="BC94">
        <v>145008.255</v>
      </c>
      <c r="BD94">
        <v>146226.546</v>
      </c>
      <c r="BE94">
        <v>148171.67300000001</v>
      </c>
      <c r="BF94">
        <v>156533.16500000001</v>
      </c>
      <c r="BG94">
        <v>167340.8915</v>
      </c>
      <c r="BH94">
        <v>179808.78</v>
      </c>
      <c r="BI94">
        <v>187222.14799999999</v>
      </c>
      <c r="BJ94">
        <v>206328.26500000001</v>
      </c>
      <c r="BK94">
        <v>220390.6225</v>
      </c>
      <c r="BL94">
        <v>239280.00000000009</v>
      </c>
      <c r="BM94">
        <v>298738.61</v>
      </c>
      <c r="BN94">
        <v>365407.64500000002</v>
      </c>
      <c r="BO94">
        <v>399465.49400000001</v>
      </c>
      <c r="BP94">
        <v>515709.15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 x14ac:dyDescent="0.35">
      <c r="A95">
        <v>337241</v>
      </c>
      <c r="B95" t="s">
        <v>388</v>
      </c>
      <c r="C95" t="s">
        <v>389</v>
      </c>
      <c r="D95" s="1">
        <v>45762</v>
      </c>
      <c r="E95">
        <v>53850</v>
      </c>
      <c r="F95">
        <v>116</v>
      </c>
      <c r="G95" t="s">
        <v>259</v>
      </c>
      <c r="H95" t="s">
        <v>48</v>
      </c>
      <c r="I95" t="s">
        <v>49</v>
      </c>
      <c r="K95">
        <v>202504147897411</v>
      </c>
      <c r="L95">
        <v>2343300010453</v>
      </c>
      <c r="M95">
        <v>20250414</v>
      </c>
      <c r="N95" t="s">
        <v>253</v>
      </c>
      <c r="Q95" t="s">
        <v>58</v>
      </c>
      <c r="R95">
        <v>177964.1</v>
      </c>
      <c r="S95">
        <v>177964.1</v>
      </c>
      <c r="T95">
        <v>4247777</v>
      </c>
      <c r="U95">
        <v>233470236</v>
      </c>
      <c r="V95" t="s">
        <v>260</v>
      </c>
      <c r="W95" t="s">
        <v>56</v>
      </c>
      <c r="X95" t="s">
        <v>72</v>
      </c>
      <c r="Y95" t="s">
        <v>51</v>
      </c>
      <c r="Z95">
        <v>1696</v>
      </c>
      <c r="AH95">
        <v>0</v>
      </c>
      <c r="AI95">
        <v>202504</v>
      </c>
      <c r="AJ95" t="s">
        <v>177</v>
      </c>
      <c r="AK95">
        <v>1</v>
      </c>
      <c r="AL95">
        <v>1</v>
      </c>
      <c r="AM95">
        <v>4247777</v>
      </c>
      <c r="AN95">
        <v>1</v>
      </c>
      <c r="AO95">
        <v>0</v>
      </c>
      <c r="AP95">
        <v>463</v>
      </c>
      <c r="AQ95">
        <v>430</v>
      </c>
      <c r="AR95">
        <v>430463</v>
      </c>
      <c r="AS95" t="s">
        <v>61</v>
      </c>
      <c r="AU95" t="s">
        <v>61</v>
      </c>
      <c r="AV95">
        <v>85050</v>
      </c>
      <c r="AW95">
        <v>89030</v>
      </c>
      <c r="AX95">
        <v>91669.203999999998</v>
      </c>
      <c r="AY95">
        <v>93087.394</v>
      </c>
      <c r="AZ95">
        <v>94164.18</v>
      </c>
      <c r="BA95">
        <v>96798.05</v>
      </c>
      <c r="BB95">
        <v>100000</v>
      </c>
      <c r="BC95">
        <v>100000</v>
      </c>
      <c r="BD95">
        <v>101589.726</v>
      </c>
      <c r="BE95">
        <v>106295.712</v>
      </c>
      <c r="BF95">
        <v>110193.28</v>
      </c>
      <c r="BG95">
        <v>119645.424</v>
      </c>
      <c r="BH95">
        <v>127698</v>
      </c>
      <c r="BI95">
        <v>137713.79399999999</v>
      </c>
      <c r="BJ95">
        <v>139806</v>
      </c>
      <c r="BK95">
        <v>150000</v>
      </c>
      <c r="BL95">
        <v>161820.22</v>
      </c>
      <c r="BM95">
        <v>190199.99999999991</v>
      </c>
      <c r="BN95">
        <v>213800</v>
      </c>
      <c r="BO95">
        <v>259913.9999999998</v>
      </c>
      <c r="BP95">
        <v>440000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0</v>
      </c>
      <c r="CI95">
        <v>0</v>
      </c>
      <c r="CJ95">
        <v>0</v>
      </c>
      <c r="CK95">
        <v>0</v>
      </c>
    </row>
    <row r="96" spans="1:89" x14ac:dyDescent="0.35">
      <c r="A96">
        <v>337238</v>
      </c>
      <c r="B96" t="s">
        <v>388</v>
      </c>
      <c r="C96" t="s">
        <v>389</v>
      </c>
      <c r="D96" s="1">
        <v>45762</v>
      </c>
      <c r="E96">
        <v>53850</v>
      </c>
      <c r="F96">
        <v>108</v>
      </c>
      <c r="G96" t="s">
        <v>89</v>
      </c>
      <c r="H96" t="s">
        <v>48</v>
      </c>
      <c r="I96" t="s">
        <v>49</v>
      </c>
      <c r="K96" t="s">
        <v>308</v>
      </c>
      <c r="L96">
        <v>1083306291105</v>
      </c>
      <c r="M96">
        <v>20250414</v>
      </c>
      <c r="N96" t="s">
        <v>262</v>
      </c>
      <c r="Q96" t="s">
        <v>58</v>
      </c>
      <c r="R96">
        <v>141489.49</v>
      </c>
      <c r="S96">
        <v>41638.400000000001</v>
      </c>
      <c r="T96">
        <v>4227057</v>
      </c>
      <c r="U96">
        <v>4874620729</v>
      </c>
      <c r="V96" t="s">
        <v>263</v>
      </c>
      <c r="W96" t="s">
        <v>56</v>
      </c>
      <c r="X96" t="s">
        <v>264</v>
      </c>
      <c r="Y96" t="s">
        <v>51</v>
      </c>
      <c r="Z96">
        <v>1058</v>
      </c>
      <c r="AH96">
        <v>0</v>
      </c>
      <c r="AI96">
        <v>202504</v>
      </c>
      <c r="AJ96" t="s">
        <v>63</v>
      </c>
      <c r="AK96">
        <v>0</v>
      </c>
      <c r="AL96">
        <v>1</v>
      </c>
      <c r="AM96">
        <v>4227057</v>
      </c>
      <c r="AN96">
        <v>1</v>
      </c>
      <c r="AO96">
        <v>1</v>
      </c>
      <c r="AP96">
        <v>999</v>
      </c>
      <c r="AQ96">
        <v>430</v>
      </c>
      <c r="AR96">
        <v>430999</v>
      </c>
      <c r="AT96">
        <v>1</v>
      </c>
      <c r="AU96" t="s">
        <v>57</v>
      </c>
      <c r="AV96">
        <v>101552.46</v>
      </c>
      <c r="AW96">
        <v>114647.6485</v>
      </c>
      <c r="AX96">
        <v>118167.008</v>
      </c>
      <c r="AY96">
        <v>123559.05899999999</v>
      </c>
      <c r="AZ96">
        <v>128796.368</v>
      </c>
      <c r="BA96">
        <v>130000</v>
      </c>
      <c r="BB96">
        <v>135819.11300000001</v>
      </c>
      <c r="BC96">
        <v>145008.255</v>
      </c>
      <c r="BD96">
        <v>146226.546</v>
      </c>
      <c r="BE96">
        <v>148171.67300000001</v>
      </c>
      <c r="BF96">
        <v>156533.16500000001</v>
      </c>
      <c r="BG96">
        <v>167340.8915</v>
      </c>
      <c r="BH96">
        <v>179808.78</v>
      </c>
      <c r="BI96">
        <v>187222.14799999999</v>
      </c>
      <c r="BJ96">
        <v>206328.26500000001</v>
      </c>
      <c r="BK96">
        <v>220390.6225</v>
      </c>
      <c r="BL96">
        <v>239280.00000000009</v>
      </c>
      <c r="BM96">
        <v>298738.61</v>
      </c>
      <c r="BN96">
        <v>365407.64500000002</v>
      </c>
      <c r="BO96">
        <v>399465.49400000001</v>
      </c>
      <c r="BP96">
        <v>515709.15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 x14ac:dyDescent="0.35">
      <c r="A97">
        <v>337229</v>
      </c>
      <c r="B97" t="s">
        <v>388</v>
      </c>
      <c r="C97" t="s">
        <v>389</v>
      </c>
      <c r="D97" s="1">
        <v>45762</v>
      </c>
      <c r="E97">
        <v>53850</v>
      </c>
      <c r="F97">
        <v>114</v>
      </c>
      <c r="G97" t="s">
        <v>267</v>
      </c>
      <c r="H97" t="s">
        <v>48</v>
      </c>
      <c r="I97" t="s">
        <v>49</v>
      </c>
      <c r="K97">
        <v>202504147897685</v>
      </c>
      <c r="L97">
        <v>1143306280621</v>
      </c>
      <c r="M97">
        <v>20250414</v>
      </c>
      <c r="N97" t="s">
        <v>265</v>
      </c>
      <c r="Q97" t="s">
        <v>58</v>
      </c>
      <c r="R97">
        <v>64500</v>
      </c>
      <c r="S97">
        <v>64500</v>
      </c>
      <c r="T97">
        <v>4658875</v>
      </c>
      <c r="U97">
        <v>3230890711</v>
      </c>
      <c r="V97" t="s">
        <v>268</v>
      </c>
      <c r="W97" t="s">
        <v>64</v>
      </c>
      <c r="X97" t="s">
        <v>80</v>
      </c>
      <c r="Y97" t="s">
        <v>51</v>
      </c>
      <c r="Z97">
        <v>870</v>
      </c>
      <c r="AH97">
        <v>0</v>
      </c>
      <c r="AI97">
        <v>202504</v>
      </c>
      <c r="AJ97" t="s">
        <v>63</v>
      </c>
      <c r="AK97">
        <v>0</v>
      </c>
      <c r="AL97">
        <v>1</v>
      </c>
      <c r="AM97">
        <v>4658875</v>
      </c>
      <c r="AN97">
        <v>1</v>
      </c>
      <c r="AO97">
        <v>0</v>
      </c>
      <c r="AP97">
        <v>477</v>
      </c>
      <c r="AQ97">
        <v>492</v>
      </c>
      <c r="AR97">
        <v>492477</v>
      </c>
      <c r="AS97" t="s">
        <v>234</v>
      </c>
      <c r="AU97" t="s">
        <v>234</v>
      </c>
      <c r="AV97">
        <v>55650</v>
      </c>
      <c r="AW97">
        <v>56502</v>
      </c>
      <c r="AX97">
        <v>57354</v>
      </c>
      <c r="AY97">
        <v>58206</v>
      </c>
      <c r="AZ97">
        <v>59098</v>
      </c>
      <c r="BA97">
        <v>60010</v>
      </c>
      <c r="BB97">
        <v>60922</v>
      </c>
      <c r="BC97">
        <v>61827</v>
      </c>
      <c r="BD97">
        <v>62718</v>
      </c>
      <c r="BE97">
        <v>63609</v>
      </c>
      <c r="BF97">
        <v>64500</v>
      </c>
      <c r="BG97">
        <v>66288</v>
      </c>
      <c r="BH97">
        <v>68076</v>
      </c>
      <c r="BI97">
        <v>69864</v>
      </c>
      <c r="BJ97">
        <v>70482</v>
      </c>
      <c r="BK97">
        <v>70515</v>
      </c>
      <c r="BL97">
        <v>70548</v>
      </c>
      <c r="BM97">
        <v>70590</v>
      </c>
      <c r="BN97">
        <v>70650</v>
      </c>
      <c r="BO97">
        <v>70710</v>
      </c>
      <c r="BP97">
        <v>70770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 x14ac:dyDescent="0.35">
      <c r="A98">
        <v>337228</v>
      </c>
      <c r="B98" t="s">
        <v>388</v>
      </c>
      <c r="C98" t="s">
        <v>389</v>
      </c>
      <c r="D98" s="1">
        <v>45762</v>
      </c>
      <c r="E98">
        <v>53850</v>
      </c>
      <c r="F98">
        <v>287</v>
      </c>
      <c r="G98" t="s">
        <v>301</v>
      </c>
      <c r="H98" t="s">
        <v>48</v>
      </c>
      <c r="I98" t="s">
        <v>49</v>
      </c>
      <c r="K98" t="s">
        <v>308</v>
      </c>
      <c r="L98">
        <v>2873300001853</v>
      </c>
      <c r="M98">
        <v>20250414</v>
      </c>
      <c r="N98" t="s">
        <v>262</v>
      </c>
      <c r="Q98" t="s">
        <v>58</v>
      </c>
      <c r="R98">
        <v>153301.1</v>
      </c>
      <c r="S98">
        <v>78570</v>
      </c>
      <c r="T98">
        <v>3722213</v>
      </c>
      <c r="U98">
        <v>2021570698</v>
      </c>
      <c r="V98" t="s">
        <v>302</v>
      </c>
      <c r="W98" t="s">
        <v>56</v>
      </c>
      <c r="X98" t="s">
        <v>72</v>
      </c>
      <c r="Y98" t="s">
        <v>51</v>
      </c>
      <c r="Z98">
        <v>1877</v>
      </c>
      <c r="AH98">
        <v>0</v>
      </c>
      <c r="AI98">
        <v>202504</v>
      </c>
      <c r="AJ98" t="s">
        <v>54</v>
      </c>
      <c r="AK98">
        <v>0</v>
      </c>
      <c r="AL98">
        <v>1</v>
      </c>
      <c r="AM98">
        <v>3722213</v>
      </c>
      <c r="AN98">
        <v>1</v>
      </c>
      <c r="AO98">
        <v>1</v>
      </c>
      <c r="AP98">
        <v>463</v>
      </c>
      <c r="AQ98">
        <v>430</v>
      </c>
      <c r="AR98">
        <v>430463</v>
      </c>
      <c r="AS98" t="s">
        <v>61</v>
      </c>
      <c r="AU98" t="s">
        <v>61</v>
      </c>
      <c r="AV98">
        <v>85050</v>
      </c>
      <c r="AW98">
        <v>89030</v>
      </c>
      <c r="AX98">
        <v>91669.203999999998</v>
      </c>
      <c r="AY98">
        <v>93087.394</v>
      </c>
      <c r="AZ98">
        <v>94164.18</v>
      </c>
      <c r="BA98">
        <v>96798.05</v>
      </c>
      <c r="BB98">
        <v>100000</v>
      </c>
      <c r="BC98">
        <v>100000</v>
      </c>
      <c r="BD98">
        <v>101589.726</v>
      </c>
      <c r="BE98">
        <v>106295.712</v>
      </c>
      <c r="BF98">
        <v>110193.28</v>
      </c>
      <c r="BG98">
        <v>119645.424</v>
      </c>
      <c r="BH98">
        <v>127698</v>
      </c>
      <c r="BI98">
        <v>137713.79399999999</v>
      </c>
      <c r="BJ98">
        <v>139806</v>
      </c>
      <c r="BK98">
        <v>150000</v>
      </c>
      <c r="BL98">
        <v>161820.22</v>
      </c>
      <c r="BM98">
        <v>190199.99999999991</v>
      </c>
      <c r="BN98">
        <v>213800</v>
      </c>
      <c r="BO98">
        <v>259913.9999999998</v>
      </c>
      <c r="BP98">
        <v>440000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 x14ac:dyDescent="0.35">
      <c r="A99">
        <v>337216</v>
      </c>
      <c r="B99" t="s">
        <v>388</v>
      </c>
      <c r="C99" t="s">
        <v>389</v>
      </c>
      <c r="D99" s="1">
        <v>45762</v>
      </c>
      <c r="E99">
        <v>53850</v>
      </c>
      <c r="F99">
        <v>102</v>
      </c>
      <c r="G99" t="s">
        <v>55</v>
      </c>
      <c r="H99" t="s">
        <v>48</v>
      </c>
      <c r="I99" t="s">
        <v>49</v>
      </c>
      <c r="K99">
        <v>202504147897540</v>
      </c>
      <c r="L99">
        <v>1023305098640</v>
      </c>
      <c r="M99">
        <v>20250414</v>
      </c>
      <c r="N99" t="s">
        <v>400</v>
      </c>
      <c r="Q99" t="s">
        <v>58</v>
      </c>
      <c r="R99">
        <v>500000</v>
      </c>
      <c r="S99">
        <v>0</v>
      </c>
      <c r="T99">
        <v>509864</v>
      </c>
      <c r="U99">
        <v>4312790720</v>
      </c>
      <c r="V99" t="s">
        <v>485</v>
      </c>
      <c r="W99" t="s">
        <v>56</v>
      </c>
      <c r="X99" t="s">
        <v>486</v>
      </c>
      <c r="Y99" t="s">
        <v>51</v>
      </c>
      <c r="Z99">
        <v>979</v>
      </c>
      <c r="AH99">
        <v>0</v>
      </c>
      <c r="AI99">
        <v>202504</v>
      </c>
      <c r="AJ99" t="s">
        <v>168</v>
      </c>
      <c r="AK99">
        <v>1</v>
      </c>
      <c r="AL99">
        <v>1</v>
      </c>
      <c r="AO99">
        <v>0</v>
      </c>
      <c r="AP99">
        <v>999</v>
      </c>
      <c r="AQ99">
        <v>430</v>
      </c>
      <c r="AR99">
        <v>430999</v>
      </c>
      <c r="AT99">
        <v>1</v>
      </c>
      <c r="AU99" t="s">
        <v>57</v>
      </c>
      <c r="AV99">
        <v>101552.46</v>
      </c>
      <c r="AW99">
        <v>114647.6485</v>
      </c>
      <c r="AX99">
        <v>118167.008</v>
      </c>
      <c r="AY99">
        <v>123559.05899999999</v>
      </c>
      <c r="AZ99">
        <v>128796.368</v>
      </c>
      <c r="BA99">
        <v>130000</v>
      </c>
      <c r="BB99">
        <v>135819.11300000001</v>
      </c>
      <c r="BC99">
        <v>145008.255</v>
      </c>
      <c r="BD99">
        <v>146226.546</v>
      </c>
      <c r="BE99">
        <v>148171.67300000001</v>
      </c>
      <c r="BF99">
        <v>156533.16500000001</v>
      </c>
      <c r="BG99">
        <v>167340.8915</v>
      </c>
      <c r="BH99">
        <v>179808.78</v>
      </c>
      <c r="BI99">
        <v>187222.14799999999</v>
      </c>
      <c r="BJ99">
        <v>206328.26500000001</v>
      </c>
      <c r="BK99">
        <v>220390.6225</v>
      </c>
      <c r="BL99">
        <v>239280.00000000009</v>
      </c>
      <c r="BM99">
        <v>298738.61</v>
      </c>
      <c r="BN99">
        <v>365407.64500000002</v>
      </c>
      <c r="BO99">
        <v>399465.49400000001</v>
      </c>
      <c r="BP99">
        <v>515709.15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0</v>
      </c>
    </row>
    <row r="100" spans="1:89" x14ac:dyDescent="0.35">
      <c r="A100">
        <v>337212</v>
      </c>
      <c r="B100" t="s">
        <v>388</v>
      </c>
      <c r="C100" t="s">
        <v>389</v>
      </c>
      <c r="D100" s="1">
        <v>45762</v>
      </c>
      <c r="E100">
        <v>53850</v>
      </c>
      <c r="F100">
        <v>273</v>
      </c>
      <c r="G100" t="s">
        <v>275</v>
      </c>
      <c r="H100" t="s">
        <v>48</v>
      </c>
      <c r="I100" t="s">
        <v>49</v>
      </c>
      <c r="K100">
        <v>202504147898124</v>
      </c>
      <c r="L100">
        <v>2733300003257</v>
      </c>
      <c r="M100">
        <v>20250414</v>
      </c>
      <c r="N100" t="s">
        <v>400</v>
      </c>
      <c r="Q100" t="s">
        <v>58</v>
      </c>
      <c r="R100">
        <v>110000</v>
      </c>
      <c r="S100">
        <v>0</v>
      </c>
      <c r="T100">
        <v>1672098</v>
      </c>
      <c r="U100" t="s">
        <v>487</v>
      </c>
      <c r="V100" t="s">
        <v>488</v>
      </c>
      <c r="W100" t="s">
        <v>83</v>
      </c>
      <c r="X100" t="s">
        <v>85</v>
      </c>
      <c r="Y100" t="s">
        <v>51</v>
      </c>
      <c r="Z100">
        <v>1801</v>
      </c>
      <c r="AH100">
        <v>0</v>
      </c>
      <c r="AI100">
        <v>202504</v>
      </c>
      <c r="AJ100" t="s">
        <v>54</v>
      </c>
      <c r="AK100">
        <v>0</v>
      </c>
      <c r="AL100">
        <v>1</v>
      </c>
      <c r="AO100">
        <v>0</v>
      </c>
      <c r="AP100">
        <v>999</v>
      </c>
      <c r="AQ100">
        <v>614</v>
      </c>
      <c r="AR100">
        <v>614999</v>
      </c>
      <c r="AT100">
        <v>1</v>
      </c>
      <c r="AU100" t="s">
        <v>61</v>
      </c>
      <c r="AV100">
        <v>85050</v>
      </c>
      <c r="AW100">
        <v>89030</v>
      </c>
      <c r="AX100">
        <v>91669.203999999998</v>
      </c>
      <c r="AY100">
        <v>93087.394</v>
      </c>
      <c r="AZ100">
        <v>94164.18</v>
      </c>
      <c r="BA100">
        <v>96798.05</v>
      </c>
      <c r="BB100">
        <v>100000</v>
      </c>
      <c r="BC100">
        <v>100000</v>
      </c>
      <c r="BD100">
        <v>101589.726</v>
      </c>
      <c r="BE100">
        <v>106295.712</v>
      </c>
      <c r="BF100">
        <v>110193.28</v>
      </c>
      <c r="BG100">
        <v>119645.424</v>
      </c>
      <c r="BH100">
        <v>127698</v>
      </c>
      <c r="BI100">
        <v>137713.79399999999</v>
      </c>
      <c r="BJ100">
        <v>139806</v>
      </c>
      <c r="BK100">
        <v>150000</v>
      </c>
      <c r="BL100">
        <v>161820.22</v>
      </c>
      <c r="BM100">
        <v>190199.99999999991</v>
      </c>
      <c r="BN100">
        <v>213800</v>
      </c>
      <c r="BO100">
        <v>259913.9999999998</v>
      </c>
      <c r="BP100">
        <v>440000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 x14ac:dyDescent="0.35">
      <c r="A101">
        <v>329495</v>
      </c>
      <c r="B101" t="s">
        <v>388</v>
      </c>
      <c r="C101" t="s">
        <v>389</v>
      </c>
      <c r="D101" s="1">
        <v>45759</v>
      </c>
      <c r="E101">
        <v>53850</v>
      </c>
      <c r="F101">
        <v>171</v>
      </c>
      <c r="G101" t="s">
        <v>70</v>
      </c>
      <c r="H101" t="s">
        <v>48</v>
      </c>
      <c r="I101" t="s">
        <v>49</v>
      </c>
      <c r="K101" t="s">
        <v>309</v>
      </c>
      <c r="L101">
        <v>1713302214147</v>
      </c>
      <c r="M101">
        <v>20250411</v>
      </c>
      <c r="N101" t="s">
        <v>253</v>
      </c>
      <c r="Q101" t="s">
        <v>58</v>
      </c>
      <c r="R101">
        <v>154416.32999999999</v>
      </c>
      <c r="S101">
        <v>154416.32999999999</v>
      </c>
      <c r="T101">
        <v>4199319</v>
      </c>
      <c r="U101">
        <v>6037810725</v>
      </c>
      <c r="V101" t="s">
        <v>269</v>
      </c>
      <c r="W101" t="s">
        <v>56</v>
      </c>
      <c r="X101" t="s">
        <v>258</v>
      </c>
      <c r="Y101" t="s">
        <v>51</v>
      </c>
      <c r="Z101">
        <v>1903</v>
      </c>
      <c r="AH101">
        <v>0</v>
      </c>
      <c r="AI101">
        <v>202504</v>
      </c>
      <c r="AJ101" t="s">
        <v>63</v>
      </c>
      <c r="AK101">
        <v>0</v>
      </c>
      <c r="AL101">
        <v>1</v>
      </c>
      <c r="AM101">
        <v>4199319</v>
      </c>
      <c r="AN101">
        <v>1</v>
      </c>
      <c r="AO101">
        <v>0</v>
      </c>
      <c r="AP101">
        <v>999</v>
      </c>
      <c r="AQ101">
        <v>430</v>
      </c>
      <c r="AR101">
        <v>430999</v>
      </c>
      <c r="AT101">
        <v>1</v>
      </c>
      <c r="AU101" t="s">
        <v>57</v>
      </c>
      <c r="AV101">
        <v>101552.46</v>
      </c>
      <c r="AW101">
        <v>114647.6485</v>
      </c>
      <c r="AX101">
        <v>118167.008</v>
      </c>
      <c r="AY101">
        <v>123559.05899999999</v>
      </c>
      <c r="AZ101">
        <v>128796.368</v>
      </c>
      <c r="BA101">
        <v>130000</v>
      </c>
      <c r="BB101">
        <v>135819.11300000001</v>
      </c>
      <c r="BC101">
        <v>145008.255</v>
      </c>
      <c r="BD101">
        <v>146226.546</v>
      </c>
      <c r="BE101">
        <v>148171.67300000001</v>
      </c>
      <c r="BF101">
        <v>156533.16500000001</v>
      </c>
      <c r="BG101">
        <v>167340.8915</v>
      </c>
      <c r="BH101">
        <v>179808.78</v>
      </c>
      <c r="BI101">
        <v>187222.14799999999</v>
      </c>
      <c r="BJ101">
        <v>206328.26500000001</v>
      </c>
      <c r="BK101">
        <v>220390.6225</v>
      </c>
      <c r="BL101">
        <v>239280.00000000009</v>
      </c>
      <c r="BM101">
        <v>298738.61</v>
      </c>
      <c r="BN101">
        <v>365407.64500000002</v>
      </c>
      <c r="BO101">
        <v>399465.49400000001</v>
      </c>
      <c r="BP101">
        <v>515709.15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 x14ac:dyDescent="0.35">
      <c r="A102">
        <v>329492</v>
      </c>
      <c r="B102" t="s">
        <v>388</v>
      </c>
      <c r="C102" t="s">
        <v>389</v>
      </c>
      <c r="D102" s="1">
        <v>45759</v>
      </c>
      <c r="E102">
        <v>53850</v>
      </c>
      <c r="F102">
        <v>102</v>
      </c>
      <c r="G102" t="s">
        <v>55</v>
      </c>
      <c r="H102" t="s">
        <v>48</v>
      </c>
      <c r="I102" t="s">
        <v>49</v>
      </c>
      <c r="K102">
        <v>202504117889567</v>
      </c>
      <c r="L102">
        <v>1023305550270</v>
      </c>
      <c r="M102">
        <v>20250411</v>
      </c>
      <c r="N102" t="s">
        <v>400</v>
      </c>
      <c r="Q102" t="s">
        <v>58</v>
      </c>
      <c r="R102">
        <v>159670</v>
      </c>
      <c r="S102">
        <v>0</v>
      </c>
      <c r="T102">
        <v>555027</v>
      </c>
      <c r="U102">
        <v>4594700728</v>
      </c>
      <c r="V102" t="s">
        <v>489</v>
      </c>
      <c r="W102" t="s">
        <v>56</v>
      </c>
      <c r="X102" t="s">
        <v>62</v>
      </c>
      <c r="Y102" t="s">
        <v>51</v>
      </c>
      <c r="Z102">
        <v>1203</v>
      </c>
      <c r="AH102">
        <v>0</v>
      </c>
      <c r="AI102">
        <v>202504</v>
      </c>
      <c r="AJ102" t="s">
        <v>168</v>
      </c>
      <c r="AK102">
        <v>1</v>
      </c>
      <c r="AL102">
        <v>1</v>
      </c>
      <c r="AO102">
        <v>0</v>
      </c>
      <c r="AP102">
        <v>412</v>
      </c>
      <c r="AQ102">
        <v>430</v>
      </c>
      <c r="AR102">
        <v>430412</v>
      </c>
      <c r="AS102" t="s">
        <v>61</v>
      </c>
      <c r="AU102" t="s">
        <v>61</v>
      </c>
      <c r="AV102">
        <v>85050</v>
      </c>
      <c r="AW102">
        <v>89030</v>
      </c>
      <c r="AX102">
        <v>91669.203999999998</v>
      </c>
      <c r="AY102">
        <v>93087.394</v>
      </c>
      <c r="AZ102">
        <v>94164.18</v>
      </c>
      <c r="BA102">
        <v>96798.05</v>
      </c>
      <c r="BB102">
        <v>100000</v>
      </c>
      <c r="BC102">
        <v>100000</v>
      </c>
      <c r="BD102">
        <v>101589.726</v>
      </c>
      <c r="BE102">
        <v>106295.712</v>
      </c>
      <c r="BF102">
        <v>110193.28</v>
      </c>
      <c r="BG102">
        <v>119645.424</v>
      </c>
      <c r="BH102">
        <v>127698</v>
      </c>
      <c r="BI102">
        <v>137713.79399999999</v>
      </c>
      <c r="BJ102">
        <v>139806</v>
      </c>
      <c r="BK102">
        <v>150000</v>
      </c>
      <c r="BL102">
        <v>161820.22</v>
      </c>
      <c r="BM102">
        <v>190199.99999999991</v>
      </c>
      <c r="BN102">
        <v>213800</v>
      </c>
      <c r="BO102">
        <v>259913.9999999998</v>
      </c>
      <c r="BP102">
        <v>440000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 x14ac:dyDescent="0.35">
      <c r="A103">
        <v>329491</v>
      </c>
      <c r="B103" t="s">
        <v>388</v>
      </c>
      <c r="C103" t="s">
        <v>389</v>
      </c>
      <c r="D103" s="1">
        <v>45759</v>
      </c>
      <c r="E103">
        <v>53850</v>
      </c>
      <c r="F103">
        <v>121</v>
      </c>
      <c r="G103" t="s">
        <v>71</v>
      </c>
      <c r="H103" t="s">
        <v>48</v>
      </c>
      <c r="I103" t="s">
        <v>49</v>
      </c>
      <c r="K103" t="s">
        <v>309</v>
      </c>
      <c r="L103">
        <v>1213300002600</v>
      </c>
      <c r="M103">
        <v>20250411</v>
      </c>
      <c r="N103" t="s">
        <v>262</v>
      </c>
      <c r="Q103" t="s">
        <v>58</v>
      </c>
      <c r="R103">
        <v>606194.87</v>
      </c>
      <c r="S103">
        <v>0</v>
      </c>
      <c r="T103">
        <v>4939345</v>
      </c>
      <c r="U103">
        <v>5754810728</v>
      </c>
      <c r="V103" t="s">
        <v>176</v>
      </c>
      <c r="W103" t="s">
        <v>56</v>
      </c>
      <c r="X103" t="s">
        <v>72</v>
      </c>
      <c r="Y103" t="s">
        <v>51</v>
      </c>
      <c r="Z103">
        <v>1058</v>
      </c>
      <c r="AH103">
        <v>0</v>
      </c>
      <c r="AI103">
        <v>202504</v>
      </c>
      <c r="AJ103" t="s">
        <v>177</v>
      </c>
      <c r="AK103">
        <v>1</v>
      </c>
      <c r="AL103">
        <v>1</v>
      </c>
      <c r="AO103">
        <v>1</v>
      </c>
      <c r="AP103">
        <v>463</v>
      </c>
      <c r="AQ103">
        <v>430</v>
      </c>
      <c r="AR103">
        <v>430463</v>
      </c>
      <c r="AS103" t="s">
        <v>61</v>
      </c>
      <c r="AU103" t="s">
        <v>61</v>
      </c>
      <c r="AV103">
        <v>85050</v>
      </c>
      <c r="AW103">
        <v>89030</v>
      </c>
      <c r="AX103">
        <v>91669.203999999998</v>
      </c>
      <c r="AY103">
        <v>93087.394</v>
      </c>
      <c r="AZ103">
        <v>94164.18</v>
      </c>
      <c r="BA103">
        <v>96798.05</v>
      </c>
      <c r="BB103">
        <v>100000</v>
      </c>
      <c r="BC103">
        <v>100000</v>
      </c>
      <c r="BD103">
        <v>101589.726</v>
      </c>
      <c r="BE103">
        <v>106295.712</v>
      </c>
      <c r="BF103">
        <v>110193.28</v>
      </c>
      <c r="BG103">
        <v>119645.424</v>
      </c>
      <c r="BH103">
        <v>127698</v>
      </c>
      <c r="BI103">
        <v>137713.79399999999</v>
      </c>
      <c r="BJ103">
        <v>139806</v>
      </c>
      <c r="BK103">
        <v>150000</v>
      </c>
      <c r="BL103">
        <v>161820.22</v>
      </c>
      <c r="BM103">
        <v>190199.99999999991</v>
      </c>
      <c r="BN103">
        <v>213800</v>
      </c>
      <c r="BO103">
        <v>259913.9999999998</v>
      </c>
      <c r="BP103">
        <v>440000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</row>
    <row r="104" spans="1:89" x14ac:dyDescent="0.35">
      <c r="A104">
        <v>329488</v>
      </c>
      <c r="B104" t="s">
        <v>388</v>
      </c>
      <c r="C104" t="s">
        <v>389</v>
      </c>
      <c r="D104" s="1">
        <v>45759</v>
      </c>
      <c r="E104">
        <v>53850</v>
      </c>
      <c r="F104">
        <v>102</v>
      </c>
      <c r="G104" t="s">
        <v>55</v>
      </c>
      <c r="H104" t="s">
        <v>48</v>
      </c>
      <c r="I104" t="s">
        <v>49</v>
      </c>
      <c r="K104" t="s">
        <v>309</v>
      </c>
      <c r="L104">
        <v>1023300372420</v>
      </c>
      <c r="M104">
        <v>20250411</v>
      </c>
      <c r="N104" t="s">
        <v>262</v>
      </c>
      <c r="Q104" t="s">
        <v>58</v>
      </c>
      <c r="R104">
        <v>104000</v>
      </c>
      <c r="S104">
        <v>0</v>
      </c>
      <c r="T104">
        <v>37242</v>
      </c>
      <c r="U104" t="s">
        <v>490</v>
      </c>
      <c r="V104" t="s">
        <v>491</v>
      </c>
      <c r="W104" t="s">
        <v>83</v>
      </c>
      <c r="X104" t="s">
        <v>62</v>
      </c>
      <c r="Y104" t="s">
        <v>51</v>
      </c>
      <c r="Z104">
        <v>1274</v>
      </c>
      <c r="AH104">
        <v>0</v>
      </c>
      <c r="AI104">
        <v>202504</v>
      </c>
      <c r="AJ104" t="s">
        <v>168</v>
      </c>
      <c r="AK104">
        <v>1</v>
      </c>
      <c r="AL104">
        <v>1</v>
      </c>
      <c r="AO104">
        <v>1</v>
      </c>
      <c r="AP104">
        <v>999</v>
      </c>
      <c r="AQ104">
        <v>614</v>
      </c>
      <c r="AR104">
        <v>614999</v>
      </c>
      <c r="AT104">
        <v>1</v>
      </c>
      <c r="AU104" t="s">
        <v>61</v>
      </c>
      <c r="AV104">
        <v>85050</v>
      </c>
      <c r="AW104">
        <v>89030</v>
      </c>
      <c r="AX104">
        <v>91669.203999999998</v>
      </c>
      <c r="AY104">
        <v>93087.394</v>
      </c>
      <c r="AZ104">
        <v>94164.18</v>
      </c>
      <c r="BA104">
        <v>96798.05</v>
      </c>
      <c r="BB104">
        <v>100000</v>
      </c>
      <c r="BC104">
        <v>100000</v>
      </c>
      <c r="BD104">
        <v>101589.726</v>
      </c>
      <c r="BE104">
        <v>106295.712</v>
      </c>
      <c r="BF104">
        <v>110193.28</v>
      </c>
      <c r="BG104">
        <v>119645.424</v>
      </c>
      <c r="BH104">
        <v>127698</v>
      </c>
      <c r="BI104">
        <v>137713.79399999999</v>
      </c>
      <c r="BJ104">
        <v>139806</v>
      </c>
      <c r="BK104">
        <v>150000</v>
      </c>
      <c r="BL104">
        <v>161820.22</v>
      </c>
      <c r="BM104">
        <v>190199.99999999991</v>
      </c>
      <c r="BN104">
        <v>213800</v>
      </c>
      <c r="BO104">
        <v>259913.9999999998</v>
      </c>
      <c r="BP104">
        <v>440000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 x14ac:dyDescent="0.35">
      <c r="A105">
        <v>329485</v>
      </c>
      <c r="B105" t="s">
        <v>388</v>
      </c>
      <c r="C105" t="s">
        <v>389</v>
      </c>
      <c r="D105" s="1">
        <v>45759</v>
      </c>
      <c r="E105">
        <v>53850</v>
      </c>
      <c r="F105">
        <v>171</v>
      </c>
      <c r="G105" t="s">
        <v>70</v>
      </c>
      <c r="H105" t="s">
        <v>48</v>
      </c>
      <c r="I105" t="s">
        <v>49</v>
      </c>
      <c r="K105" t="s">
        <v>309</v>
      </c>
      <c r="L105">
        <v>1713305728950</v>
      </c>
      <c r="M105">
        <v>20250411</v>
      </c>
      <c r="N105" t="s">
        <v>253</v>
      </c>
      <c r="Q105" t="s">
        <v>58</v>
      </c>
      <c r="R105">
        <v>399787.64</v>
      </c>
      <c r="S105">
        <v>399787.64</v>
      </c>
      <c r="T105">
        <v>572895</v>
      </c>
      <c r="U105">
        <v>4161600723</v>
      </c>
      <c r="V105" t="s">
        <v>257</v>
      </c>
      <c r="W105" t="s">
        <v>56</v>
      </c>
      <c r="X105" t="s">
        <v>258</v>
      </c>
      <c r="Y105" t="s">
        <v>51</v>
      </c>
      <c r="Z105">
        <v>1903</v>
      </c>
      <c r="AH105">
        <v>0</v>
      </c>
      <c r="AI105">
        <v>202504</v>
      </c>
      <c r="AJ105" t="s">
        <v>63</v>
      </c>
      <c r="AK105">
        <v>0</v>
      </c>
      <c r="AL105">
        <v>1</v>
      </c>
      <c r="AM105">
        <v>572895</v>
      </c>
      <c r="AN105">
        <v>1</v>
      </c>
      <c r="AO105">
        <v>0</v>
      </c>
      <c r="AP105">
        <v>999</v>
      </c>
      <c r="AQ105">
        <v>430</v>
      </c>
      <c r="AR105">
        <v>430999</v>
      </c>
      <c r="AT105">
        <v>1</v>
      </c>
      <c r="AU105" t="s">
        <v>57</v>
      </c>
      <c r="AV105">
        <v>101552.46</v>
      </c>
      <c r="AW105">
        <v>114647.6485</v>
      </c>
      <c r="AX105">
        <v>118167.008</v>
      </c>
      <c r="AY105">
        <v>123559.05899999999</v>
      </c>
      <c r="AZ105">
        <v>128796.368</v>
      </c>
      <c r="BA105">
        <v>130000</v>
      </c>
      <c r="BB105">
        <v>135819.11300000001</v>
      </c>
      <c r="BC105">
        <v>145008.255</v>
      </c>
      <c r="BD105">
        <v>146226.546</v>
      </c>
      <c r="BE105">
        <v>148171.67300000001</v>
      </c>
      <c r="BF105">
        <v>156533.16500000001</v>
      </c>
      <c r="BG105">
        <v>167340.8915</v>
      </c>
      <c r="BH105">
        <v>179808.78</v>
      </c>
      <c r="BI105">
        <v>187222.14799999999</v>
      </c>
      <c r="BJ105">
        <v>206328.26500000001</v>
      </c>
      <c r="BK105">
        <v>220390.6225</v>
      </c>
      <c r="BL105">
        <v>239280.00000000009</v>
      </c>
      <c r="BM105">
        <v>298738.61</v>
      </c>
      <c r="BN105">
        <v>365407.64500000002</v>
      </c>
      <c r="BO105">
        <v>399465.49400000001</v>
      </c>
      <c r="BP105">
        <v>515709.15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0</v>
      </c>
    </row>
    <row r="106" spans="1:89" x14ac:dyDescent="0.35">
      <c r="A106">
        <v>329482</v>
      </c>
      <c r="B106" t="s">
        <v>388</v>
      </c>
      <c r="C106" t="s">
        <v>389</v>
      </c>
      <c r="D106" s="1">
        <v>45759</v>
      </c>
      <c r="E106">
        <v>53850</v>
      </c>
      <c r="F106">
        <v>102</v>
      </c>
      <c r="G106" t="s">
        <v>55</v>
      </c>
      <c r="H106" t="s">
        <v>48</v>
      </c>
      <c r="I106" t="s">
        <v>49</v>
      </c>
      <c r="K106">
        <v>202504117889550</v>
      </c>
      <c r="L106">
        <v>1023300055260</v>
      </c>
      <c r="M106">
        <v>20250411</v>
      </c>
      <c r="N106" t="s">
        <v>400</v>
      </c>
      <c r="Q106" t="s">
        <v>58</v>
      </c>
      <c r="R106">
        <v>100000</v>
      </c>
      <c r="S106">
        <v>0</v>
      </c>
      <c r="T106">
        <v>5526</v>
      </c>
      <c r="U106" t="s">
        <v>492</v>
      </c>
      <c r="V106" t="s">
        <v>493</v>
      </c>
      <c r="W106" t="s">
        <v>66</v>
      </c>
      <c r="X106" t="s">
        <v>241</v>
      </c>
      <c r="Y106" t="s">
        <v>51</v>
      </c>
      <c r="Z106">
        <v>1443</v>
      </c>
      <c r="AH106">
        <v>0</v>
      </c>
      <c r="AI106">
        <v>202504</v>
      </c>
      <c r="AJ106" t="s">
        <v>168</v>
      </c>
      <c r="AK106">
        <v>1</v>
      </c>
      <c r="AL106">
        <v>1</v>
      </c>
      <c r="AO106">
        <v>0</v>
      </c>
      <c r="AP106">
        <v>999</v>
      </c>
      <c r="AQ106">
        <v>615</v>
      </c>
      <c r="AR106">
        <v>615999</v>
      </c>
      <c r="AT106">
        <v>1</v>
      </c>
      <c r="AU106" t="s">
        <v>61</v>
      </c>
      <c r="AV106">
        <v>85050</v>
      </c>
      <c r="AW106">
        <v>89030</v>
      </c>
      <c r="AX106">
        <v>91669.203999999998</v>
      </c>
      <c r="AY106">
        <v>93087.394</v>
      </c>
      <c r="AZ106">
        <v>94164.18</v>
      </c>
      <c r="BA106">
        <v>96798.05</v>
      </c>
      <c r="BB106">
        <v>100000</v>
      </c>
      <c r="BC106">
        <v>100000</v>
      </c>
      <c r="BD106">
        <v>101589.726</v>
      </c>
      <c r="BE106">
        <v>106295.712</v>
      </c>
      <c r="BF106">
        <v>110193.28</v>
      </c>
      <c r="BG106">
        <v>119645.424</v>
      </c>
      <c r="BH106">
        <v>127698</v>
      </c>
      <c r="BI106">
        <v>137713.79399999999</v>
      </c>
      <c r="BJ106">
        <v>139806</v>
      </c>
      <c r="BK106">
        <v>150000</v>
      </c>
      <c r="BL106">
        <v>161820.22</v>
      </c>
      <c r="BM106">
        <v>190199.99999999991</v>
      </c>
      <c r="BN106">
        <v>213800</v>
      </c>
      <c r="BO106">
        <v>259913.9999999998</v>
      </c>
      <c r="BP106">
        <v>440000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 x14ac:dyDescent="0.35">
      <c r="A107">
        <v>329481</v>
      </c>
      <c r="B107" t="s">
        <v>388</v>
      </c>
      <c r="C107" t="s">
        <v>389</v>
      </c>
      <c r="D107" s="1">
        <v>45759</v>
      </c>
      <c r="E107">
        <v>53850</v>
      </c>
      <c r="F107">
        <v>102</v>
      </c>
      <c r="G107" t="s">
        <v>55</v>
      </c>
      <c r="H107" t="s">
        <v>48</v>
      </c>
      <c r="I107" t="s">
        <v>49</v>
      </c>
      <c r="K107">
        <v>202504117889574</v>
      </c>
      <c r="L107">
        <v>1023302249416</v>
      </c>
      <c r="M107">
        <v>20250411</v>
      </c>
      <c r="N107" t="s">
        <v>400</v>
      </c>
      <c r="Q107" t="s">
        <v>58</v>
      </c>
      <c r="R107">
        <v>129345</v>
      </c>
      <c r="S107">
        <v>0</v>
      </c>
      <c r="T107">
        <v>445647</v>
      </c>
      <c r="U107" t="s">
        <v>494</v>
      </c>
      <c r="V107" t="s">
        <v>495</v>
      </c>
      <c r="W107" t="s">
        <v>50</v>
      </c>
      <c r="Y107" t="s">
        <v>51</v>
      </c>
      <c r="Z107">
        <v>1431</v>
      </c>
      <c r="AH107">
        <v>0</v>
      </c>
      <c r="AI107">
        <v>202504</v>
      </c>
      <c r="AJ107" t="s">
        <v>63</v>
      </c>
      <c r="AK107">
        <v>0</v>
      </c>
      <c r="AL107">
        <v>1</v>
      </c>
      <c r="AO107">
        <v>0</v>
      </c>
      <c r="AP107">
        <v>999</v>
      </c>
      <c r="AQ107">
        <v>600</v>
      </c>
      <c r="AR107">
        <v>600999</v>
      </c>
      <c r="AS107" t="s">
        <v>52</v>
      </c>
      <c r="AU107" t="s">
        <v>52</v>
      </c>
      <c r="AV107">
        <v>107500</v>
      </c>
      <c r="AW107">
        <v>109625</v>
      </c>
      <c r="AX107">
        <v>110000</v>
      </c>
      <c r="AY107">
        <v>112750</v>
      </c>
      <c r="AZ107">
        <v>120738</v>
      </c>
      <c r="BA107">
        <v>129508.75</v>
      </c>
      <c r="BB107">
        <v>130380</v>
      </c>
      <c r="BC107">
        <v>133610</v>
      </c>
      <c r="BD107">
        <v>133800</v>
      </c>
      <c r="BE107">
        <v>141080</v>
      </c>
      <c r="BF107">
        <v>147500</v>
      </c>
      <c r="BG107">
        <v>155382.03049999999</v>
      </c>
      <c r="BH107">
        <v>165585.11799999999</v>
      </c>
      <c r="BI107">
        <v>166416.67000000001</v>
      </c>
      <c r="BJ107">
        <v>166416.67000000001</v>
      </c>
      <c r="BK107">
        <v>173582.95749999999</v>
      </c>
      <c r="BL107">
        <v>190388.68799999999</v>
      </c>
      <c r="BM107">
        <v>212150</v>
      </c>
      <c r="BN107">
        <v>283513.16900000011</v>
      </c>
      <c r="BO107">
        <v>415377.23</v>
      </c>
      <c r="BP107">
        <v>415377.23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 x14ac:dyDescent="0.35">
      <c r="A108">
        <v>329468</v>
      </c>
      <c r="B108" t="s">
        <v>388</v>
      </c>
      <c r="C108" t="s">
        <v>389</v>
      </c>
      <c r="D108" s="1">
        <v>45758</v>
      </c>
      <c r="E108">
        <v>53850</v>
      </c>
      <c r="F108">
        <v>174</v>
      </c>
      <c r="G108" t="s">
        <v>88</v>
      </c>
      <c r="H108" t="s">
        <v>48</v>
      </c>
      <c r="I108" t="s">
        <v>49</v>
      </c>
      <c r="K108">
        <v>202504107886423</v>
      </c>
      <c r="L108">
        <v>1743302877381</v>
      </c>
      <c r="M108">
        <v>20250410</v>
      </c>
      <c r="N108" t="s">
        <v>400</v>
      </c>
      <c r="Q108" t="s">
        <v>58</v>
      </c>
      <c r="R108">
        <v>415377.23</v>
      </c>
      <c r="S108">
        <v>0</v>
      </c>
      <c r="T108">
        <v>4071858</v>
      </c>
      <c r="U108" t="s">
        <v>496</v>
      </c>
      <c r="V108" t="s">
        <v>497</v>
      </c>
      <c r="W108" t="s">
        <v>50</v>
      </c>
      <c r="Y108" t="s">
        <v>51</v>
      </c>
      <c r="Z108">
        <v>448</v>
      </c>
      <c r="AH108">
        <v>0</v>
      </c>
      <c r="AI108">
        <v>202504</v>
      </c>
      <c r="AJ108" t="s">
        <v>54</v>
      </c>
      <c r="AK108">
        <v>0</v>
      </c>
      <c r="AL108">
        <v>1</v>
      </c>
      <c r="AO108">
        <v>0</v>
      </c>
      <c r="AP108">
        <v>999</v>
      </c>
      <c r="AQ108">
        <v>600</v>
      </c>
      <c r="AR108">
        <v>600999</v>
      </c>
      <c r="AS108" t="s">
        <v>52</v>
      </c>
      <c r="AU108" t="s">
        <v>52</v>
      </c>
      <c r="AV108">
        <v>107500</v>
      </c>
      <c r="AW108">
        <v>109625</v>
      </c>
      <c r="AX108">
        <v>110000</v>
      </c>
      <c r="AY108">
        <v>112750</v>
      </c>
      <c r="AZ108">
        <v>120738</v>
      </c>
      <c r="BA108">
        <v>129508.75</v>
      </c>
      <c r="BB108">
        <v>130380</v>
      </c>
      <c r="BC108">
        <v>133610</v>
      </c>
      <c r="BD108">
        <v>133800</v>
      </c>
      <c r="BE108">
        <v>141080</v>
      </c>
      <c r="BF108">
        <v>147500</v>
      </c>
      <c r="BG108">
        <v>155382.03049999999</v>
      </c>
      <c r="BH108">
        <v>165585.11799999999</v>
      </c>
      <c r="BI108">
        <v>166416.67000000001</v>
      </c>
      <c r="BJ108">
        <v>166416.67000000001</v>
      </c>
      <c r="BK108">
        <v>173582.95749999999</v>
      </c>
      <c r="BL108">
        <v>190388.68799999999</v>
      </c>
      <c r="BM108">
        <v>212150</v>
      </c>
      <c r="BN108">
        <v>283513.16900000011</v>
      </c>
      <c r="BO108">
        <v>415377.23</v>
      </c>
      <c r="BP108">
        <v>415377.23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</row>
    <row r="109" spans="1:89" x14ac:dyDescent="0.35">
      <c r="A109">
        <v>329462</v>
      </c>
      <c r="B109" t="s">
        <v>388</v>
      </c>
      <c r="C109" t="s">
        <v>389</v>
      </c>
      <c r="D109" s="1">
        <v>45758</v>
      </c>
      <c r="E109">
        <v>53850</v>
      </c>
      <c r="F109">
        <v>104</v>
      </c>
      <c r="G109" t="s">
        <v>53</v>
      </c>
      <c r="H109" t="s">
        <v>48</v>
      </c>
      <c r="I109" t="s">
        <v>49</v>
      </c>
      <c r="K109" t="s">
        <v>310</v>
      </c>
      <c r="L109">
        <v>1043304173550</v>
      </c>
      <c r="M109">
        <v>20250410</v>
      </c>
      <c r="N109" t="s">
        <v>262</v>
      </c>
      <c r="Q109" t="s">
        <v>58</v>
      </c>
      <c r="R109">
        <v>88865.89</v>
      </c>
      <c r="S109">
        <v>1000</v>
      </c>
      <c r="T109">
        <v>417355</v>
      </c>
      <c r="U109">
        <v>374690725</v>
      </c>
      <c r="V109" t="s">
        <v>397</v>
      </c>
      <c r="W109" t="s">
        <v>56</v>
      </c>
      <c r="X109" t="s">
        <v>78</v>
      </c>
      <c r="Y109" t="s">
        <v>51</v>
      </c>
      <c r="Z109">
        <v>1919</v>
      </c>
      <c r="AH109">
        <v>0</v>
      </c>
      <c r="AI109">
        <v>202504</v>
      </c>
      <c r="AJ109" t="s">
        <v>54</v>
      </c>
      <c r="AK109">
        <v>0</v>
      </c>
      <c r="AL109">
        <v>1</v>
      </c>
      <c r="AM109">
        <v>417355</v>
      </c>
      <c r="AN109">
        <v>1</v>
      </c>
      <c r="AO109">
        <v>1</v>
      </c>
      <c r="AP109">
        <v>464</v>
      </c>
      <c r="AQ109">
        <v>430</v>
      </c>
      <c r="AR109">
        <v>430464</v>
      </c>
      <c r="AS109" t="s">
        <v>79</v>
      </c>
      <c r="AU109" t="s">
        <v>79</v>
      </c>
      <c r="AV109">
        <v>76382.789999999994</v>
      </c>
      <c r="AW109">
        <v>79891.56</v>
      </c>
      <c r="AX109">
        <v>79937.08</v>
      </c>
      <c r="AY109">
        <v>88865.89</v>
      </c>
      <c r="AZ109">
        <v>94634.78</v>
      </c>
      <c r="BA109">
        <v>97229.53</v>
      </c>
      <c r="BB109">
        <v>98360.01</v>
      </c>
      <c r="BC109">
        <v>100000</v>
      </c>
      <c r="BD109">
        <v>104738.68</v>
      </c>
      <c r="BE109">
        <v>108176.82</v>
      </c>
      <c r="BF109">
        <v>110891.36</v>
      </c>
      <c r="BG109">
        <v>115427.47</v>
      </c>
      <c r="BH109">
        <v>118009.65</v>
      </c>
      <c r="BI109">
        <v>136718.03</v>
      </c>
      <c r="BJ109">
        <v>148758.49</v>
      </c>
      <c r="BK109">
        <v>182944.14</v>
      </c>
      <c r="BL109">
        <v>217448.27</v>
      </c>
      <c r="BM109">
        <v>222704.65</v>
      </c>
      <c r="BN109">
        <v>225130.1</v>
      </c>
      <c r="BO109">
        <v>259946.2</v>
      </c>
      <c r="BP109">
        <v>270019.89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 x14ac:dyDescent="0.35">
      <c r="A110">
        <v>329450</v>
      </c>
      <c r="B110" t="s">
        <v>388</v>
      </c>
      <c r="C110" t="s">
        <v>389</v>
      </c>
      <c r="D110" s="1">
        <v>45758</v>
      </c>
      <c r="E110">
        <v>53850</v>
      </c>
      <c r="F110">
        <v>102</v>
      </c>
      <c r="G110" t="s">
        <v>55</v>
      </c>
      <c r="H110" t="s">
        <v>48</v>
      </c>
      <c r="I110" t="s">
        <v>49</v>
      </c>
      <c r="K110" t="s">
        <v>310</v>
      </c>
      <c r="L110">
        <v>1023300660520</v>
      </c>
      <c r="M110">
        <v>20250410</v>
      </c>
      <c r="N110" t="s">
        <v>262</v>
      </c>
      <c r="Q110" t="s">
        <v>58</v>
      </c>
      <c r="R110">
        <v>120919</v>
      </c>
      <c r="S110">
        <v>0</v>
      </c>
      <c r="T110">
        <v>66052</v>
      </c>
      <c r="U110">
        <v>398110726</v>
      </c>
      <c r="V110" t="s">
        <v>287</v>
      </c>
      <c r="W110" t="s">
        <v>56</v>
      </c>
      <c r="X110" t="s">
        <v>235</v>
      </c>
      <c r="Y110" t="s">
        <v>51</v>
      </c>
      <c r="Z110">
        <v>1203</v>
      </c>
      <c r="AH110">
        <v>0</v>
      </c>
      <c r="AI110">
        <v>202504</v>
      </c>
      <c r="AJ110" t="s">
        <v>169</v>
      </c>
      <c r="AK110">
        <v>1</v>
      </c>
      <c r="AL110">
        <v>1</v>
      </c>
      <c r="AM110">
        <v>66052</v>
      </c>
      <c r="AN110">
        <v>1</v>
      </c>
      <c r="AO110">
        <v>1</v>
      </c>
      <c r="AP110">
        <v>999</v>
      </c>
      <c r="AQ110">
        <v>430</v>
      </c>
      <c r="AR110">
        <v>430999</v>
      </c>
      <c r="AT110">
        <v>1</v>
      </c>
      <c r="AU110" t="s">
        <v>57</v>
      </c>
      <c r="AV110">
        <v>101552.46</v>
      </c>
      <c r="AW110">
        <v>114647.6485</v>
      </c>
      <c r="AX110">
        <v>118167.008</v>
      </c>
      <c r="AY110">
        <v>123559.05899999999</v>
      </c>
      <c r="AZ110">
        <v>128796.368</v>
      </c>
      <c r="BA110">
        <v>130000</v>
      </c>
      <c r="BB110">
        <v>135819.11300000001</v>
      </c>
      <c r="BC110">
        <v>145008.255</v>
      </c>
      <c r="BD110">
        <v>146226.546</v>
      </c>
      <c r="BE110">
        <v>148171.67300000001</v>
      </c>
      <c r="BF110">
        <v>156533.16500000001</v>
      </c>
      <c r="BG110">
        <v>167340.8915</v>
      </c>
      <c r="BH110">
        <v>179808.78</v>
      </c>
      <c r="BI110">
        <v>187222.14799999999</v>
      </c>
      <c r="BJ110">
        <v>206328.26500000001</v>
      </c>
      <c r="BK110">
        <v>220390.6225</v>
      </c>
      <c r="BL110">
        <v>239280.00000000009</v>
      </c>
      <c r="BM110">
        <v>298738.61</v>
      </c>
      <c r="BN110">
        <v>365407.64500000002</v>
      </c>
      <c r="BO110">
        <v>399465.49400000001</v>
      </c>
      <c r="BP110">
        <v>515709.15</v>
      </c>
      <c r="BQ110">
        <v>1</v>
      </c>
      <c r="BR110">
        <v>1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 x14ac:dyDescent="0.35">
      <c r="A111">
        <v>329445</v>
      </c>
      <c r="B111" t="s">
        <v>388</v>
      </c>
      <c r="C111" t="s">
        <v>389</v>
      </c>
      <c r="D111" s="1">
        <v>45758</v>
      </c>
      <c r="E111">
        <v>53850</v>
      </c>
      <c r="F111">
        <v>174</v>
      </c>
      <c r="G111" t="s">
        <v>88</v>
      </c>
      <c r="H111" t="s">
        <v>48</v>
      </c>
      <c r="I111" t="s">
        <v>49</v>
      </c>
      <c r="K111">
        <v>202504107886424</v>
      </c>
      <c r="L111">
        <v>1743302879024</v>
      </c>
      <c r="M111">
        <v>20250410</v>
      </c>
      <c r="N111" t="s">
        <v>400</v>
      </c>
      <c r="Q111" t="s">
        <v>58</v>
      </c>
      <c r="R111">
        <v>165377.23000000001</v>
      </c>
      <c r="S111">
        <v>0</v>
      </c>
      <c r="T111">
        <v>4675710</v>
      </c>
      <c r="U111" t="s">
        <v>498</v>
      </c>
      <c r="V111" t="s">
        <v>499</v>
      </c>
      <c r="W111" t="s">
        <v>50</v>
      </c>
      <c r="Y111" t="s">
        <v>51</v>
      </c>
      <c r="Z111">
        <v>1106</v>
      </c>
      <c r="AH111">
        <v>0</v>
      </c>
      <c r="AI111">
        <v>202504</v>
      </c>
      <c r="AJ111" t="s">
        <v>54</v>
      </c>
      <c r="AK111">
        <v>0</v>
      </c>
      <c r="AL111">
        <v>1</v>
      </c>
      <c r="AO111">
        <v>0</v>
      </c>
      <c r="AP111">
        <v>999</v>
      </c>
      <c r="AQ111">
        <v>600</v>
      </c>
      <c r="AR111">
        <v>600999</v>
      </c>
      <c r="AS111" t="s">
        <v>52</v>
      </c>
      <c r="AU111" t="s">
        <v>52</v>
      </c>
      <c r="AV111">
        <v>107500</v>
      </c>
      <c r="AW111">
        <v>109625</v>
      </c>
      <c r="AX111">
        <v>110000</v>
      </c>
      <c r="AY111">
        <v>112750</v>
      </c>
      <c r="AZ111">
        <v>120738</v>
      </c>
      <c r="BA111">
        <v>129508.75</v>
      </c>
      <c r="BB111">
        <v>130380</v>
      </c>
      <c r="BC111">
        <v>133610</v>
      </c>
      <c r="BD111">
        <v>133800</v>
      </c>
      <c r="BE111">
        <v>141080</v>
      </c>
      <c r="BF111">
        <v>147500</v>
      </c>
      <c r="BG111">
        <v>155382.03049999999</v>
      </c>
      <c r="BH111">
        <v>165585.11799999999</v>
      </c>
      <c r="BI111">
        <v>166416.67000000001</v>
      </c>
      <c r="BJ111">
        <v>166416.67000000001</v>
      </c>
      <c r="BK111">
        <v>173582.95749999999</v>
      </c>
      <c r="BL111">
        <v>190388.68799999999</v>
      </c>
      <c r="BM111">
        <v>212150</v>
      </c>
      <c r="BN111">
        <v>283513.16900000011</v>
      </c>
      <c r="BO111">
        <v>415377.23</v>
      </c>
      <c r="BP111">
        <v>415377.23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 x14ac:dyDescent="0.35">
      <c r="A112">
        <v>329443</v>
      </c>
      <c r="B112" t="s">
        <v>388</v>
      </c>
      <c r="C112" t="s">
        <v>389</v>
      </c>
      <c r="D112" s="1">
        <v>45758</v>
      </c>
      <c r="E112">
        <v>53850</v>
      </c>
      <c r="F112">
        <v>174</v>
      </c>
      <c r="G112" t="s">
        <v>88</v>
      </c>
      <c r="H112" t="s">
        <v>48</v>
      </c>
      <c r="I112" t="s">
        <v>49</v>
      </c>
      <c r="K112">
        <v>202504107886423</v>
      </c>
      <c r="L112">
        <v>1743302877381</v>
      </c>
      <c r="M112">
        <v>20250410</v>
      </c>
      <c r="N112" t="s">
        <v>400</v>
      </c>
      <c r="Q112" t="s">
        <v>58</v>
      </c>
      <c r="R112">
        <v>415377.23</v>
      </c>
      <c r="S112">
        <v>0</v>
      </c>
      <c r="T112">
        <v>559545</v>
      </c>
      <c r="U112" t="s">
        <v>500</v>
      </c>
      <c r="V112" t="s">
        <v>501</v>
      </c>
      <c r="W112" t="s">
        <v>50</v>
      </c>
      <c r="Y112" t="s">
        <v>51</v>
      </c>
      <c r="Z112">
        <v>1106</v>
      </c>
      <c r="AH112">
        <v>0</v>
      </c>
      <c r="AI112">
        <v>202504</v>
      </c>
      <c r="AJ112" t="s">
        <v>54</v>
      </c>
      <c r="AK112">
        <v>0</v>
      </c>
      <c r="AL112">
        <v>1</v>
      </c>
      <c r="AO112">
        <v>0</v>
      </c>
      <c r="AP112">
        <v>999</v>
      </c>
      <c r="AQ112">
        <v>600</v>
      </c>
      <c r="AR112">
        <v>600999</v>
      </c>
      <c r="AS112" t="s">
        <v>52</v>
      </c>
      <c r="AU112" t="s">
        <v>52</v>
      </c>
      <c r="AV112">
        <v>107500</v>
      </c>
      <c r="AW112">
        <v>109625</v>
      </c>
      <c r="AX112">
        <v>110000</v>
      </c>
      <c r="AY112">
        <v>112750</v>
      </c>
      <c r="AZ112">
        <v>120738</v>
      </c>
      <c r="BA112">
        <v>129508.75</v>
      </c>
      <c r="BB112">
        <v>130380</v>
      </c>
      <c r="BC112">
        <v>133610</v>
      </c>
      <c r="BD112">
        <v>133800</v>
      </c>
      <c r="BE112">
        <v>141080</v>
      </c>
      <c r="BF112">
        <v>147500</v>
      </c>
      <c r="BG112">
        <v>155382.03049999999</v>
      </c>
      <c r="BH112">
        <v>165585.11799999999</v>
      </c>
      <c r="BI112">
        <v>166416.67000000001</v>
      </c>
      <c r="BJ112">
        <v>166416.67000000001</v>
      </c>
      <c r="BK112">
        <v>173582.95749999999</v>
      </c>
      <c r="BL112">
        <v>190388.68799999999</v>
      </c>
      <c r="BM112">
        <v>212150</v>
      </c>
      <c r="BN112">
        <v>283513.16900000011</v>
      </c>
      <c r="BO112">
        <v>415377.23</v>
      </c>
      <c r="BP112">
        <v>415377.23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</row>
    <row r="113" spans="1:89" x14ac:dyDescent="0.35">
      <c r="A113">
        <v>329440</v>
      </c>
      <c r="B113" t="s">
        <v>388</v>
      </c>
      <c r="C113" t="s">
        <v>389</v>
      </c>
      <c r="D113" s="1">
        <v>45758</v>
      </c>
      <c r="E113">
        <v>53850</v>
      </c>
      <c r="F113">
        <v>153</v>
      </c>
      <c r="G113" t="s">
        <v>316</v>
      </c>
      <c r="H113" t="s">
        <v>48</v>
      </c>
      <c r="I113" t="s">
        <v>49</v>
      </c>
      <c r="K113">
        <v>202504107886353</v>
      </c>
      <c r="L113">
        <v>1533300662905</v>
      </c>
      <c r="M113">
        <v>20250410</v>
      </c>
      <c r="N113" t="s">
        <v>392</v>
      </c>
      <c r="Q113" t="s">
        <v>58</v>
      </c>
      <c r="R113">
        <v>110193.28</v>
      </c>
      <c r="S113">
        <v>0</v>
      </c>
      <c r="T113">
        <v>4165339</v>
      </c>
      <c r="U113">
        <v>5612950633</v>
      </c>
      <c r="V113" t="s">
        <v>502</v>
      </c>
      <c r="W113" t="s">
        <v>56</v>
      </c>
      <c r="X113" t="s">
        <v>503</v>
      </c>
      <c r="Y113" t="s">
        <v>51</v>
      </c>
      <c r="Z113">
        <v>982</v>
      </c>
      <c r="AH113">
        <v>0</v>
      </c>
      <c r="AI113">
        <v>202504</v>
      </c>
      <c r="AJ113" t="s">
        <v>63</v>
      </c>
      <c r="AK113">
        <v>0</v>
      </c>
      <c r="AL113">
        <v>1</v>
      </c>
      <c r="AO113">
        <v>0</v>
      </c>
      <c r="AP113">
        <v>236</v>
      </c>
      <c r="AQ113">
        <v>430</v>
      </c>
      <c r="AR113">
        <v>430236</v>
      </c>
      <c r="AS113" t="s">
        <v>61</v>
      </c>
      <c r="AU113" t="s">
        <v>61</v>
      </c>
      <c r="AV113">
        <v>85050</v>
      </c>
      <c r="AW113">
        <v>89030</v>
      </c>
      <c r="AX113">
        <v>91669.203999999998</v>
      </c>
      <c r="AY113">
        <v>93087.394</v>
      </c>
      <c r="AZ113">
        <v>94164.18</v>
      </c>
      <c r="BA113">
        <v>96798.05</v>
      </c>
      <c r="BB113">
        <v>100000</v>
      </c>
      <c r="BC113">
        <v>100000</v>
      </c>
      <c r="BD113">
        <v>101589.726</v>
      </c>
      <c r="BE113">
        <v>106295.712</v>
      </c>
      <c r="BF113">
        <v>110193.28</v>
      </c>
      <c r="BG113">
        <v>119645.424</v>
      </c>
      <c r="BH113">
        <v>127698</v>
      </c>
      <c r="BI113">
        <v>137713.79399999999</v>
      </c>
      <c r="BJ113">
        <v>139806</v>
      </c>
      <c r="BK113">
        <v>150000</v>
      </c>
      <c r="BL113">
        <v>161820.22</v>
      </c>
      <c r="BM113">
        <v>190199.99999999991</v>
      </c>
      <c r="BN113">
        <v>213800</v>
      </c>
      <c r="BO113">
        <v>259913.9999999998</v>
      </c>
      <c r="BP113">
        <v>440000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 x14ac:dyDescent="0.35">
      <c r="A114">
        <v>329436</v>
      </c>
      <c r="B114" t="s">
        <v>388</v>
      </c>
      <c r="C114" t="s">
        <v>389</v>
      </c>
      <c r="D114" s="1">
        <v>45757</v>
      </c>
      <c r="E114">
        <v>53850</v>
      </c>
      <c r="F114">
        <v>141</v>
      </c>
      <c r="G114" t="s">
        <v>75</v>
      </c>
      <c r="H114" t="s">
        <v>48</v>
      </c>
      <c r="I114" t="s">
        <v>49</v>
      </c>
      <c r="K114">
        <v>202504097883203</v>
      </c>
      <c r="L114">
        <v>1413300000129</v>
      </c>
      <c r="M114">
        <v>20250409</v>
      </c>
      <c r="N114" t="s">
        <v>417</v>
      </c>
      <c r="Q114" t="s">
        <v>58</v>
      </c>
      <c r="R114">
        <v>90000</v>
      </c>
      <c r="S114">
        <v>0</v>
      </c>
      <c r="T114">
        <v>4183509</v>
      </c>
      <c r="U114" t="s">
        <v>433</v>
      </c>
      <c r="V114" t="s">
        <v>434</v>
      </c>
      <c r="W114" t="s">
        <v>66</v>
      </c>
      <c r="X114" t="s">
        <v>435</v>
      </c>
      <c r="Y114" t="s">
        <v>51</v>
      </c>
      <c r="Z114">
        <v>862</v>
      </c>
      <c r="AH114">
        <v>0</v>
      </c>
      <c r="AI114">
        <v>202504</v>
      </c>
      <c r="AJ114" t="s">
        <v>54</v>
      </c>
      <c r="AK114">
        <v>0</v>
      </c>
      <c r="AL114">
        <v>1</v>
      </c>
      <c r="AO114">
        <v>0</v>
      </c>
      <c r="AP114">
        <v>999</v>
      </c>
      <c r="AQ114">
        <v>615</v>
      </c>
      <c r="AR114">
        <v>615999</v>
      </c>
      <c r="AT114">
        <v>1</v>
      </c>
      <c r="AU114" t="s">
        <v>61</v>
      </c>
      <c r="AV114">
        <v>85050</v>
      </c>
      <c r="AW114">
        <v>89030</v>
      </c>
      <c r="AX114">
        <v>91669.203999999998</v>
      </c>
      <c r="AY114">
        <v>93087.394</v>
      </c>
      <c r="AZ114">
        <v>94164.18</v>
      </c>
      <c r="BA114">
        <v>96798.05</v>
      </c>
      <c r="BB114">
        <v>100000</v>
      </c>
      <c r="BC114">
        <v>100000</v>
      </c>
      <c r="BD114">
        <v>101589.726</v>
      </c>
      <c r="BE114">
        <v>106295.712</v>
      </c>
      <c r="BF114">
        <v>110193.28</v>
      </c>
      <c r="BG114">
        <v>119645.424</v>
      </c>
      <c r="BH114">
        <v>127698</v>
      </c>
      <c r="BI114">
        <v>137713.79399999999</v>
      </c>
      <c r="BJ114">
        <v>139806</v>
      </c>
      <c r="BK114">
        <v>150000</v>
      </c>
      <c r="BL114">
        <v>161820.22</v>
      </c>
      <c r="BM114">
        <v>190199.99999999991</v>
      </c>
      <c r="BN114">
        <v>213800</v>
      </c>
      <c r="BO114">
        <v>259913.9999999998</v>
      </c>
      <c r="BP114">
        <v>440000</v>
      </c>
      <c r="BQ114">
        <v>1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 x14ac:dyDescent="0.35">
      <c r="A115">
        <v>329433</v>
      </c>
      <c r="B115" t="s">
        <v>388</v>
      </c>
      <c r="C115" t="s">
        <v>389</v>
      </c>
      <c r="D115" s="1">
        <v>45757</v>
      </c>
      <c r="E115">
        <v>53850</v>
      </c>
      <c r="F115">
        <v>171</v>
      </c>
      <c r="G115" t="s">
        <v>70</v>
      </c>
      <c r="H115" t="s">
        <v>48</v>
      </c>
      <c r="I115" t="s">
        <v>49</v>
      </c>
      <c r="K115" t="s">
        <v>311</v>
      </c>
      <c r="L115">
        <v>1713302214147</v>
      </c>
      <c r="M115">
        <v>20250409</v>
      </c>
      <c r="N115" t="s">
        <v>253</v>
      </c>
      <c r="Q115" t="s">
        <v>58</v>
      </c>
      <c r="R115">
        <v>180470</v>
      </c>
      <c r="S115">
        <v>180470</v>
      </c>
      <c r="T115">
        <v>4199319</v>
      </c>
      <c r="U115">
        <v>6037810725</v>
      </c>
      <c r="V115" t="s">
        <v>269</v>
      </c>
      <c r="W115" t="s">
        <v>56</v>
      </c>
      <c r="X115" t="s">
        <v>258</v>
      </c>
      <c r="Y115" t="s">
        <v>51</v>
      </c>
      <c r="Z115">
        <v>1903</v>
      </c>
      <c r="AH115">
        <v>0</v>
      </c>
      <c r="AI115">
        <v>202504</v>
      </c>
      <c r="AJ115" t="s">
        <v>63</v>
      </c>
      <c r="AK115">
        <v>0</v>
      </c>
      <c r="AL115">
        <v>1</v>
      </c>
      <c r="AM115">
        <v>4199319</v>
      </c>
      <c r="AN115">
        <v>1</v>
      </c>
      <c r="AO115">
        <v>0</v>
      </c>
      <c r="AP115">
        <v>999</v>
      </c>
      <c r="AQ115">
        <v>430</v>
      </c>
      <c r="AR115">
        <v>430999</v>
      </c>
      <c r="AT115">
        <v>1</v>
      </c>
      <c r="AU115" t="s">
        <v>57</v>
      </c>
      <c r="AV115">
        <v>101552.46</v>
      </c>
      <c r="AW115">
        <v>114647.6485</v>
      </c>
      <c r="AX115">
        <v>118167.008</v>
      </c>
      <c r="AY115">
        <v>123559.05899999999</v>
      </c>
      <c r="AZ115">
        <v>128796.368</v>
      </c>
      <c r="BA115">
        <v>130000</v>
      </c>
      <c r="BB115">
        <v>135819.11300000001</v>
      </c>
      <c r="BC115">
        <v>145008.255</v>
      </c>
      <c r="BD115">
        <v>146226.546</v>
      </c>
      <c r="BE115">
        <v>148171.67300000001</v>
      </c>
      <c r="BF115">
        <v>156533.16500000001</v>
      </c>
      <c r="BG115">
        <v>167340.8915</v>
      </c>
      <c r="BH115">
        <v>179808.78</v>
      </c>
      <c r="BI115">
        <v>187222.14799999999</v>
      </c>
      <c r="BJ115">
        <v>206328.26500000001</v>
      </c>
      <c r="BK115">
        <v>220390.6225</v>
      </c>
      <c r="BL115">
        <v>239280.00000000009</v>
      </c>
      <c r="BM115">
        <v>298738.61</v>
      </c>
      <c r="BN115">
        <v>365407.64500000002</v>
      </c>
      <c r="BO115">
        <v>399465.49400000001</v>
      </c>
      <c r="BP115">
        <v>515709.15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 x14ac:dyDescent="0.35">
      <c r="A116">
        <v>329423</v>
      </c>
      <c r="B116" t="s">
        <v>388</v>
      </c>
      <c r="C116" t="s">
        <v>389</v>
      </c>
      <c r="D116" s="1">
        <v>45757</v>
      </c>
      <c r="E116">
        <v>53850</v>
      </c>
      <c r="F116">
        <v>111</v>
      </c>
      <c r="G116" t="s">
        <v>504</v>
      </c>
      <c r="H116" t="s">
        <v>48</v>
      </c>
      <c r="I116" t="s">
        <v>49</v>
      </c>
      <c r="K116">
        <v>202504097883130</v>
      </c>
      <c r="L116">
        <v>1113300676200</v>
      </c>
      <c r="M116">
        <v>20250409</v>
      </c>
      <c r="N116" t="s">
        <v>505</v>
      </c>
      <c r="Q116" t="s">
        <v>58</v>
      </c>
      <c r="R116">
        <v>100000</v>
      </c>
      <c r="S116">
        <v>0</v>
      </c>
      <c r="T116">
        <v>67620</v>
      </c>
      <c r="U116" t="s">
        <v>506</v>
      </c>
      <c r="V116" t="s">
        <v>507</v>
      </c>
      <c r="W116" t="s">
        <v>66</v>
      </c>
      <c r="X116" t="s">
        <v>447</v>
      </c>
      <c r="Y116" t="s">
        <v>51</v>
      </c>
      <c r="Z116">
        <v>593</v>
      </c>
      <c r="AH116">
        <v>0</v>
      </c>
      <c r="AI116">
        <v>202504</v>
      </c>
      <c r="AJ116" t="s">
        <v>168</v>
      </c>
      <c r="AK116">
        <v>1</v>
      </c>
      <c r="AL116">
        <v>1</v>
      </c>
      <c r="AO116">
        <v>0</v>
      </c>
      <c r="AP116">
        <v>999</v>
      </c>
      <c r="AQ116">
        <v>615</v>
      </c>
      <c r="AR116">
        <v>615999</v>
      </c>
      <c r="AT116">
        <v>1</v>
      </c>
      <c r="AU116" t="s">
        <v>61</v>
      </c>
      <c r="AV116">
        <v>85050</v>
      </c>
      <c r="AW116">
        <v>89030</v>
      </c>
      <c r="AX116">
        <v>91669.203999999998</v>
      </c>
      <c r="AY116">
        <v>93087.394</v>
      </c>
      <c r="AZ116">
        <v>94164.18</v>
      </c>
      <c r="BA116">
        <v>96798.05</v>
      </c>
      <c r="BB116">
        <v>100000</v>
      </c>
      <c r="BC116">
        <v>100000</v>
      </c>
      <c r="BD116">
        <v>101589.726</v>
      </c>
      <c r="BE116">
        <v>106295.712</v>
      </c>
      <c r="BF116">
        <v>110193.28</v>
      </c>
      <c r="BG116">
        <v>119645.424</v>
      </c>
      <c r="BH116">
        <v>127698</v>
      </c>
      <c r="BI116">
        <v>137713.79399999999</v>
      </c>
      <c r="BJ116">
        <v>139806</v>
      </c>
      <c r="BK116">
        <v>150000</v>
      </c>
      <c r="BL116">
        <v>161820.22</v>
      </c>
      <c r="BM116">
        <v>190199.99999999991</v>
      </c>
      <c r="BN116">
        <v>213800</v>
      </c>
      <c r="BO116">
        <v>259913.9999999998</v>
      </c>
      <c r="BP116">
        <v>440000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 x14ac:dyDescent="0.35">
      <c r="A117">
        <v>329416</v>
      </c>
      <c r="B117" t="s">
        <v>388</v>
      </c>
      <c r="C117" t="s">
        <v>389</v>
      </c>
      <c r="D117" s="1">
        <v>45757</v>
      </c>
      <c r="E117">
        <v>53850</v>
      </c>
      <c r="F117">
        <v>109</v>
      </c>
      <c r="G117" t="s">
        <v>68</v>
      </c>
      <c r="H117" t="s">
        <v>48</v>
      </c>
      <c r="I117" t="s">
        <v>49</v>
      </c>
      <c r="K117">
        <v>202504097883116</v>
      </c>
      <c r="L117">
        <v>1093300014490</v>
      </c>
      <c r="M117">
        <v>20250409</v>
      </c>
      <c r="N117" t="s">
        <v>400</v>
      </c>
      <c r="Q117" t="s">
        <v>58</v>
      </c>
      <c r="R117">
        <v>200000</v>
      </c>
      <c r="S117">
        <v>0</v>
      </c>
      <c r="T117">
        <v>1449</v>
      </c>
      <c r="U117" t="s">
        <v>508</v>
      </c>
      <c r="V117" t="s">
        <v>509</v>
      </c>
      <c r="W117" t="s">
        <v>50</v>
      </c>
      <c r="Y117" t="s">
        <v>51</v>
      </c>
      <c r="Z117">
        <v>743</v>
      </c>
      <c r="AH117">
        <v>0</v>
      </c>
      <c r="AI117">
        <v>202504</v>
      </c>
      <c r="AJ117" t="s">
        <v>63</v>
      </c>
      <c r="AK117">
        <v>0</v>
      </c>
      <c r="AL117">
        <v>1</v>
      </c>
      <c r="AM117">
        <v>1449</v>
      </c>
      <c r="AN117">
        <v>1</v>
      </c>
      <c r="AO117">
        <v>0</v>
      </c>
      <c r="AP117">
        <v>999</v>
      </c>
      <c r="AQ117">
        <v>600</v>
      </c>
      <c r="AR117">
        <v>600999</v>
      </c>
      <c r="AS117" t="s">
        <v>52</v>
      </c>
      <c r="AU117" t="s">
        <v>52</v>
      </c>
      <c r="AV117">
        <v>107500</v>
      </c>
      <c r="AW117">
        <v>109625</v>
      </c>
      <c r="AX117">
        <v>110000</v>
      </c>
      <c r="AY117">
        <v>112750</v>
      </c>
      <c r="AZ117">
        <v>120738</v>
      </c>
      <c r="BA117">
        <v>129508.75</v>
      </c>
      <c r="BB117">
        <v>130380</v>
      </c>
      <c r="BC117">
        <v>133610</v>
      </c>
      <c r="BD117">
        <v>133800</v>
      </c>
      <c r="BE117">
        <v>141080</v>
      </c>
      <c r="BF117">
        <v>147500</v>
      </c>
      <c r="BG117">
        <v>155382.03049999999</v>
      </c>
      <c r="BH117">
        <v>165585.11799999999</v>
      </c>
      <c r="BI117">
        <v>166416.67000000001</v>
      </c>
      <c r="BJ117">
        <v>166416.67000000001</v>
      </c>
      <c r="BK117">
        <v>173582.95749999999</v>
      </c>
      <c r="BL117">
        <v>190388.68799999999</v>
      </c>
      <c r="BM117">
        <v>212150</v>
      </c>
      <c r="BN117">
        <v>283513.16900000011</v>
      </c>
      <c r="BO117">
        <v>415377.23</v>
      </c>
      <c r="BP117">
        <v>415377.23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0</v>
      </c>
      <c r="CI117">
        <v>0</v>
      </c>
      <c r="CJ117">
        <v>0</v>
      </c>
      <c r="CK117">
        <v>0</v>
      </c>
    </row>
    <row r="118" spans="1:89" x14ac:dyDescent="0.35">
      <c r="A118">
        <v>329411</v>
      </c>
      <c r="B118" t="s">
        <v>388</v>
      </c>
      <c r="C118" t="s">
        <v>389</v>
      </c>
      <c r="D118" s="1">
        <v>45757</v>
      </c>
      <c r="E118">
        <v>53850</v>
      </c>
      <c r="F118">
        <v>171</v>
      </c>
      <c r="G118" t="s">
        <v>70</v>
      </c>
      <c r="H118" t="s">
        <v>48</v>
      </c>
      <c r="I118" t="s">
        <v>49</v>
      </c>
      <c r="K118" t="s">
        <v>311</v>
      </c>
      <c r="L118">
        <v>1713305728950</v>
      </c>
      <c r="M118">
        <v>20250409</v>
      </c>
      <c r="N118" t="s">
        <v>253</v>
      </c>
      <c r="Q118" t="s">
        <v>58</v>
      </c>
      <c r="R118">
        <v>397640</v>
      </c>
      <c r="S118">
        <v>397640</v>
      </c>
      <c r="T118">
        <v>572895</v>
      </c>
      <c r="U118">
        <v>4161600723</v>
      </c>
      <c r="V118" t="s">
        <v>257</v>
      </c>
      <c r="W118" t="s">
        <v>56</v>
      </c>
      <c r="X118" t="s">
        <v>258</v>
      </c>
      <c r="Y118" t="s">
        <v>51</v>
      </c>
      <c r="Z118">
        <v>1903</v>
      </c>
      <c r="AH118">
        <v>0</v>
      </c>
      <c r="AI118">
        <v>202504</v>
      </c>
      <c r="AJ118" t="s">
        <v>63</v>
      </c>
      <c r="AK118">
        <v>0</v>
      </c>
      <c r="AL118">
        <v>1</v>
      </c>
      <c r="AM118">
        <v>572895</v>
      </c>
      <c r="AN118">
        <v>1</v>
      </c>
      <c r="AO118">
        <v>0</v>
      </c>
      <c r="AP118">
        <v>999</v>
      </c>
      <c r="AQ118">
        <v>430</v>
      </c>
      <c r="AR118">
        <v>430999</v>
      </c>
      <c r="AT118">
        <v>1</v>
      </c>
      <c r="AU118" t="s">
        <v>57</v>
      </c>
      <c r="AV118">
        <v>101552.46</v>
      </c>
      <c r="AW118">
        <v>114647.6485</v>
      </c>
      <c r="AX118">
        <v>118167.008</v>
      </c>
      <c r="AY118">
        <v>123559.05899999999</v>
      </c>
      <c r="AZ118">
        <v>128796.368</v>
      </c>
      <c r="BA118">
        <v>130000</v>
      </c>
      <c r="BB118">
        <v>135819.11300000001</v>
      </c>
      <c r="BC118">
        <v>145008.255</v>
      </c>
      <c r="BD118">
        <v>146226.546</v>
      </c>
      <c r="BE118">
        <v>148171.67300000001</v>
      </c>
      <c r="BF118">
        <v>156533.16500000001</v>
      </c>
      <c r="BG118">
        <v>167340.8915</v>
      </c>
      <c r="BH118">
        <v>179808.78</v>
      </c>
      <c r="BI118">
        <v>187222.14799999999</v>
      </c>
      <c r="BJ118">
        <v>206328.26500000001</v>
      </c>
      <c r="BK118">
        <v>220390.6225</v>
      </c>
      <c r="BL118">
        <v>239280.00000000009</v>
      </c>
      <c r="BM118">
        <v>298738.61</v>
      </c>
      <c r="BN118">
        <v>365407.64500000002</v>
      </c>
      <c r="BO118">
        <v>399465.49400000001</v>
      </c>
      <c r="BP118">
        <v>515709.15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0</v>
      </c>
      <c r="CK118">
        <v>0</v>
      </c>
    </row>
    <row r="119" spans="1:89" x14ac:dyDescent="0.35">
      <c r="A119">
        <v>329403</v>
      </c>
      <c r="B119" t="s">
        <v>388</v>
      </c>
      <c r="C119" t="s">
        <v>389</v>
      </c>
      <c r="D119" s="1">
        <v>45757</v>
      </c>
      <c r="E119">
        <v>53850</v>
      </c>
      <c r="F119">
        <v>192</v>
      </c>
      <c r="G119" t="s">
        <v>73</v>
      </c>
      <c r="H119" t="s">
        <v>48</v>
      </c>
      <c r="I119" t="s">
        <v>49</v>
      </c>
      <c r="K119">
        <v>202504097883334</v>
      </c>
      <c r="L119">
        <v>1923300183207</v>
      </c>
      <c r="M119">
        <v>20250409</v>
      </c>
      <c r="N119" t="s">
        <v>400</v>
      </c>
      <c r="Q119" t="s">
        <v>58</v>
      </c>
      <c r="R119">
        <v>96798.05</v>
      </c>
      <c r="S119">
        <v>0</v>
      </c>
      <c r="T119">
        <v>461447</v>
      </c>
      <c r="U119" t="s">
        <v>239</v>
      </c>
      <c r="V119" t="s">
        <v>240</v>
      </c>
      <c r="W119" t="s">
        <v>66</v>
      </c>
      <c r="X119" t="s">
        <v>241</v>
      </c>
      <c r="Y119" t="s">
        <v>51</v>
      </c>
      <c r="Z119">
        <v>481</v>
      </c>
      <c r="AH119">
        <v>0</v>
      </c>
      <c r="AI119">
        <v>202504</v>
      </c>
      <c r="AJ119" t="s">
        <v>63</v>
      </c>
      <c r="AK119">
        <v>0</v>
      </c>
      <c r="AL119">
        <v>1</v>
      </c>
      <c r="AM119">
        <v>461447</v>
      </c>
      <c r="AN119">
        <v>1</v>
      </c>
      <c r="AO119">
        <v>0</v>
      </c>
      <c r="AP119">
        <v>999</v>
      </c>
      <c r="AQ119">
        <v>615</v>
      </c>
      <c r="AR119">
        <v>615999</v>
      </c>
      <c r="AT119">
        <v>1</v>
      </c>
      <c r="AU119" t="s">
        <v>61</v>
      </c>
      <c r="AV119">
        <v>85050</v>
      </c>
      <c r="AW119">
        <v>89030</v>
      </c>
      <c r="AX119">
        <v>91669.203999999998</v>
      </c>
      <c r="AY119">
        <v>93087.394</v>
      </c>
      <c r="AZ119">
        <v>94164.18</v>
      </c>
      <c r="BA119">
        <v>96798.05</v>
      </c>
      <c r="BB119">
        <v>100000</v>
      </c>
      <c r="BC119">
        <v>100000</v>
      </c>
      <c r="BD119">
        <v>101589.726</v>
      </c>
      <c r="BE119">
        <v>106295.712</v>
      </c>
      <c r="BF119">
        <v>110193.28</v>
      </c>
      <c r="BG119">
        <v>119645.424</v>
      </c>
      <c r="BH119">
        <v>127698</v>
      </c>
      <c r="BI119">
        <v>137713.79399999999</v>
      </c>
      <c r="BJ119">
        <v>139806</v>
      </c>
      <c r="BK119">
        <v>150000</v>
      </c>
      <c r="BL119">
        <v>161820.22</v>
      </c>
      <c r="BM119">
        <v>190199.99999999991</v>
      </c>
      <c r="BN119">
        <v>213800</v>
      </c>
      <c r="BO119">
        <v>259913.9999999998</v>
      </c>
      <c r="BP119">
        <v>440000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 x14ac:dyDescent="0.35">
      <c r="A120">
        <v>329402</v>
      </c>
      <c r="B120" t="s">
        <v>388</v>
      </c>
      <c r="C120" t="s">
        <v>389</v>
      </c>
      <c r="D120" s="1">
        <v>45757</v>
      </c>
      <c r="E120">
        <v>53850</v>
      </c>
      <c r="F120">
        <v>195</v>
      </c>
      <c r="G120" t="s">
        <v>290</v>
      </c>
      <c r="H120" t="s">
        <v>48</v>
      </c>
      <c r="I120" t="s">
        <v>49</v>
      </c>
      <c r="K120">
        <v>202504097883353</v>
      </c>
      <c r="L120">
        <v>1943300006708</v>
      </c>
      <c r="M120">
        <v>20250409</v>
      </c>
      <c r="N120" t="s">
        <v>400</v>
      </c>
      <c r="Q120" t="s">
        <v>58</v>
      </c>
      <c r="R120">
        <v>110000</v>
      </c>
      <c r="S120">
        <v>0</v>
      </c>
      <c r="T120">
        <v>3040676</v>
      </c>
      <c r="U120" t="s">
        <v>510</v>
      </c>
      <c r="V120" t="s">
        <v>511</v>
      </c>
      <c r="W120" t="s">
        <v>50</v>
      </c>
      <c r="Y120" t="s">
        <v>51</v>
      </c>
      <c r="Z120">
        <v>1463</v>
      </c>
      <c r="AH120">
        <v>0</v>
      </c>
      <c r="AI120">
        <v>202504</v>
      </c>
      <c r="AJ120" t="s">
        <v>168</v>
      </c>
      <c r="AK120">
        <v>1</v>
      </c>
      <c r="AL120">
        <v>1</v>
      </c>
      <c r="AO120">
        <v>0</v>
      </c>
      <c r="AP120">
        <v>999</v>
      </c>
      <c r="AQ120">
        <v>600</v>
      </c>
      <c r="AR120">
        <v>600999</v>
      </c>
      <c r="AS120" t="s">
        <v>52</v>
      </c>
      <c r="AU120" t="s">
        <v>52</v>
      </c>
      <c r="AV120">
        <v>107500</v>
      </c>
      <c r="AW120">
        <v>109625</v>
      </c>
      <c r="AX120">
        <v>110000</v>
      </c>
      <c r="AY120">
        <v>112750</v>
      </c>
      <c r="AZ120">
        <v>120738</v>
      </c>
      <c r="BA120">
        <v>129508.75</v>
      </c>
      <c r="BB120">
        <v>130380</v>
      </c>
      <c r="BC120">
        <v>133610</v>
      </c>
      <c r="BD120">
        <v>133800</v>
      </c>
      <c r="BE120">
        <v>141080</v>
      </c>
      <c r="BF120">
        <v>147500</v>
      </c>
      <c r="BG120">
        <v>155382.03049999999</v>
      </c>
      <c r="BH120">
        <v>165585.11799999999</v>
      </c>
      <c r="BI120">
        <v>166416.67000000001</v>
      </c>
      <c r="BJ120">
        <v>166416.67000000001</v>
      </c>
      <c r="BK120">
        <v>173582.95749999999</v>
      </c>
      <c r="BL120">
        <v>190388.68799999999</v>
      </c>
      <c r="BM120">
        <v>212150</v>
      </c>
      <c r="BN120">
        <v>283513.16900000011</v>
      </c>
      <c r="BO120">
        <v>415377.23</v>
      </c>
      <c r="BP120">
        <v>415377.23</v>
      </c>
      <c r="BQ120">
        <v>1</v>
      </c>
      <c r="BR120">
        <v>1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 x14ac:dyDescent="0.35">
      <c r="A121">
        <v>329400</v>
      </c>
      <c r="B121" t="s">
        <v>388</v>
      </c>
      <c r="C121" t="s">
        <v>389</v>
      </c>
      <c r="D121" s="1">
        <v>45757</v>
      </c>
      <c r="E121">
        <v>53850</v>
      </c>
      <c r="F121">
        <v>116</v>
      </c>
      <c r="G121" t="s">
        <v>259</v>
      </c>
      <c r="H121" t="s">
        <v>48</v>
      </c>
      <c r="I121" t="s">
        <v>49</v>
      </c>
      <c r="K121">
        <v>202504097882968</v>
      </c>
      <c r="L121">
        <v>2343300010453</v>
      </c>
      <c r="M121">
        <v>20250409</v>
      </c>
      <c r="N121" t="s">
        <v>253</v>
      </c>
      <c r="Q121" t="s">
        <v>58</v>
      </c>
      <c r="R121">
        <v>140674.45000000001</v>
      </c>
      <c r="S121">
        <v>140674.45000000001</v>
      </c>
      <c r="T121">
        <v>4247777</v>
      </c>
      <c r="U121">
        <v>233470236</v>
      </c>
      <c r="V121" t="s">
        <v>260</v>
      </c>
      <c r="W121" t="s">
        <v>56</v>
      </c>
      <c r="X121" t="s">
        <v>72</v>
      </c>
      <c r="Y121" t="s">
        <v>51</v>
      </c>
      <c r="Z121">
        <v>1696</v>
      </c>
      <c r="AH121">
        <v>0</v>
      </c>
      <c r="AI121">
        <v>202504</v>
      </c>
      <c r="AJ121" t="s">
        <v>177</v>
      </c>
      <c r="AK121">
        <v>1</v>
      </c>
      <c r="AL121">
        <v>1</v>
      </c>
      <c r="AM121">
        <v>4247777</v>
      </c>
      <c r="AN121">
        <v>1</v>
      </c>
      <c r="AO121">
        <v>0</v>
      </c>
      <c r="AP121">
        <v>463</v>
      </c>
      <c r="AQ121">
        <v>430</v>
      </c>
      <c r="AR121">
        <v>430463</v>
      </c>
      <c r="AS121" t="s">
        <v>61</v>
      </c>
      <c r="AU121" t="s">
        <v>61</v>
      </c>
      <c r="AV121">
        <v>85050</v>
      </c>
      <c r="AW121">
        <v>89030</v>
      </c>
      <c r="AX121">
        <v>91669.203999999998</v>
      </c>
      <c r="AY121">
        <v>93087.394</v>
      </c>
      <c r="AZ121">
        <v>94164.18</v>
      </c>
      <c r="BA121">
        <v>96798.05</v>
      </c>
      <c r="BB121">
        <v>100000</v>
      </c>
      <c r="BC121">
        <v>100000</v>
      </c>
      <c r="BD121">
        <v>101589.726</v>
      </c>
      <c r="BE121">
        <v>106295.712</v>
      </c>
      <c r="BF121">
        <v>110193.28</v>
      </c>
      <c r="BG121">
        <v>119645.424</v>
      </c>
      <c r="BH121">
        <v>127698</v>
      </c>
      <c r="BI121">
        <v>137713.79399999999</v>
      </c>
      <c r="BJ121">
        <v>139806</v>
      </c>
      <c r="BK121">
        <v>150000</v>
      </c>
      <c r="BL121">
        <v>161820.22</v>
      </c>
      <c r="BM121">
        <v>190199.99999999991</v>
      </c>
      <c r="BN121">
        <v>213800</v>
      </c>
      <c r="BO121">
        <v>259913.9999999998</v>
      </c>
      <c r="BP121">
        <v>440000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 x14ac:dyDescent="0.35">
      <c r="A122">
        <v>329399</v>
      </c>
      <c r="B122" t="s">
        <v>388</v>
      </c>
      <c r="C122" t="s">
        <v>389</v>
      </c>
      <c r="D122" s="1">
        <v>45757</v>
      </c>
      <c r="E122">
        <v>53850</v>
      </c>
      <c r="F122">
        <v>170</v>
      </c>
      <c r="G122" t="s">
        <v>82</v>
      </c>
      <c r="H122" t="s">
        <v>48</v>
      </c>
      <c r="I122" t="s">
        <v>49</v>
      </c>
      <c r="K122">
        <v>202504097883281</v>
      </c>
      <c r="L122">
        <v>1703306290965</v>
      </c>
      <c r="M122">
        <v>20250409</v>
      </c>
      <c r="N122" t="s">
        <v>505</v>
      </c>
      <c r="Q122" t="s">
        <v>58</v>
      </c>
      <c r="R122">
        <v>156800</v>
      </c>
      <c r="S122">
        <v>0</v>
      </c>
      <c r="T122">
        <v>3734846</v>
      </c>
      <c r="U122">
        <v>8512530729</v>
      </c>
      <c r="V122" t="s">
        <v>439</v>
      </c>
      <c r="W122" t="s">
        <v>56</v>
      </c>
      <c r="X122" t="s">
        <v>62</v>
      </c>
      <c r="Y122" t="s">
        <v>51</v>
      </c>
      <c r="Z122">
        <v>1920</v>
      </c>
      <c r="AH122">
        <v>0</v>
      </c>
      <c r="AI122">
        <v>202504</v>
      </c>
      <c r="AJ122" t="s">
        <v>168</v>
      </c>
      <c r="AK122">
        <v>1</v>
      </c>
      <c r="AL122">
        <v>1</v>
      </c>
      <c r="AO122">
        <v>0</v>
      </c>
      <c r="AP122">
        <v>412</v>
      </c>
      <c r="AQ122">
        <v>430</v>
      </c>
      <c r="AR122">
        <v>430412</v>
      </c>
      <c r="AS122" t="s">
        <v>61</v>
      </c>
      <c r="AU122" t="s">
        <v>61</v>
      </c>
      <c r="AV122">
        <v>85050</v>
      </c>
      <c r="AW122">
        <v>89030</v>
      </c>
      <c r="AX122">
        <v>91669.203999999998</v>
      </c>
      <c r="AY122">
        <v>93087.394</v>
      </c>
      <c r="AZ122">
        <v>94164.18</v>
      </c>
      <c r="BA122">
        <v>96798.05</v>
      </c>
      <c r="BB122">
        <v>100000</v>
      </c>
      <c r="BC122">
        <v>100000</v>
      </c>
      <c r="BD122">
        <v>101589.726</v>
      </c>
      <c r="BE122">
        <v>106295.712</v>
      </c>
      <c r="BF122">
        <v>110193.28</v>
      </c>
      <c r="BG122">
        <v>119645.424</v>
      </c>
      <c r="BH122">
        <v>127698</v>
      </c>
      <c r="BI122">
        <v>137713.79399999999</v>
      </c>
      <c r="BJ122">
        <v>139806</v>
      </c>
      <c r="BK122">
        <v>150000</v>
      </c>
      <c r="BL122">
        <v>161820.22</v>
      </c>
      <c r="BM122">
        <v>190199.99999999991</v>
      </c>
      <c r="BN122">
        <v>213800</v>
      </c>
      <c r="BO122">
        <v>259913.9999999998</v>
      </c>
      <c r="BP122">
        <v>440000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 x14ac:dyDescent="0.35">
      <c r="A123">
        <v>329390</v>
      </c>
      <c r="B123" t="s">
        <v>388</v>
      </c>
      <c r="C123" t="s">
        <v>389</v>
      </c>
      <c r="D123" s="1">
        <v>45756</v>
      </c>
      <c r="E123">
        <v>53850</v>
      </c>
      <c r="F123">
        <v>286</v>
      </c>
      <c r="G123" t="s">
        <v>282</v>
      </c>
      <c r="H123" t="s">
        <v>48</v>
      </c>
      <c r="I123" t="s">
        <v>49</v>
      </c>
      <c r="K123">
        <v>202504087880490</v>
      </c>
      <c r="L123">
        <v>2863300002887</v>
      </c>
      <c r="M123">
        <v>20250408</v>
      </c>
      <c r="N123" t="s">
        <v>400</v>
      </c>
      <c r="Q123" t="s">
        <v>58</v>
      </c>
      <c r="R123">
        <v>120000</v>
      </c>
      <c r="S123">
        <v>0</v>
      </c>
      <c r="T123">
        <v>1686888</v>
      </c>
      <c r="U123">
        <v>2639450697</v>
      </c>
      <c r="V123" t="s">
        <v>512</v>
      </c>
      <c r="W123" t="s">
        <v>56</v>
      </c>
      <c r="X123" t="s">
        <v>513</v>
      </c>
      <c r="Y123" t="s">
        <v>51</v>
      </c>
      <c r="Z123">
        <v>1841</v>
      </c>
      <c r="AH123">
        <v>0</v>
      </c>
      <c r="AI123">
        <v>202504</v>
      </c>
      <c r="AJ123" t="s">
        <v>63</v>
      </c>
      <c r="AK123">
        <v>0</v>
      </c>
      <c r="AL123">
        <v>1</v>
      </c>
      <c r="AO123">
        <v>0</v>
      </c>
      <c r="AP123">
        <v>999</v>
      </c>
      <c r="AQ123">
        <v>430</v>
      </c>
      <c r="AR123">
        <v>430999</v>
      </c>
      <c r="AT123">
        <v>1</v>
      </c>
      <c r="AU123" t="s">
        <v>57</v>
      </c>
      <c r="AV123">
        <v>101552.46</v>
      </c>
      <c r="AW123">
        <v>114647.6485</v>
      </c>
      <c r="AX123">
        <v>118167.008</v>
      </c>
      <c r="AY123">
        <v>123559.05899999999</v>
      </c>
      <c r="AZ123">
        <v>128796.368</v>
      </c>
      <c r="BA123">
        <v>130000</v>
      </c>
      <c r="BB123">
        <v>135819.11300000001</v>
      </c>
      <c r="BC123">
        <v>145008.255</v>
      </c>
      <c r="BD123">
        <v>146226.546</v>
      </c>
      <c r="BE123">
        <v>148171.67300000001</v>
      </c>
      <c r="BF123">
        <v>156533.16500000001</v>
      </c>
      <c r="BG123">
        <v>167340.8915</v>
      </c>
      <c r="BH123">
        <v>179808.78</v>
      </c>
      <c r="BI123">
        <v>187222.14799999999</v>
      </c>
      <c r="BJ123">
        <v>206328.26500000001</v>
      </c>
      <c r="BK123">
        <v>220390.6225</v>
      </c>
      <c r="BL123">
        <v>239280.00000000009</v>
      </c>
      <c r="BM123">
        <v>298738.61</v>
      </c>
      <c r="BN123">
        <v>365407.64500000002</v>
      </c>
      <c r="BO123">
        <v>399465.49400000001</v>
      </c>
      <c r="BP123">
        <v>515709.15</v>
      </c>
      <c r="BQ123">
        <v>1</v>
      </c>
      <c r="BR123">
        <v>1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 x14ac:dyDescent="0.35">
      <c r="A124">
        <v>329378</v>
      </c>
      <c r="B124" t="s">
        <v>388</v>
      </c>
      <c r="C124" t="s">
        <v>389</v>
      </c>
      <c r="D124" s="1">
        <v>45756</v>
      </c>
      <c r="E124">
        <v>53850</v>
      </c>
      <c r="F124">
        <v>171</v>
      </c>
      <c r="G124" t="s">
        <v>70</v>
      </c>
      <c r="H124" t="s">
        <v>48</v>
      </c>
      <c r="I124" t="s">
        <v>49</v>
      </c>
      <c r="K124" t="s">
        <v>312</v>
      </c>
      <c r="L124">
        <v>1713305728950</v>
      </c>
      <c r="M124">
        <v>20250408</v>
      </c>
      <c r="N124" t="s">
        <v>253</v>
      </c>
      <c r="Q124" t="s">
        <v>58</v>
      </c>
      <c r="R124">
        <v>202735</v>
      </c>
      <c r="S124">
        <v>202735</v>
      </c>
      <c r="T124">
        <v>572895</v>
      </c>
      <c r="U124">
        <v>4161600723</v>
      </c>
      <c r="V124" t="s">
        <v>257</v>
      </c>
      <c r="W124" t="s">
        <v>56</v>
      </c>
      <c r="X124" t="s">
        <v>258</v>
      </c>
      <c r="Y124" t="s">
        <v>51</v>
      </c>
      <c r="Z124">
        <v>1903</v>
      </c>
      <c r="AH124">
        <v>0</v>
      </c>
      <c r="AI124">
        <v>202504</v>
      </c>
      <c r="AJ124" t="s">
        <v>63</v>
      </c>
      <c r="AK124">
        <v>0</v>
      </c>
      <c r="AL124">
        <v>1</v>
      </c>
      <c r="AM124">
        <v>572895</v>
      </c>
      <c r="AN124">
        <v>1</v>
      </c>
      <c r="AO124">
        <v>0</v>
      </c>
      <c r="AP124">
        <v>999</v>
      </c>
      <c r="AQ124">
        <v>430</v>
      </c>
      <c r="AR124">
        <v>430999</v>
      </c>
      <c r="AT124">
        <v>1</v>
      </c>
      <c r="AU124" t="s">
        <v>57</v>
      </c>
      <c r="AV124">
        <v>101552.46</v>
      </c>
      <c r="AW124">
        <v>114647.6485</v>
      </c>
      <c r="AX124">
        <v>118167.008</v>
      </c>
      <c r="AY124">
        <v>123559.05899999999</v>
      </c>
      <c r="AZ124">
        <v>128796.368</v>
      </c>
      <c r="BA124">
        <v>130000</v>
      </c>
      <c r="BB124">
        <v>135819.11300000001</v>
      </c>
      <c r="BC124">
        <v>145008.255</v>
      </c>
      <c r="BD124">
        <v>146226.546</v>
      </c>
      <c r="BE124">
        <v>148171.67300000001</v>
      </c>
      <c r="BF124">
        <v>156533.16500000001</v>
      </c>
      <c r="BG124">
        <v>167340.8915</v>
      </c>
      <c r="BH124">
        <v>179808.78</v>
      </c>
      <c r="BI124">
        <v>187222.14799999999</v>
      </c>
      <c r="BJ124">
        <v>206328.26500000001</v>
      </c>
      <c r="BK124">
        <v>220390.6225</v>
      </c>
      <c r="BL124">
        <v>239280.00000000009</v>
      </c>
      <c r="BM124">
        <v>298738.61</v>
      </c>
      <c r="BN124">
        <v>365407.64500000002</v>
      </c>
      <c r="BO124">
        <v>399465.49400000001</v>
      </c>
      <c r="BP124">
        <v>515709.15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 x14ac:dyDescent="0.35">
      <c r="A125">
        <v>329376</v>
      </c>
      <c r="B125" t="s">
        <v>388</v>
      </c>
      <c r="C125" t="s">
        <v>389</v>
      </c>
      <c r="D125" s="1">
        <v>45756</v>
      </c>
      <c r="E125">
        <v>53850</v>
      </c>
      <c r="F125">
        <v>267</v>
      </c>
      <c r="G125" t="s">
        <v>170</v>
      </c>
      <c r="H125" t="s">
        <v>48</v>
      </c>
      <c r="I125" t="s">
        <v>49</v>
      </c>
      <c r="K125">
        <v>202504087880428</v>
      </c>
      <c r="L125">
        <v>2673300003600</v>
      </c>
      <c r="M125">
        <v>20250408</v>
      </c>
      <c r="N125" t="s">
        <v>265</v>
      </c>
      <c r="Q125" t="s">
        <v>58</v>
      </c>
      <c r="R125">
        <v>107000</v>
      </c>
      <c r="S125">
        <v>107000</v>
      </c>
      <c r="T125">
        <v>1705101</v>
      </c>
      <c r="U125">
        <v>2896870793</v>
      </c>
      <c r="V125" t="s">
        <v>288</v>
      </c>
      <c r="W125" t="s">
        <v>64</v>
      </c>
      <c r="X125" t="s">
        <v>258</v>
      </c>
      <c r="Y125" t="s">
        <v>51</v>
      </c>
      <c r="Z125">
        <v>1878</v>
      </c>
      <c r="AH125">
        <v>0</v>
      </c>
      <c r="AI125">
        <v>202504</v>
      </c>
      <c r="AJ125" t="s">
        <v>63</v>
      </c>
      <c r="AK125">
        <v>0</v>
      </c>
      <c r="AL125">
        <v>1</v>
      </c>
      <c r="AM125">
        <v>1705101</v>
      </c>
      <c r="AN125">
        <v>1</v>
      </c>
      <c r="AO125">
        <v>0</v>
      </c>
      <c r="AP125">
        <v>999</v>
      </c>
      <c r="AQ125">
        <v>492</v>
      </c>
      <c r="AR125">
        <v>492999</v>
      </c>
      <c r="AT125">
        <v>1</v>
      </c>
      <c r="AU125" t="s">
        <v>272</v>
      </c>
      <c r="AV125">
        <v>98000</v>
      </c>
      <c r="AW125">
        <v>98368.7</v>
      </c>
      <c r="AX125">
        <v>98737.4</v>
      </c>
      <c r="AY125">
        <v>99106.1</v>
      </c>
      <c r="AZ125">
        <v>99955</v>
      </c>
      <c r="BA125">
        <v>101044</v>
      </c>
      <c r="BB125">
        <v>102133</v>
      </c>
      <c r="BC125">
        <v>103273.1</v>
      </c>
      <c r="BD125">
        <v>104515.4</v>
      </c>
      <c r="BE125">
        <v>105757.7</v>
      </c>
      <c r="BF125">
        <v>107000</v>
      </c>
      <c r="BG125">
        <v>109400</v>
      </c>
      <c r="BH125">
        <v>111800</v>
      </c>
      <c r="BI125">
        <v>114200</v>
      </c>
      <c r="BJ125">
        <v>118800</v>
      </c>
      <c r="BK125">
        <v>124500</v>
      </c>
      <c r="BL125">
        <v>130200</v>
      </c>
      <c r="BM125">
        <v>151054.99999999991</v>
      </c>
      <c r="BN125">
        <v>202220.00000000009</v>
      </c>
      <c r="BO125">
        <v>253384.99999999991</v>
      </c>
      <c r="BP125">
        <v>304550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 x14ac:dyDescent="0.35">
      <c r="A126">
        <v>329372</v>
      </c>
      <c r="B126" t="s">
        <v>388</v>
      </c>
      <c r="C126" t="s">
        <v>389</v>
      </c>
      <c r="D126" s="1">
        <v>45756</v>
      </c>
      <c r="E126">
        <v>53850</v>
      </c>
      <c r="F126">
        <v>116</v>
      </c>
      <c r="G126" t="s">
        <v>259</v>
      </c>
      <c r="H126" t="s">
        <v>48</v>
      </c>
      <c r="I126" t="s">
        <v>49</v>
      </c>
      <c r="K126">
        <v>202504087879941</v>
      </c>
      <c r="L126">
        <v>2343300010453</v>
      </c>
      <c r="M126">
        <v>20250408</v>
      </c>
      <c r="N126" t="s">
        <v>253</v>
      </c>
      <c r="Q126" t="s">
        <v>58</v>
      </c>
      <c r="R126">
        <v>171133.95</v>
      </c>
      <c r="S126">
        <v>171133.95</v>
      </c>
      <c r="T126">
        <v>4247777</v>
      </c>
      <c r="U126">
        <v>233470236</v>
      </c>
      <c r="V126" t="s">
        <v>260</v>
      </c>
      <c r="W126" t="s">
        <v>56</v>
      </c>
      <c r="X126" t="s">
        <v>72</v>
      </c>
      <c r="Y126" t="s">
        <v>51</v>
      </c>
      <c r="Z126">
        <v>1696</v>
      </c>
      <c r="AH126">
        <v>0</v>
      </c>
      <c r="AI126">
        <v>202504</v>
      </c>
      <c r="AJ126" t="s">
        <v>177</v>
      </c>
      <c r="AK126">
        <v>1</v>
      </c>
      <c r="AL126">
        <v>1</v>
      </c>
      <c r="AM126">
        <v>4247777</v>
      </c>
      <c r="AN126">
        <v>1</v>
      </c>
      <c r="AO126">
        <v>0</v>
      </c>
      <c r="AP126">
        <v>463</v>
      </c>
      <c r="AQ126">
        <v>430</v>
      </c>
      <c r="AR126">
        <v>430463</v>
      </c>
      <c r="AS126" t="s">
        <v>61</v>
      </c>
      <c r="AU126" t="s">
        <v>61</v>
      </c>
      <c r="AV126">
        <v>85050</v>
      </c>
      <c r="AW126">
        <v>89030</v>
      </c>
      <c r="AX126">
        <v>91669.203999999998</v>
      </c>
      <c r="AY126">
        <v>93087.394</v>
      </c>
      <c r="AZ126">
        <v>94164.18</v>
      </c>
      <c r="BA126">
        <v>96798.05</v>
      </c>
      <c r="BB126">
        <v>100000</v>
      </c>
      <c r="BC126">
        <v>100000</v>
      </c>
      <c r="BD126">
        <v>101589.726</v>
      </c>
      <c r="BE126">
        <v>106295.712</v>
      </c>
      <c r="BF126">
        <v>110193.28</v>
      </c>
      <c r="BG126">
        <v>119645.424</v>
      </c>
      <c r="BH126">
        <v>127698</v>
      </c>
      <c r="BI126">
        <v>137713.79399999999</v>
      </c>
      <c r="BJ126">
        <v>139806</v>
      </c>
      <c r="BK126">
        <v>150000</v>
      </c>
      <c r="BL126">
        <v>161820.22</v>
      </c>
      <c r="BM126">
        <v>190199.99999999991</v>
      </c>
      <c r="BN126">
        <v>213800</v>
      </c>
      <c r="BO126">
        <v>259913.9999999998</v>
      </c>
      <c r="BP126">
        <v>440000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0</v>
      </c>
      <c r="CI126">
        <v>0</v>
      </c>
      <c r="CJ126">
        <v>0</v>
      </c>
      <c r="CK126">
        <v>0</v>
      </c>
    </row>
    <row r="127" spans="1:89" x14ac:dyDescent="0.35">
      <c r="A127">
        <v>329370</v>
      </c>
      <c r="B127" t="s">
        <v>388</v>
      </c>
      <c r="C127" t="s">
        <v>389</v>
      </c>
      <c r="D127" s="1">
        <v>45756</v>
      </c>
      <c r="E127">
        <v>53850</v>
      </c>
      <c r="F127">
        <v>182</v>
      </c>
      <c r="G127" t="s">
        <v>284</v>
      </c>
      <c r="H127" t="s">
        <v>48</v>
      </c>
      <c r="I127" t="s">
        <v>49</v>
      </c>
      <c r="K127">
        <v>202504087880332</v>
      </c>
      <c r="L127">
        <v>1823300168510</v>
      </c>
      <c r="M127">
        <v>20250408</v>
      </c>
      <c r="N127" t="s">
        <v>400</v>
      </c>
      <c r="Q127" t="s">
        <v>58</v>
      </c>
      <c r="R127">
        <v>155000</v>
      </c>
      <c r="S127">
        <v>0</v>
      </c>
      <c r="T127">
        <v>3186190</v>
      </c>
      <c r="U127" t="s">
        <v>514</v>
      </c>
      <c r="V127" t="s">
        <v>515</v>
      </c>
      <c r="W127" t="s">
        <v>50</v>
      </c>
      <c r="Y127" t="s">
        <v>51</v>
      </c>
      <c r="Z127">
        <v>614</v>
      </c>
      <c r="AH127">
        <v>0</v>
      </c>
      <c r="AI127">
        <v>202504</v>
      </c>
      <c r="AJ127" t="s">
        <v>168</v>
      </c>
      <c r="AK127">
        <v>1</v>
      </c>
      <c r="AL127">
        <v>1</v>
      </c>
      <c r="AO127">
        <v>0</v>
      </c>
      <c r="AP127">
        <v>999</v>
      </c>
      <c r="AQ127">
        <v>600</v>
      </c>
      <c r="AR127">
        <v>600999</v>
      </c>
      <c r="AS127" t="s">
        <v>52</v>
      </c>
      <c r="AU127" t="s">
        <v>52</v>
      </c>
      <c r="AV127">
        <v>107500</v>
      </c>
      <c r="AW127">
        <v>109625</v>
      </c>
      <c r="AX127">
        <v>110000</v>
      </c>
      <c r="AY127">
        <v>112750</v>
      </c>
      <c r="AZ127">
        <v>120738</v>
      </c>
      <c r="BA127">
        <v>129508.75</v>
      </c>
      <c r="BB127">
        <v>130380</v>
      </c>
      <c r="BC127">
        <v>133610</v>
      </c>
      <c r="BD127">
        <v>133800</v>
      </c>
      <c r="BE127">
        <v>141080</v>
      </c>
      <c r="BF127">
        <v>147500</v>
      </c>
      <c r="BG127">
        <v>155382.03049999999</v>
      </c>
      <c r="BH127">
        <v>165585.11799999999</v>
      </c>
      <c r="BI127">
        <v>166416.67000000001</v>
      </c>
      <c r="BJ127">
        <v>166416.67000000001</v>
      </c>
      <c r="BK127">
        <v>173582.95749999999</v>
      </c>
      <c r="BL127">
        <v>190388.68799999999</v>
      </c>
      <c r="BM127">
        <v>212150</v>
      </c>
      <c r="BN127">
        <v>283513.16900000011</v>
      </c>
      <c r="BO127">
        <v>415377.23</v>
      </c>
      <c r="BP127">
        <v>415377.23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 x14ac:dyDescent="0.35">
      <c r="A128">
        <v>329357</v>
      </c>
      <c r="B128" t="s">
        <v>388</v>
      </c>
      <c r="C128" t="s">
        <v>389</v>
      </c>
      <c r="D128" s="1">
        <v>45755</v>
      </c>
      <c r="E128">
        <v>53850</v>
      </c>
      <c r="F128">
        <v>118</v>
      </c>
      <c r="G128" t="s">
        <v>93</v>
      </c>
      <c r="H128" t="s">
        <v>48</v>
      </c>
      <c r="I128" t="s">
        <v>49</v>
      </c>
      <c r="K128">
        <v>202504077877018</v>
      </c>
      <c r="L128">
        <v>1183306281257</v>
      </c>
      <c r="M128">
        <v>20250407</v>
      </c>
      <c r="N128" t="s">
        <v>505</v>
      </c>
      <c r="Q128" t="s">
        <v>58</v>
      </c>
      <c r="R128">
        <v>130000</v>
      </c>
      <c r="S128">
        <v>0</v>
      </c>
      <c r="T128">
        <v>4903828</v>
      </c>
      <c r="U128" t="s">
        <v>516</v>
      </c>
      <c r="V128" t="s">
        <v>517</v>
      </c>
      <c r="W128" t="s">
        <v>50</v>
      </c>
      <c r="Y128" t="s">
        <v>51</v>
      </c>
      <c r="Z128">
        <v>632</v>
      </c>
      <c r="AH128">
        <v>0</v>
      </c>
      <c r="AI128">
        <v>202504</v>
      </c>
      <c r="AJ128" t="s">
        <v>169</v>
      </c>
      <c r="AK128">
        <v>1</v>
      </c>
      <c r="AL128">
        <v>1</v>
      </c>
      <c r="AO128">
        <v>0</v>
      </c>
      <c r="AP128">
        <v>999</v>
      </c>
      <c r="AQ128">
        <v>600</v>
      </c>
      <c r="AR128">
        <v>600999</v>
      </c>
      <c r="AS128" t="s">
        <v>52</v>
      </c>
      <c r="AU128" t="s">
        <v>52</v>
      </c>
      <c r="AV128">
        <v>107500</v>
      </c>
      <c r="AW128">
        <v>109625</v>
      </c>
      <c r="AX128">
        <v>110000</v>
      </c>
      <c r="AY128">
        <v>112750</v>
      </c>
      <c r="AZ128">
        <v>120738</v>
      </c>
      <c r="BA128">
        <v>129508.75</v>
      </c>
      <c r="BB128">
        <v>130380</v>
      </c>
      <c r="BC128">
        <v>133610</v>
      </c>
      <c r="BD128">
        <v>133800</v>
      </c>
      <c r="BE128">
        <v>141080</v>
      </c>
      <c r="BF128">
        <v>147500</v>
      </c>
      <c r="BG128">
        <v>155382.03049999999</v>
      </c>
      <c r="BH128">
        <v>165585.11799999999</v>
      </c>
      <c r="BI128">
        <v>166416.67000000001</v>
      </c>
      <c r="BJ128">
        <v>166416.67000000001</v>
      </c>
      <c r="BK128">
        <v>173582.95749999999</v>
      </c>
      <c r="BL128">
        <v>190388.68799999999</v>
      </c>
      <c r="BM128">
        <v>212150</v>
      </c>
      <c r="BN128">
        <v>283513.16900000011</v>
      </c>
      <c r="BO128">
        <v>415377.23</v>
      </c>
      <c r="BP128">
        <v>415377.23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 x14ac:dyDescent="0.35">
      <c r="A129">
        <v>329355</v>
      </c>
      <c r="B129" t="s">
        <v>388</v>
      </c>
      <c r="C129" t="s">
        <v>389</v>
      </c>
      <c r="D129" s="1">
        <v>45755</v>
      </c>
      <c r="E129">
        <v>53850</v>
      </c>
      <c r="F129">
        <v>118</v>
      </c>
      <c r="G129" t="s">
        <v>93</v>
      </c>
      <c r="H129" t="s">
        <v>48</v>
      </c>
      <c r="I129" t="s">
        <v>49</v>
      </c>
      <c r="K129">
        <v>202504077877019</v>
      </c>
      <c r="L129">
        <v>1183306280338</v>
      </c>
      <c r="M129">
        <v>20250407</v>
      </c>
      <c r="N129" t="s">
        <v>505</v>
      </c>
      <c r="Q129" t="s">
        <v>58</v>
      </c>
      <c r="R129">
        <v>130000</v>
      </c>
      <c r="S129">
        <v>0</v>
      </c>
      <c r="T129">
        <v>4979859</v>
      </c>
      <c r="U129">
        <v>8669660725</v>
      </c>
      <c r="V129" t="s">
        <v>518</v>
      </c>
      <c r="W129" t="s">
        <v>56</v>
      </c>
      <c r="X129" t="s">
        <v>519</v>
      </c>
      <c r="Y129" t="s">
        <v>51</v>
      </c>
      <c r="Z129">
        <v>979</v>
      </c>
      <c r="AH129">
        <v>0</v>
      </c>
      <c r="AI129">
        <v>202504</v>
      </c>
      <c r="AJ129" t="s">
        <v>63</v>
      </c>
      <c r="AK129">
        <v>0</v>
      </c>
      <c r="AL129">
        <v>1</v>
      </c>
      <c r="AO129">
        <v>0</v>
      </c>
      <c r="AP129">
        <v>999</v>
      </c>
      <c r="AQ129">
        <v>430</v>
      </c>
      <c r="AR129">
        <v>430999</v>
      </c>
      <c r="AT129">
        <v>1</v>
      </c>
      <c r="AU129" t="s">
        <v>57</v>
      </c>
      <c r="AV129">
        <v>101552.46</v>
      </c>
      <c r="AW129">
        <v>114647.6485</v>
      </c>
      <c r="AX129">
        <v>118167.008</v>
      </c>
      <c r="AY129">
        <v>123559.05899999999</v>
      </c>
      <c r="AZ129">
        <v>128796.368</v>
      </c>
      <c r="BA129">
        <v>130000</v>
      </c>
      <c r="BB129">
        <v>135819.11300000001</v>
      </c>
      <c r="BC129">
        <v>145008.255</v>
      </c>
      <c r="BD129">
        <v>146226.546</v>
      </c>
      <c r="BE129">
        <v>148171.67300000001</v>
      </c>
      <c r="BF129">
        <v>156533.16500000001</v>
      </c>
      <c r="BG129">
        <v>167340.8915</v>
      </c>
      <c r="BH129">
        <v>179808.78</v>
      </c>
      <c r="BI129">
        <v>187222.14799999999</v>
      </c>
      <c r="BJ129">
        <v>206328.26500000001</v>
      </c>
      <c r="BK129">
        <v>220390.6225</v>
      </c>
      <c r="BL129">
        <v>239280.00000000009</v>
      </c>
      <c r="BM129">
        <v>298738.61</v>
      </c>
      <c r="BN129">
        <v>365407.64500000002</v>
      </c>
      <c r="BO129">
        <v>399465.49400000001</v>
      </c>
      <c r="BP129">
        <v>515709.15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 x14ac:dyDescent="0.35">
      <c r="A130">
        <v>329352</v>
      </c>
      <c r="B130" t="s">
        <v>388</v>
      </c>
      <c r="C130" t="s">
        <v>389</v>
      </c>
      <c r="D130" s="1">
        <v>45755</v>
      </c>
      <c r="E130">
        <v>53850</v>
      </c>
      <c r="F130">
        <v>102</v>
      </c>
      <c r="G130" t="s">
        <v>55</v>
      </c>
      <c r="H130" t="s">
        <v>48</v>
      </c>
      <c r="I130" t="s">
        <v>49</v>
      </c>
      <c r="K130" t="s">
        <v>313</v>
      </c>
      <c r="L130">
        <v>1023300660520</v>
      </c>
      <c r="M130">
        <v>20250407</v>
      </c>
      <c r="N130" t="s">
        <v>262</v>
      </c>
      <c r="Q130" t="s">
        <v>58</v>
      </c>
      <c r="R130">
        <v>169736</v>
      </c>
      <c r="S130">
        <v>33835</v>
      </c>
      <c r="T130">
        <v>66052</v>
      </c>
      <c r="U130">
        <v>398110726</v>
      </c>
      <c r="V130" t="s">
        <v>287</v>
      </c>
      <c r="W130" t="s">
        <v>56</v>
      </c>
      <c r="X130" t="s">
        <v>235</v>
      </c>
      <c r="Y130" t="s">
        <v>51</v>
      </c>
      <c r="Z130">
        <v>1203</v>
      </c>
      <c r="AH130">
        <v>0</v>
      </c>
      <c r="AI130">
        <v>202504</v>
      </c>
      <c r="AJ130" t="s">
        <v>169</v>
      </c>
      <c r="AK130">
        <v>1</v>
      </c>
      <c r="AL130">
        <v>1</v>
      </c>
      <c r="AM130">
        <v>66052</v>
      </c>
      <c r="AN130">
        <v>1</v>
      </c>
      <c r="AO130">
        <v>1</v>
      </c>
      <c r="AP130">
        <v>999</v>
      </c>
      <c r="AQ130">
        <v>430</v>
      </c>
      <c r="AR130">
        <v>430999</v>
      </c>
      <c r="AT130">
        <v>1</v>
      </c>
      <c r="AU130" t="s">
        <v>57</v>
      </c>
      <c r="AV130">
        <v>101552.46</v>
      </c>
      <c r="AW130">
        <v>114647.6485</v>
      </c>
      <c r="AX130">
        <v>118167.008</v>
      </c>
      <c r="AY130">
        <v>123559.05899999999</v>
      </c>
      <c r="AZ130">
        <v>128796.368</v>
      </c>
      <c r="BA130">
        <v>130000</v>
      </c>
      <c r="BB130">
        <v>135819.11300000001</v>
      </c>
      <c r="BC130">
        <v>145008.255</v>
      </c>
      <c r="BD130">
        <v>146226.546</v>
      </c>
      <c r="BE130">
        <v>148171.67300000001</v>
      </c>
      <c r="BF130">
        <v>156533.16500000001</v>
      </c>
      <c r="BG130">
        <v>167340.8915</v>
      </c>
      <c r="BH130">
        <v>179808.78</v>
      </c>
      <c r="BI130">
        <v>187222.14799999999</v>
      </c>
      <c r="BJ130">
        <v>206328.26500000001</v>
      </c>
      <c r="BK130">
        <v>220390.6225</v>
      </c>
      <c r="BL130">
        <v>239280.00000000009</v>
      </c>
      <c r="BM130">
        <v>298738.61</v>
      </c>
      <c r="BN130">
        <v>365407.64500000002</v>
      </c>
      <c r="BO130">
        <v>399465.49400000001</v>
      </c>
      <c r="BP130">
        <v>515709.15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 x14ac:dyDescent="0.35">
      <c r="A131">
        <v>329351</v>
      </c>
      <c r="B131" t="s">
        <v>388</v>
      </c>
      <c r="C131" t="s">
        <v>389</v>
      </c>
      <c r="D131" s="1">
        <v>45755</v>
      </c>
      <c r="E131">
        <v>53850</v>
      </c>
      <c r="F131">
        <v>287</v>
      </c>
      <c r="G131" t="s">
        <v>301</v>
      </c>
      <c r="H131" t="s">
        <v>48</v>
      </c>
      <c r="I131" t="s">
        <v>49</v>
      </c>
      <c r="K131" t="s">
        <v>313</v>
      </c>
      <c r="L131">
        <v>2873300001853</v>
      </c>
      <c r="M131">
        <v>20250407</v>
      </c>
      <c r="N131" t="s">
        <v>262</v>
      </c>
      <c r="Q131" t="s">
        <v>58</v>
      </c>
      <c r="R131">
        <v>138072.9</v>
      </c>
      <c r="S131">
        <v>79255</v>
      </c>
      <c r="T131">
        <v>3722213</v>
      </c>
      <c r="U131">
        <v>2021570698</v>
      </c>
      <c r="V131" t="s">
        <v>302</v>
      </c>
      <c r="W131" t="s">
        <v>56</v>
      </c>
      <c r="X131" t="s">
        <v>72</v>
      </c>
      <c r="Y131" t="s">
        <v>51</v>
      </c>
      <c r="Z131">
        <v>1877</v>
      </c>
      <c r="AH131">
        <v>0</v>
      </c>
      <c r="AI131">
        <v>202504</v>
      </c>
      <c r="AJ131" t="s">
        <v>54</v>
      </c>
      <c r="AK131">
        <v>0</v>
      </c>
      <c r="AL131">
        <v>1</v>
      </c>
      <c r="AM131">
        <v>3722213</v>
      </c>
      <c r="AN131">
        <v>1</v>
      </c>
      <c r="AO131">
        <v>1</v>
      </c>
      <c r="AP131">
        <v>463</v>
      </c>
      <c r="AQ131">
        <v>430</v>
      </c>
      <c r="AR131">
        <v>430463</v>
      </c>
      <c r="AS131" t="s">
        <v>61</v>
      </c>
      <c r="AU131" t="s">
        <v>61</v>
      </c>
      <c r="AV131">
        <v>85050</v>
      </c>
      <c r="AW131">
        <v>89030</v>
      </c>
      <c r="AX131">
        <v>91669.203999999998</v>
      </c>
      <c r="AY131">
        <v>93087.394</v>
      </c>
      <c r="AZ131">
        <v>94164.18</v>
      </c>
      <c r="BA131">
        <v>96798.05</v>
      </c>
      <c r="BB131">
        <v>100000</v>
      </c>
      <c r="BC131">
        <v>100000</v>
      </c>
      <c r="BD131">
        <v>101589.726</v>
      </c>
      <c r="BE131">
        <v>106295.712</v>
      </c>
      <c r="BF131">
        <v>110193.28</v>
      </c>
      <c r="BG131">
        <v>119645.424</v>
      </c>
      <c r="BH131">
        <v>127698</v>
      </c>
      <c r="BI131">
        <v>137713.79399999999</v>
      </c>
      <c r="BJ131">
        <v>139806</v>
      </c>
      <c r="BK131">
        <v>150000</v>
      </c>
      <c r="BL131">
        <v>161820.22</v>
      </c>
      <c r="BM131">
        <v>190199.99999999991</v>
      </c>
      <c r="BN131">
        <v>213800</v>
      </c>
      <c r="BO131">
        <v>259913.9999999998</v>
      </c>
      <c r="BP131">
        <v>440000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 x14ac:dyDescent="0.35">
      <c r="A132">
        <v>329348</v>
      </c>
      <c r="B132" t="s">
        <v>388</v>
      </c>
      <c r="C132" t="s">
        <v>389</v>
      </c>
      <c r="D132" s="1">
        <v>45755</v>
      </c>
      <c r="E132">
        <v>53850</v>
      </c>
      <c r="F132">
        <v>108</v>
      </c>
      <c r="G132" t="s">
        <v>89</v>
      </c>
      <c r="H132" t="s">
        <v>48</v>
      </c>
      <c r="I132" t="s">
        <v>49</v>
      </c>
      <c r="K132" t="s">
        <v>313</v>
      </c>
      <c r="L132">
        <v>1083306291105</v>
      </c>
      <c r="M132">
        <v>20250407</v>
      </c>
      <c r="N132" t="s">
        <v>262</v>
      </c>
      <c r="Q132" t="s">
        <v>58</v>
      </c>
      <c r="R132">
        <v>128778.83</v>
      </c>
      <c r="S132">
        <v>34129.65</v>
      </c>
      <c r="T132">
        <v>4227057</v>
      </c>
      <c r="U132">
        <v>4874620729</v>
      </c>
      <c r="V132" t="s">
        <v>263</v>
      </c>
      <c r="W132" t="s">
        <v>56</v>
      </c>
      <c r="X132" t="s">
        <v>264</v>
      </c>
      <c r="Y132" t="s">
        <v>51</v>
      </c>
      <c r="Z132">
        <v>1058</v>
      </c>
      <c r="AH132">
        <v>0</v>
      </c>
      <c r="AI132">
        <v>202504</v>
      </c>
      <c r="AJ132" t="s">
        <v>63</v>
      </c>
      <c r="AK132">
        <v>0</v>
      </c>
      <c r="AL132">
        <v>1</v>
      </c>
      <c r="AM132">
        <v>4227057</v>
      </c>
      <c r="AN132">
        <v>1</v>
      </c>
      <c r="AO132">
        <v>1</v>
      </c>
      <c r="AP132">
        <v>999</v>
      </c>
      <c r="AQ132">
        <v>430</v>
      </c>
      <c r="AR132">
        <v>430999</v>
      </c>
      <c r="AT132">
        <v>1</v>
      </c>
      <c r="AU132" t="s">
        <v>57</v>
      </c>
      <c r="AV132">
        <v>101552.46</v>
      </c>
      <c r="AW132">
        <v>114647.6485</v>
      </c>
      <c r="AX132">
        <v>118167.008</v>
      </c>
      <c r="AY132">
        <v>123559.05899999999</v>
      </c>
      <c r="AZ132">
        <v>128796.368</v>
      </c>
      <c r="BA132">
        <v>130000</v>
      </c>
      <c r="BB132">
        <v>135819.11300000001</v>
      </c>
      <c r="BC132">
        <v>145008.255</v>
      </c>
      <c r="BD132">
        <v>146226.546</v>
      </c>
      <c r="BE132">
        <v>148171.67300000001</v>
      </c>
      <c r="BF132">
        <v>156533.16500000001</v>
      </c>
      <c r="BG132">
        <v>167340.8915</v>
      </c>
      <c r="BH132">
        <v>179808.78</v>
      </c>
      <c r="BI132">
        <v>187222.14799999999</v>
      </c>
      <c r="BJ132">
        <v>206328.26500000001</v>
      </c>
      <c r="BK132">
        <v>220390.6225</v>
      </c>
      <c r="BL132">
        <v>239280.00000000009</v>
      </c>
      <c r="BM132">
        <v>298738.61</v>
      </c>
      <c r="BN132">
        <v>365407.64500000002</v>
      </c>
      <c r="BO132">
        <v>399465.49400000001</v>
      </c>
      <c r="BP132">
        <v>515709.15</v>
      </c>
      <c r="BQ132">
        <v>1</v>
      </c>
      <c r="BR132">
        <v>1</v>
      </c>
      <c r="BS132">
        <v>1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 x14ac:dyDescent="0.35">
      <c r="A133">
        <v>329343</v>
      </c>
      <c r="B133" t="s">
        <v>388</v>
      </c>
      <c r="C133" t="s">
        <v>389</v>
      </c>
      <c r="D133" s="1">
        <v>45755</v>
      </c>
      <c r="E133">
        <v>53850</v>
      </c>
      <c r="F133">
        <v>182</v>
      </c>
      <c r="G133" t="s">
        <v>284</v>
      </c>
      <c r="H133" t="s">
        <v>48</v>
      </c>
      <c r="I133" t="s">
        <v>49</v>
      </c>
      <c r="K133" t="s">
        <v>313</v>
      </c>
      <c r="L133">
        <v>1823300169301</v>
      </c>
      <c r="M133">
        <v>20250407</v>
      </c>
      <c r="N133" t="s">
        <v>253</v>
      </c>
      <c r="Q133" t="s">
        <v>58</v>
      </c>
      <c r="R133">
        <v>37615</v>
      </c>
      <c r="S133">
        <v>37615</v>
      </c>
      <c r="T133">
        <v>4284957</v>
      </c>
      <c r="U133" t="s">
        <v>285</v>
      </c>
      <c r="V133" t="s">
        <v>286</v>
      </c>
      <c r="W133" t="s">
        <v>66</v>
      </c>
      <c r="X133" t="s">
        <v>255</v>
      </c>
      <c r="Y133" t="s">
        <v>51</v>
      </c>
      <c r="Z133">
        <v>1656</v>
      </c>
      <c r="AH133">
        <v>0</v>
      </c>
      <c r="AI133">
        <v>202504</v>
      </c>
      <c r="AJ133" t="s">
        <v>63</v>
      </c>
      <c r="AK133">
        <v>0</v>
      </c>
      <c r="AL133">
        <v>1</v>
      </c>
      <c r="AM133">
        <v>4284957</v>
      </c>
      <c r="AN133">
        <v>1</v>
      </c>
      <c r="AO133">
        <v>0</v>
      </c>
      <c r="AP133">
        <v>920</v>
      </c>
      <c r="AQ133">
        <v>615</v>
      </c>
      <c r="AR133">
        <v>615920</v>
      </c>
      <c r="AS133" t="s">
        <v>270</v>
      </c>
      <c r="AU133" t="s">
        <v>270</v>
      </c>
      <c r="AV133">
        <v>37615</v>
      </c>
      <c r="AW133">
        <v>38129.25</v>
      </c>
      <c r="AX133">
        <v>38617</v>
      </c>
      <c r="AY133">
        <v>38985.5</v>
      </c>
      <c r="AZ133">
        <v>39276</v>
      </c>
      <c r="BA133">
        <v>39430</v>
      </c>
      <c r="BB133">
        <v>39650</v>
      </c>
      <c r="BC133">
        <v>39925</v>
      </c>
      <c r="BD133">
        <v>40004</v>
      </c>
      <c r="BE133">
        <v>40009.5</v>
      </c>
      <c r="BF133">
        <v>40505</v>
      </c>
      <c r="BG133">
        <v>41243.25</v>
      </c>
      <c r="BH133">
        <v>43919</v>
      </c>
      <c r="BI133">
        <v>46035.25</v>
      </c>
      <c r="BJ133">
        <v>46659.5</v>
      </c>
      <c r="BK133">
        <v>48836.25</v>
      </c>
      <c r="BL133">
        <v>52876.000000000007</v>
      </c>
      <c r="BM133">
        <v>56324.25</v>
      </c>
      <c r="BN133">
        <v>59434.5</v>
      </c>
      <c r="BO133">
        <v>63675.005999999987</v>
      </c>
      <c r="BP133">
        <v>68166.679999999993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 x14ac:dyDescent="0.35">
      <c r="A134">
        <v>329326</v>
      </c>
      <c r="B134" t="s">
        <v>388</v>
      </c>
      <c r="C134" t="s">
        <v>389</v>
      </c>
      <c r="D134" s="1">
        <v>45755</v>
      </c>
      <c r="E134">
        <v>53850</v>
      </c>
      <c r="F134">
        <v>103</v>
      </c>
      <c r="G134" t="s">
        <v>59</v>
      </c>
      <c r="H134" t="s">
        <v>48</v>
      </c>
      <c r="I134" t="s">
        <v>49</v>
      </c>
      <c r="K134">
        <v>202504077876891</v>
      </c>
      <c r="L134">
        <v>1033306978389</v>
      </c>
      <c r="M134">
        <v>20250407</v>
      </c>
      <c r="N134" t="s">
        <v>392</v>
      </c>
      <c r="Q134" t="s">
        <v>58</v>
      </c>
      <c r="R134">
        <v>440000</v>
      </c>
      <c r="S134">
        <v>0</v>
      </c>
      <c r="T134">
        <v>4912146</v>
      </c>
      <c r="U134">
        <v>8078930727</v>
      </c>
      <c r="V134" t="s">
        <v>520</v>
      </c>
      <c r="W134" t="s">
        <v>56</v>
      </c>
      <c r="X134" t="s">
        <v>62</v>
      </c>
      <c r="Y134" t="s">
        <v>51</v>
      </c>
      <c r="Z134">
        <v>739</v>
      </c>
      <c r="AH134">
        <v>0</v>
      </c>
      <c r="AI134">
        <v>202504</v>
      </c>
      <c r="AJ134" t="s">
        <v>54</v>
      </c>
      <c r="AK134">
        <v>0</v>
      </c>
      <c r="AL134">
        <v>1</v>
      </c>
      <c r="AO134">
        <v>0</v>
      </c>
      <c r="AP134">
        <v>412</v>
      </c>
      <c r="AQ134">
        <v>430</v>
      </c>
      <c r="AR134">
        <v>430412</v>
      </c>
      <c r="AS134" t="s">
        <v>61</v>
      </c>
      <c r="AU134" t="s">
        <v>61</v>
      </c>
      <c r="AV134">
        <v>85050</v>
      </c>
      <c r="AW134">
        <v>89030</v>
      </c>
      <c r="AX134">
        <v>91669.203999999998</v>
      </c>
      <c r="AY134">
        <v>93087.394</v>
      </c>
      <c r="AZ134">
        <v>94164.18</v>
      </c>
      <c r="BA134">
        <v>96798.05</v>
      </c>
      <c r="BB134">
        <v>100000</v>
      </c>
      <c r="BC134">
        <v>100000</v>
      </c>
      <c r="BD134">
        <v>101589.726</v>
      </c>
      <c r="BE134">
        <v>106295.712</v>
      </c>
      <c r="BF134">
        <v>110193.28</v>
      </c>
      <c r="BG134">
        <v>119645.424</v>
      </c>
      <c r="BH134">
        <v>127698</v>
      </c>
      <c r="BI134">
        <v>137713.79399999999</v>
      </c>
      <c r="BJ134">
        <v>139806</v>
      </c>
      <c r="BK134">
        <v>150000</v>
      </c>
      <c r="BL134">
        <v>161820.22</v>
      </c>
      <c r="BM134">
        <v>190199.99999999991</v>
      </c>
      <c r="BN134">
        <v>213800</v>
      </c>
      <c r="BO134">
        <v>259913.9999999998</v>
      </c>
      <c r="BP134">
        <v>440000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</row>
    <row r="135" spans="1:89" x14ac:dyDescent="0.35">
      <c r="A135">
        <v>329323</v>
      </c>
      <c r="B135" t="s">
        <v>388</v>
      </c>
      <c r="C135" t="s">
        <v>389</v>
      </c>
      <c r="D135" s="1">
        <v>45755</v>
      </c>
      <c r="E135">
        <v>53850</v>
      </c>
      <c r="F135">
        <v>161</v>
      </c>
      <c r="G135" t="s">
        <v>95</v>
      </c>
      <c r="H135" t="s">
        <v>48</v>
      </c>
      <c r="I135" t="s">
        <v>49</v>
      </c>
      <c r="K135" t="s">
        <v>313</v>
      </c>
      <c r="L135">
        <v>1613300029653</v>
      </c>
      <c r="M135">
        <v>20250407</v>
      </c>
      <c r="N135" t="s">
        <v>262</v>
      </c>
      <c r="Q135" t="s">
        <v>58</v>
      </c>
      <c r="R135">
        <v>98360.01</v>
      </c>
      <c r="S135">
        <v>7500</v>
      </c>
      <c r="T135">
        <v>4088769</v>
      </c>
      <c r="U135">
        <v>5150120722</v>
      </c>
      <c r="V135" t="s">
        <v>407</v>
      </c>
      <c r="W135" t="s">
        <v>56</v>
      </c>
      <c r="X135" t="s">
        <v>78</v>
      </c>
      <c r="Y135" t="s">
        <v>51</v>
      </c>
      <c r="Z135">
        <v>1903</v>
      </c>
      <c r="AH135">
        <v>0</v>
      </c>
      <c r="AI135">
        <v>202504</v>
      </c>
      <c r="AJ135" t="s">
        <v>63</v>
      </c>
      <c r="AK135">
        <v>0</v>
      </c>
      <c r="AL135">
        <v>1</v>
      </c>
      <c r="AM135">
        <v>4088769</v>
      </c>
      <c r="AN135">
        <v>1</v>
      </c>
      <c r="AO135">
        <v>1</v>
      </c>
      <c r="AP135">
        <v>464</v>
      </c>
      <c r="AQ135">
        <v>430</v>
      </c>
      <c r="AR135">
        <v>430464</v>
      </c>
      <c r="AS135" t="s">
        <v>79</v>
      </c>
      <c r="AU135" t="s">
        <v>79</v>
      </c>
      <c r="AV135">
        <v>76382.789999999994</v>
      </c>
      <c r="AW135">
        <v>79891.56</v>
      </c>
      <c r="AX135">
        <v>79937.08</v>
      </c>
      <c r="AY135">
        <v>88865.89</v>
      </c>
      <c r="AZ135">
        <v>94634.78</v>
      </c>
      <c r="BA135">
        <v>97229.53</v>
      </c>
      <c r="BB135">
        <v>98360.01</v>
      </c>
      <c r="BC135">
        <v>100000</v>
      </c>
      <c r="BD135">
        <v>104738.68</v>
      </c>
      <c r="BE135">
        <v>108176.82</v>
      </c>
      <c r="BF135">
        <v>110891.36</v>
      </c>
      <c r="BG135">
        <v>115427.47</v>
      </c>
      <c r="BH135">
        <v>118009.65</v>
      </c>
      <c r="BI135">
        <v>136718.03</v>
      </c>
      <c r="BJ135">
        <v>148758.49</v>
      </c>
      <c r="BK135">
        <v>182944.14</v>
      </c>
      <c r="BL135">
        <v>217448.27</v>
      </c>
      <c r="BM135">
        <v>222704.65</v>
      </c>
      <c r="BN135">
        <v>225130.1</v>
      </c>
      <c r="BO135">
        <v>259946.2</v>
      </c>
      <c r="BP135">
        <v>270019.89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 x14ac:dyDescent="0.35">
      <c r="A136">
        <v>329316</v>
      </c>
      <c r="B136" t="s">
        <v>388</v>
      </c>
      <c r="C136" t="s">
        <v>389</v>
      </c>
      <c r="D136" s="1">
        <v>45755</v>
      </c>
      <c r="E136">
        <v>53850</v>
      </c>
      <c r="F136">
        <v>103</v>
      </c>
      <c r="G136" t="s">
        <v>59</v>
      </c>
      <c r="H136" t="s">
        <v>48</v>
      </c>
      <c r="I136" t="s">
        <v>49</v>
      </c>
      <c r="K136">
        <v>202504077876917</v>
      </c>
      <c r="L136">
        <v>1033300114330</v>
      </c>
      <c r="M136">
        <v>20250407</v>
      </c>
      <c r="N136" t="s">
        <v>505</v>
      </c>
      <c r="Q136" t="s">
        <v>58</v>
      </c>
      <c r="R136">
        <v>100000</v>
      </c>
      <c r="S136">
        <v>0</v>
      </c>
      <c r="T136">
        <v>11433</v>
      </c>
      <c r="U136" t="s">
        <v>521</v>
      </c>
      <c r="V136" t="s">
        <v>522</v>
      </c>
      <c r="W136" t="s">
        <v>66</v>
      </c>
      <c r="X136" t="s">
        <v>175</v>
      </c>
      <c r="Y136" t="s">
        <v>51</v>
      </c>
      <c r="Z136">
        <v>1175</v>
      </c>
      <c r="AH136">
        <v>0</v>
      </c>
      <c r="AI136">
        <v>202504</v>
      </c>
      <c r="AJ136" t="s">
        <v>63</v>
      </c>
      <c r="AK136">
        <v>0</v>
      </c>
      <c r="AL136">
        <v>1</v>
      </c>
      <c r="AO136">
        <v>0</v>
      </c>
      <c r="AP136">
        <v>999</v>
      </c>
      <c r="AQ136">
        <v>615</v>
      </c>
      <c r="AR136">
        <v>615999</v>
      </c>
      <c r="AT136">
        <v>1</v>
      </c>
      <c r="AU136" t="s">
        <v>61</v>
      </c>
      <c r="AV136">
        <v>85050</v>
      </c>
      <c r="AW136">
        <v>89030</v>
      </c>
      <c r="AX136">
        <v>91669.203999999998</v>
      </c>
      <c r="AY136">
        <v>93087.394</v>
      </c>
      <c r="AZ136">
        <v>94164.18</v>
      </c>
      <c r="BA136">
        <v>96798.05</v>
      </c>
      <c r="BB136">
        <v>100000</v>
      </c>
      <c r="BC136">
        <v>100000</v>
      </c>
      <c r="BD136">
        <v>101589.726</v>
      </c>
      <c r="BE136">
        <v>106295.712</v>
      </c>
      <c r="BF136">
        <v>110193.28</v>
      </c>
      <c r="BG136">
        <v>119645.424</v>
      </c>
      <c r="BH136">
        <v>127698</v>
      </c>
      <c r="BI136">
        <v>137713.79399999999</v>
      </c>
      <c r="BJ136">
        <v>139806</v>
      </c>
      <c r="BK136">
        <v>150000</v>
      </c>
      <c r="BL136">
        <v>161820.22</v>
      </c>
      <c r="BM136">
        <v>190199.99999999991</v>
      </c>
      <c r="BN136">
        <v>213800</v>
      </c>
      <c r="BO136">
        <v>259913.9999999998</v>
      </c>
      <c r="BP136">
        <v>440000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 x14ac:dyDescent="0.35">
      <c r="A137">
        <v>329300</v>
      </c>
      <c r="B137" t="s">
        <v>388</v>
      </c>
      <c r="C137" t="s">
        <v>389</v>
      </c>
      <c r="D137" s="1">
        <v>45752</v>
      </c>
      <c r="E137">
        <v>53850</v>
      </c>
      <c r="F137">
        <v>171</v>
      </c>
      <c r="G137" t="s">
        <v>70</v>
      </c>
      <c r="H137" t="s">
        <v>48</v>
      </c>
      <c r="I137" t="s">
        <v>49</v>
      </c>
      <c r="K137" t="s">
        <v>314</v>
      </c>
      <c r="L137">
        <v>1713305728950</v>
      </c>
      <c r="M137">
        <v>20250404</v>
      </c>
      <c r="N137" t="s">
        <v>253</v>
      </c>
      <c r="Q137" t="s">
        <v>58</v>
      </c>
      <c r="R137">
        <v>303602.48</v>
      </c>
      <c r="S137">
        <v>303602.48</v>
      </c>
      <c r="T137">
        <v>572895</v>
      </c>
      <c r="U137">
        <v>4161600723</v>
      </c>
      <c r="V137" t="s">
        <v>257</v>
      </c>
      <c r="W137" t="s">
        <v>56</v>
      </c>
      <c r="X137" t="s">
        <v>258</v>
      </c>
      <c r="Y137" t="s">
        <v>51</v>
      </c>
      <c r="Z137">
        <v>1903</v>
      </c>
      <c r="AH137">
        <v>0</v>
      </c>
      <c r="AI137">
        <v>202504</v>
      </c>
      <c r="AJ137" t="s">
        <v>63</v>
      </c>
      <c r="AK137">
        <v>0</v>
      </c>
      <c r="AL137">
        <v>1</v>
      </c>
      <c r="AM137">
        <v>572895</v>
      </c>
      <c r="AN137">
        <v>1</v>
      </c>
      <c r="AO137">
        <v>0</v>
      </c>
      <c r="AP137">
        <v>999</v>
      </c>
      <c r="AQ137">
        <v>430</v>
      </c>
      <c r="AR137">
        <v>430999</v>
      </c>
      <c r="AT137">
        <v>1</v>
      </c>
      <c r="AU137" t="s">
        <v>57</v>
      </c>
      <c r="AV137">
        <v>101552.46</v>
      </c>
      <c r="AW137">
        <v>114647.6485</v>
      </c>
      <c r="AX137">
        <v>118167.008</v>
      </c>
      <c r="AY137">
        <v>123559.05899999999</v>
      </c>
      <c r="AZ137">
        <v>128796.368</v>
      </c>
      <c r="BA137">
        <v>130000</v>
      </c>
      <c r="BB137">
        <v>135819.11300000001</v>
      </c>
      <c r="BC137">
        <v>145008.255</v>
      </c>
      <c r="BD137">
        <v>146226.546</v>
      </c>
      <c r="BE137">
        <v>148171.67300000001</v>
      </c>
      <c r="BF137">
        <v>156533.16500000001</v>
      </c>
      <c r="BG137">
        <v>167340.8915</v>
      </c>
      <c r="BH137">
        <v>179808.78</v>
      </c>
      <c r="BI137">
        <v>187222.14799999999</v>
      </c>
      <c r="BJ137">
        <v>206328.26500000001</v>
      </c>
      <c r="BK137">
        <v>220390.6225</v>
      </c>
      <c r="BL137">
        <v>239280.00000000009</v>
      </c>
      <c r="BM137">
        <v>298738.61</v>
      </c>
      <c r="BN137">
        <v>365407.64500000002</v>
      </c>
      <c r="BO137">
        <v>399465.49400000001</v>
      </c>
      <c r="BP137">
        <v>515709.15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0</v>
      </c>
      <c r="CJ137">
        <v>0</v>
      </c>
      <c r="CK137">
        <v>0</v>
      </c>
    </row>
    <row r="138" spans="1:89" x14ac:dyDescent="0.35">
      <c r="A138">
        <v>329298</v>
      </c>
      <c r="B138" t="s">
        <v>388</v>
      </c>
      <c r="C138" t="s">
        <v>389</v>
      </c>
      <c r="D138" s="1">
        <v>45752</v>
      </c>
      <c r="E138">
        <v>53850</v>
      </c>
      <c r="F138">
        <v>126</v>
      </c>
      <c r="G138" t="s">
        <v>349</v>
      </c>
      <c r="H138" t="s">
        <v>48</v>
      </c>
      <c r="I138" t="s">
        <v>49</v>
      </c>
      <c r="K138">
        <v>202504047868976</v>
      </c>
      <c r="L138">
        <v>1263300002892</v>
      </c>
      <c r="M138">
        <v>20250404</v>
      </c>
      <c r="N138" t="s">
        <v>392</v>
      </c>
      <c r="Q138" t="s">
        <v>58</v>
      </c>
      <c r="R138">
        <v>150000</v>
      </c>
      <c r="S138">
        <v>0</v>
      </c>
      <c r="T138">
        <v>4846590</v>
      </c>
      <c r="U138" t="s">
        <v>523</v>
      </c>
      <c r="V138" t="s">
        <v>524</v>
      </c>
      <c r="W138" t="s">
        <v>50</v>
      </c>
      <c r="Y138" t="s">
        <v>51</v>
      </c>
      <c r="Z138">
        <v>1241</v>
      </c>
      <c r="AH138">
        <v>0</v>
      </c>
      <c r="AI138">
        <v>202504</v>
      </c>
      <c r="AJ138" t="s">
        <v>168</v>
      </c>
      <c r="AK138">
        <v>1</v>
      </c>
      <c r="AL138">
        <v>1</v>
      </c>
      <c r="AO138">
        <v>0</v>
      </c>
      <c r="AP138">
        <v>999</v>
      </c>
      <c r="AQ138">
        <v>600</v>
      </c>
      <c r="AR138">
        <v>600999</v>
      </c>
      <c r="AS138" t="s">
        <v>52</v>
      </c>
      <c r="AU138" t="s">
        <v>52</v>
      </c>
      <c r="AV138">
        <v>107500</v>
      </c>
      <c r="AW138">
        <v>109625</v>
      </c>
      <c r="AX138">
        <v>110000</v>
      </c>
      <c r="AY138">
        <v>112750</v>
      </c>
      <c r="AZ138">
        <v>120738</v>
      </c>
      <c r="BA138">
        <v>129508.75</v>
      </c>
      <c r="BB138">
        <v>130380</v>
      </c>
      <c r="BC138">
        <v>133610</v>
      </c>
      <c r="BD138">
        <v>133800</v>
      </c>
      <c r="BE138">
        <v>141080</v>
      </c>
      <c r="BF138">
        <v>147500</v>
      </c>
      <c r="BG138">
        <v>155382.03049999999</v>
      </c>
      <c r="BH138">
        <v>165585.11799999999</v>
      </c>
      <c r="BI138">
        <v>166416.67000000001</v>
      </c>
      <c r="BJ138">
        <v>166416.67000000001</v>
      </c>
      <c r="BK138">
        <v>173582.95749999999</v>
      </c>
      <c r="BL138">
        <v>190388.68799999999</v>
      </c>
      <c r="BM138">
        <v>212150</v>
      </c>
      <c r="BN138">
        <v>283513.16900000011</v>
      </c>
      <c r="BO138">
        <v>415377.23</v>
      </c>
      <c r="BP138">
        <v>415377.23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 x14ac:dyDescent="0.35">
      <c r="A139">
        <v>329296</v>
      </c>
      <c r="B139" t="s">
        <v>388</v>
      </c>
      <c r="C139" t="s">
        <v>389</v>
      </c>
      <c r="D139" s="1">
        <v>45752</v>
      </c>
      <c r="E139">
        <v>53850</v>
      </c>
      <c r="F139">
        <v>116</v>
      </c>
      <c r="G139" t="s">
        <v>259</v>
      </c>
      <c r="H139" t="s">
        <v>48</v>
      </c>
      <c r="I139" t="s">
        <v>49</v>
      </c>
      <c r="K139" t="s">
        <v>314</v>
      </c>
      <c r="L139">
        <v>1093306674353</v>
      </c>
      <c r="M139">
        <v>20250404</v>
      </c>
      <c r="N139" t="s">
        <v>262</v>
      </c>
      <c r="Q139" t="s">
        <v>58</v>
      </c>
      <c r="R139">
        <v>131630</v>
      </c>
      <c r="S139">
        <v>0</v>
      </c>
      <c r="T139">
        <v>4916449</v>
      </c>
      <c r="U139">
        <v>8176830720</v>
      </c>
      <c r="V139" t="s">
        <v>525</v>
      </c>
      <c r="W139" t="s">
        <v>56</v>
      </c>
      <c r="X139" t="s">
        <v>238</v>
      </c>
      <c r="Y139" t="s">
        <v>51</v>
      </c>
      <c r="Z139">
        <v>1903</v>
      </c>
      <c r="AH139">
        <v>0</v>
      </c>
      <c r="AI139">
        <v>202504</v>
      </c>
      <c r="AJ139" t="s">
        <v>63</v>
      </c>
      <c r="AK139">
        <v>0</v>
      </c>
      <c r="AL139">
        <v>1</v>
      </c>
      <c r="AO139">
        <v>1</v>
      </c>
      <c r="AP139">
        <v>451</v>
      </c>
      <c r="AQ139">
        <v>430</v>
      </c>
      <c r="AR139">
        <v>430451</v>
      </c>
      <c r="AS139" t="s">
        <v>61</v>
      </c>
      <c r="AU139" t="s">
        <v>61</v>
      </c>
      <c r="AV139">
        <v>85050</v>
      </c>
      <c r="AW139">
        <v>89030</v>
      </c>
      <c r="AX139">
        <v>91669.203999999998</v>
      </c>
      <c r="AY139">
        <v>93087.394</v>
      </c>
      <c r="AZ139">
        <v>94164.18</v>
      </c>
      <c r="BA139">
        <v>96798.05</v>
      </c>
      <c r="BB139">
        <v>100000</v>
      </c>
      <c r="BC139">
        <v>100000</v>
      </c>
      <c r="BD139">
        <v>101589.726</v>
      </c>
      <c r="BE139">
        <v>106295.712</v>
      </c>
      <c r="BF139">
        <v>110193.28</v>
      </c>
      <c r="BG139">
        <v>119645.424</v>
      </c>
      <c r="BH139">
        <v>127698</v>
      </c>
      <c r="BI139">
        <v>137713.79399999999</v>
      </c>
      <c r="BJ139">
        <v>139806</v>
      </c>
      <c r="BK139">
        <v>150000</v>
      </c>
      <c r="BL139">
        <v>161820.22</v>
      </c>
      <c r="BM139">
        <v>190199.99999999991</v>
      </c>
      <c r="BN139">
        <v>213800</v>
      </c>
      <c r="BO139">
        <v>259913.9999999998</v>
      </c>
      <c r="BP139">
        <v>440000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 x14ac:dyDescent="0.35">
      <c r="A140">
        <v>329289</v>
      </c>
      <c r="B140" t="s">
        <v>388</v>
      </c>
      <c r="C140" t="s">
        <v>389</v>
      </c>
      <c r="D140" s="1">
        <v>45752</v>
      </c>
      <c r="E140">
        <v>53850</v>
      </c>
      <c r="F140">
        <v>128</v>
      </c>
      <c r="G140" t="s">
        <v>274</v>
      </c>
      <c r="H140" t="s">
        <v>48</v>
      </c>
      <c r="I140" t="s">
        <v>49</v>
      </c>
      <c r="K140" t="s">
        <v>314</v>
      </c>
      <c r="L140">
        <v>1283300001665</v>
      </c>
      <c r="M140">
        <v>20250404</v>
      </c>
      <c r="N140" t="s">
        <v>262</v>
      </c>
      <c r="Q140" t="s">
        <v>58</v>
      </c>
      <c r="R140">
        <v>105722.96</v>
      </c>
      <c r="S140">
        <v>3030</v>
      </c>
      <c r="T140">
        <v>4254896</v>
      </c>
      <c r="U140">
        <v>6234730726</v>
      </c>
      <c r="V140" t="s">
        <v>410</v>
      </c>
      <c r="W140" t="s">
        <v>56</v>
      </c>
      <c r="X140" t="s">
        <v>411</v>
      </c>
      <c r="Y140" t="s">
        <v>51</v>
      </c>
      <c r="Z140">
        <v>1919</v>
      </c>
      <c r="AH140">
        <v>0</v>
      </c>
      <c r="AI140">
        <v>202504</v>
      </c>
      <c r="AJ140" t="s">
        <v>63</v>
      </c>
      <c r="AK140">
        <v>0</v>
      </c>
      <c r="AL140">
        <v>1</v>
      </c>
      <c r="AO140">
        <v>1</v>
      </c>
      <c r="AP140">
        <v>999</v>
      </c>
      <c r="AQ140">
        <v>430</v>
      </c>
      <c r="AR140">
        <v>430999</v>
      </c>
      <c r="AT140">
        <v>1</v>
      </c>
      <c r="AU140" t="s">
        <v>57</v>
      </c>
      <c r="AV140">
        <v>101552.46</v>
      </c>
      <c r="AW140">
        <v>114647.6485</v>
      </c>
      <c r="AX140">
        <v>118167.008</v>
      </c>
      <c r="AY140">
        <v>123559.05899999999</v>
      </c>
      <c r="AZ140">
        <v>128796.368</v>
      </c>
      <c r="BA140">
        <v>130000</v>
      </c>
      <c r="BB140">
        <v>135819.11300000001</v>
      </c>
      <c r="BC140">
        <v>145008.255</v>
      </c>
      <c r="BD140">
        <v>146226.546</v>
      </c>
      <c r="BE140">
        <v>148171.67300000001</v>
      </c>
      <c r="BF140">
        <v>156533.16500000001</v>
      </c>
      <c r="BG140">
        <v>167340.8915</v>
      </c>
      <c r="BH140">
        <v>179808.78</v>
      </c>
      <c r="BI140">
        <v>187222.14799999999</v>
      </c>
      <c r="BJ140">
        <v>206328.26500000001</v>
      </c>
      <c r="BK140">
        <v>220390.6225</v>
      </c>
      <c r="BL140">
        <v>239280.00000000009</v>
      </c>
      <c r="BM140">
        <v>298738.61</v>
      </c>
      <c r="BN140">
        <v>365407.64500000002</v>
      </c>
      <c r="BO140">
        <v>399465.49400000001</v>
      </c>
      <c r="BP140">
        <v>515709.15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 x14ac:dyDescent="0.35">
      <c r="A141">
        <v>329284</v>
      </c>
      <c r="B141" t="s">
        <v>388</v>
      </c>
      <c r="C141" t="s">
        <v>389</v>
      </c>
      <c r="D141" s="1">
        <v>45752</v>
      </c>
      <c r="E141">
        <v>53850</v>
      </c>
      <c r="F141">
        <v>171</v>
      </c>
      <c r="G141" t="s">
        <v>70</v>
      </c>
      <c r="H141" t="s">
        <v>48</v>
      </c>
      <c r="I141" t="s">
        <v>49</v>
      </c>
      <c r="K141" t="s">
        <v>314</v>
      </c>
      <c r="L141">
        <v>1713302214147</v>
      </c>
      <c r="M141">
        <v>20250404</v>
      </c>
      <c r="N141" t="s">
        <v>253</v>
      </c>
      <c r="Q141" t="s">
        <v>58</v>
      </c>
      <c r="R141">
        <v>123439.35</v>
      </c>
      <c r="S141">
        <v>123439.35</v>
      </c>
      <c r="T141">
        <v>4199319</v>
      </c>
      <c r="U141">
        <v>6037810725</v>
      </c>
      <c r="V141" t="s">
        <v>317</v>
      </c>
      <c r="W141" t="s">
        <v>56</v>
      </c>
      <c r="X141" t="s">
        <v>258</v>
      </c>
      <c r="Y141" t="s">
        <v>51</v>
      </c>
      <c r="Z141">
        <v>1903</v>
      </c>
      <c r="AH141">
        <v>0</v>
      </c>
      <c r="AI141">
        <v>202504</v>
      </c>
      <c r="AJ141" t="s">
        <v>63</v>
      </c>
      <c r="AK141">
        <v>0</v>
      </c>
      <c r="AL141">
        <v>1</v>
      </c>
      <c r="AM141">
        <v>4199319</v>
      </c>
      <c r="AN141">
        <v>1</v>
      </c>
      <c r="AO141">
        <v>0</v>
      </c>
      <c r="AP141">
        <v>999</v>
      </c>
      <c r="AQ141">
        <v>430</v>
      </c>
      <c r="AR141">
        <v>430999</v>
      </c>
      <c r="AT141">
        <v>1</v>
      </c>
      <c r="AU141" t="s">
        <v>57</v>
      </c>
      <c r="AV141">
        <v>101552.46</v>
      </c>
      <c r="AW141">
        <v>114647.6485</v>
      </c>
      <c r="AX141">
        <v>118167.008</v>
      </c>
      <c r="AY141">
        <v>123559.05899999999</v>
      </c>
      <c r="AZ141">
        <v>128796.368</v>
      </c>
      <c r="BA141">
        <v>130000</v>
      </c>
      <c r="BB141">
        <v>135819.11300000001</v>
      </c>
      <c r="BC141">
        <v>145008.255</v>
      </c>
      <c r="BD141">
        <v>146226.546</v>
      </c>
      <c r="BE141">
        <v>148171.67300000001</v>
      </c>
      <c r="BF141">
        <v>156533.16500000001</v>
      </c>
      <c r="BG141">
        <v>167340.8915</v>
      </c>
      <c r="BH141">
        <v>179808.78</v>
      </c>
      <c r="BI141">
        <v>187222.14799999999</v>
      </c>
      <c r="BJ141">
        <v>206328.26500000001</v>
      </c>
      <c r="BK141">
        <v>220390.6225</v>
      </c>
      <c r="BL141">
        <v>239280.00000000009</v>
      </c>
      <c r="BM141">
        <v>298738.61</v>
      </c>
      <c r="BN141">
        <v>365407.64500000002</v>
      </c>
      <c r="BO141">
        <v>399465.49400000001</v>
      </c>
      <c r="BP141">
        <v>515709.15</v>
      </c>
      <c r="BQ141">
        <v>1</v>
      </c>
      <c r="BR141">
        <v>1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 x14ac:dyDescent="0.35">
      <c r="A142">
        <v>329270</v>
      </c>
      <c r="B142" t="s">
        <v>388</v>
      </c>
      <c r="C142" t="s">
        <v>389</v>
      </c>
      <c r="D142" s="1">
        <v>45752</v>
      </c>
      <c r="E142">
        <v>53850</v>
      </c>
      <c r="F142">
        <v>126</v>
      </c>
      <c r="G142" t="s">
        <v>349</v>
      </c>
      <c r="H142" t="s">
        <v>48</v>
      </c>
      <c r="I142" t="s">
        <v>49</v>
      </c>
      <c r="K142">
        <v>202504047868976</v>
      </c>
      <c r="L142">
        <v>1263300002892</v>
      </c>
      <c r="M142">
        <v>20250404</v>
      </c>
      <c r="N142" t="s">
        <v>392</v>
      </c>
      <c r="Q142" t="s">
        <v>58</v>
      </c>
      <c r="R142">
        <v>150000</v>
      </c>
      <c r="S142">
        <v>0</v>
      </c>
      <c r="T142">
        <v>4846586</v>
      </c>
      <c r="U142" t="s">
        <v>526</v>
      </c>
      <c r="V142" t="s">
        <v>527</v>
      </c>
      <c r="W142" t="s">
        <v>50</v>
      </c>
      <c r="Y142" t="s">
        <v>51</v>
      </c>
      <c r="Z142">
        <v>1241</v>
      </c>
      <c r="AH142">
        <v>0</v>
      </c>
      <c r="AI142">
        <v>202504</v>
      </c>
      <c r="AJ142" t="s">
        <v>168</v>
      </c>
      <c r="AK142">
        <v>1</v>
      </c>
      <c r="AL142">
        <v>1</v>
      </c>
      <c r="AO142">
        <v>0</v>
      </c>
      <c r="AP142">
        <v>999</v>
      </c>
      <c r="AQ142">
        <v>600</v>
      </c>
      <c r="AR142">
        <v>600999</v>
      </c>
      <c r="AS142" t="s">
        <v>52</v>
      </c>
      <c r="AU142" t="s">
        <v>52</v>
      </c>
      <c r="AV142">
        <v>107500</v>
      </c>
      <c r="AW142">
        <v>109625</v>
      </c>
      <c r="AX142">
        <v>110000</v>
      </c>
      <c r="AY142">
        <v>112750</v>
      </c>
      <c r="AZ142">
        <v>120738</v>
      </c>
      <c r="BA142">
        <v>129508.75</v>
      </c>
      <c r="BB142">
        <v>130380</v>
      </c>
      <c r="BC142">
        <v>133610</v>
      </c>
      <c r="BD142">
        <v>133800</v>
      </c>
      <c r="BE142">
        <v>141080</v>
      </c>
      <c r="BF142">
        <v>147500</v>
      </c>
      <c r="BG142">
        <v>155382.03049999999</v>
      </c>
      <c r="BH142">
        <v>165585.11799999999</v>
      </c>
      <c r="BI142">
        <v>166416.67000000001</v>
      </c>
      <c r="BJ142">
        <v>166416.67000000001</v>
      </c>
      <c r="BK142">
        <v>173582.95749999999</v>
      </c>
      <c r="BL142">
        <v>190388.68799999999</v>
      </c>
      <c r="BM142">
        <v>212150</v>
      </c>
      <c r="BN142">
        <v>283513.16900000011</v>
      </c>
      <c r="BO142">
        <v>415377.23</v>
      </c>
      <c r="BP142">
        <v>415377.23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 x14ac:dyDescent="0.35">
      <c r="A143">
        <v>329267</v>
      </c>
      <c r="B143" t="s">
        <v>388</v>
      </c>
      <c r="C143" t="s">
        <v>389</v>
      </c>
      <c r="D143" s="1">
        <v>45752</v>
      </c>
      <c r="E143">
        <v>53850</v>
      </c>
      <c r="F143">
        <v>175</v>
      </c>
      <c r="G143" t="s">
        <v>65</v>
      </c>
      <c r="H143" t="s">
        <v>48</v>
      </c>
      <c r="I143" t="s">
        <v>49</v>
      </c>
      <c r="K143" t="s">
        <v>314</v>
      </c>
      <c r="L143">
        <v>1753302201452</v>
      </c>
      <c r="M143">
        <v>20250404</v>
      </c>
      <c r="N143" t="s">
        <v>262</v>
      </c>
      <c r="Q143" t="s">
        <v>58</v>
      </c>
      <c r="R143">
        <v>102859</v>
      </c>
      <c r="S143">
        <v>1600</v>
      </c>
      <c r="T143">
        <v>4329968</v>
      </c>
      <c r="U143">
        <v>1135000774</v>
      </c>
      <c r="V143" t="s">
        <v>528</v>
      </c>
      <c r="W143" t="s">
        <v>529</v>
      </c>
      <c r="X143" t="s">
        <v>530</v>
      </c>
      <c r="Y143" t="s">
        <v>51</v>
      </c>
      <c r="Z143">
        <v>1110</v>
      </c>
      <c r="AH143">
        <v>0</v>
      </c>
      <c r="AI143">
        <v>202504</v>
      </c>
      <c r="AJ143" t="s">
        <v>54</v>
      </c>
      <c r="AK143">
        <v>0</v>
      </c>
      <c r="AL143">
        <v>1</v>
      </c>
      <c r="AM143">
        <v>4329968</v>
      </c>
      <c r="AN143">
        <v>1</v>
      </c>
      <c r="AO143">
        <v>1</v>
      </c>
      <c r="AP143">
        <v>999</v>
      </c>
      <c r="AQ143">
        <v>280</v>
      </c>
      <c r="AR143">
        <v>280999</v>
      </c>
      <c r="AT143">
        <v>1</v>
      </c>
      <c r="AU143" t="s">
        <v>272</v>
      </c>
      <c r="AV143">
        <v>98000</v>
      </c>
      <c r="AW143">
        <v>98368.7</v>
      </c>
      <c r="AX143">
        <v>98737.4</v>
      </c>
      <c r="AY143">
        <v>99106.1</v>
      </c>
      <c r="AZ143">
        <v>99955</v>
      </c>
      <c r="BA143">
        <v>101044</v>
      </c>
      <c r="BB143">
        <v>102133</v>
      </c>
      <c r="BC143">
        <v>103273.1</v>
      </c>
      <c r="BD143">
        <v>104515.4</v>
      </c>
      <c r="BE143">
        <v>105757.7</v>
      </c>
      <c r="BF143">
        <v>107000</v>
      </c>
      <c r="BG143">
        <v>109400</v>
      </c>
      <c r="BH143">
        <v>111800</v>
      </c>
      <c r="BI143">
        <v>114200</v>
      </c>
      <c r="BJ143">
        <v>118800</v>
      </c>
      <c r="BK143">
        <v>124500</v>
      </c>
      <c r="BL143">
        <v>130200</v>
      </c>
      <c r="BM143">
        <v>151054.99999999991</v>
      </c>
      <c r="BN143">
        <v>202220.00000000009</v>
      </c>
      <c r="BO143">
        <v>253384.99999999991</v>
      </c>
      <c r="BP143">
        <v>304550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 x14ac:dyDescent="0.35">
      <c r="A144">
        <v>329240</v>
      </c>
      <c r="B144" t="s">
        <v>388</v>
      </c>
      <c r="C144" t="s">
        <v>389</v>
      </c>
      <c r="D144" s="1">
        <v>45751</v>
      </c>
      <c r="E144">
        <v>53850</v>
      </c>
      <c r="F144">
        <v>102</v>
      </c>
      <c r="G144" t="s">
        <v>55</v>
      </c>
      <c r="H144" t="s">
        <v>48</v>
      </c>
      <c r="I144" t="s">
        <v>49</v>
      </c>
      <c r="K144">
        <v>202504037865978</v>
      </c>
      <c r="L144">
        <v>1023308726262</v>
      </c>
      <c r="M144">
        <v>20250403</v>
      </c>
      <c r="N144" t="s">
        <v>417</v>
      </c>
      <c r="Q144" t="s">
        <v>58</v>
      </c>
      <c r="R144">
        <v>570000</v>
      </c>
      <c r="S144">
        <v>0</v>
      </c>
      <c r="T144">
        <v>4978870</v>
      </c>
      <c r="U144">
        <v>8663550724</v>
      </c>
      <c r="V144" t="s">
        <v>531</v>
      </c>
      <c r="W144" t="s">
        <v>56</v>
      </c>
      <c r="X144" t="s">
        <v>447</v>
      </c>
      <c r="Y144" t="s">
        <v>51</v>
      </c>
      <c r="Z144">
        <v>1203</v>
      </c>
      <c r="AH144">
        <v>0</v>
      </c>
      <c r="AI144">
        <v>202504</v>
      </c>
      <c r="AJ144" t="s">
        <v>168</v>
      </c>
      <c r="AK144">
        <v>1</v>
      </c>
      <c r="AL144">
        <v>1</v>
      </c>
      <c r="AO144">
        <v>0</v>
      </c>
      <c r="AP144">
        <v>999</v>
      </c>
      <c r="AQ144">
        <v>430</v>
      </c>
      <c r="AR144">
        <v>430999</v>
      </c>
      <c r="AT144">
        <v>1</v>
      </c>
      <c r="AU144" t="s">
        <v>57</v>
      </c>
      <c r="AV144">
        <v>101552.46</v>
      </c>
      <c r="AW144">
        <v>114647.6485</v>
      </c>
      <c r="AX144">
        <v>118167.008</v>
      </c>
      <c r="AY144">
        <v>123559.05899999999</v>
      </c>
      <c r="AZ144">
        <v>128796.368</v>
      </c>
      <c r="BA144">
        <v>130000</v>
      </c>
      <c r="BB144">
        <v>135819.11300000001</v>
      </c>
      <c r="BC144">
        <v>145008.255</v>
      </c>
      <c r="BD144">
        <v>146226.546</v>
      </c>
      <c r="BE144">
        <v>148171.67300000001</v>
      </c>
      <c r="BF144">
        <v>156533.16500000001</v>
      </c>
      <c r="BG144">
        <v>167340.8915</v>
      </c>
      <c r="BH144">
        <v>179808.78</v>
      </c>
      <c r="BI144">
        <v>187222.14799999999</v>
      </c>
      <c r="BJ144">
        <v>206328.26500000001</v>
      </c>
      <c r="BK144">
        <v>220390.6225</v>
      </c>
      <c r="BL144">
        <v>239280.00000000009</v>
      </c>
      <c r="BM144">
        <v>298738.61</v>
      </c>
      <c r="BN144">
        <v>365407.64500000002</v>
      </c>
      <c r="BO144">
        <v>399465.49400000001</v>
      </c>
      <c r="BP144">
        <v>515709.15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</row>
    <row r="145" spans="1:89" x14ac:dyDescent="0.35">
      <c r="A145">
        <v>329239</v>
      </c>
      <c r="B145" t="s">
        <v>388</v>
      </c>
      <c r="C145" t="s">
        <v>389</v>
      </c>
      <c r="D145" s="1">
        <v>45751</v>
      </c>
      <c r="E145">
        <v>53850</v>
      </c>
      <c r="F145">
        <v>102</v>
      </c>
      <c r="G145" t="s">
        <v>55</v>
      </c>
      <c r="H145" t="s">
        <v>48</v>
      </c>
      <c r="I145" t="s">
        <v>49</v>
      </c>
      <c r="K145">
        <v>202504037865974</v>
      </c>
      <c r="L145">
        <v>2263300012122</v>
      </c>
      <c r="M145">
        <v>20250403</v>
      </c>
      <c r="N145" t="s">
        <v>400</v>
      </c>
      <c r="Q145" t="s">
        <v>58</v>
      </c>
      <c r="R145">
        <v>102000</v>
      </c>
      <c r="S145">
        <v>0</v>
      </c>
      <c r="T145">
        <v>4171923</v>
      </c>
      <c r="U145" t="s">
        <v>532</v>
      </c>
      <c r="V145" t="s">
        <v>533</v>
      </c>
      <c r="W145" t="s">
        <v>50</v>
      </c>
      <c r="Y145" t="s">
        <v>51</v>
      </c>
      <c r="Z145">
        <v>1267</v>
      </c>
      <c r="AH145">
        <v>0</v>
      </c>
      <c r="AI145">
        <v>202504</v>
      </c>
      <c r="AJ145" t="s">
        <v>168</v>
      </c>
      <c r="AK145">
        <v>1</v>
      </c>
      <c r="AL145">
        <v>1</v>
      </c>
      <c r="AO145">
        <v>0</v>
      </c>
      <c r="AP145">
        <v>999</v>
      </c>
      <c r="AQ145">
        <v>600</v>
      </c>
      <c r="AR145">
        <v>600999</v>
      </c>
      <c r="AS145" t="s">
        <v>52</v>
      </c>
      <c r="AU145" t="s">
        <v>52</v>
      </c>
      <c r="AV145">
        <v>107500</v>
      </c>
      <c r="AW145">
        <v>109625</v>
      </c>
      <c r="AX145">
        <v>110000</v>
      </c>
      <c r="AY145">
        <v>112750</v>
      </c>
      <c r="AZ145">
        <v>120738</v>
      </c>
      <c r="BA145">
        <v>129508.75</v>
      </c>
      <c r="BB145">
        <v>130380</v>
      </c>
      <c r="BC145">
        <v>133610</v>
      </c>
      <c r="BD145">
        <v>133800</v>
      </c>
      <c r="BE145">
        <v>141080</v>
      </c>
      <c r="BF145">
        <v>147500</v>
      </c>
      <c r="BG145">
        <v>155382.03049999999</v>
      </c>
      <c r="BH145">
        <v>165585.11799999999</v>
      </c>
      <c r="BI145">
        <v>166416.67000000001</v>
      </c>
      <c r="BJ145">
        <v>166416.67000000001</v>
      </c>
      <c r="BK145">
        <v>173582.95749999999</v>
      </c>
      <c r="BL145">
        <v>190388.68799999999</v>
      </c>
      <c r="BM145">
        <v>212150</v>
      </c>
      <c r="BN145">
        <v>283513.16900000011</v>
      </c>
      <c r="BO145">
        <v>415377.23</v>
      </c>
      <c r="BP145">
        <v>415377.23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 x14ac:dyDescent="0.35">
      <c r="A146">
        <v>329238</v>
      </c>
      <c r="B146" t="s">
        <v>388</v>
      </c>
      <c r="C146" t="s">
        <v>389</v>
      </c>
      <c r="D146" s="1">
        <v>45751</v>
      </c>
      <c r="E146">
        <v>53850</v>
      </c>
      <c r="F146">
        <v>102</v>
      </c>
      <c r="G146" t="s">
        <v>55</v>
      </c>
      <c r="H146" t="s">
        <v>48</v>
      </c>
      <c r="I146" t="s">
        <v>49</v>
      </c>
      <c r="K146">
        <v>202504037865974</v>
      </c>
      <c r="L146">
        <v>2263300012122</v>
      </c>
      <c r="M146">
        <v>20250403</v>
      </c>
      <c r="N146" t="s">
        <v>400</v>
      </c>
      <c r="Q146" t="s">
        <v>58</v>
      </c>
      <c r="R146">
        <v>102000</v>
      </c>
      <c r="S146">
        <v>0</v>
      </c>
      <c r="T146">
        <v>4173227</v>
      </c>
      <c r="U146" t="s">
        <v>534</v>
      </c>
      <c r="V146" t="s">
        <v>535</v>
      </c>
      <c r="W146" t="s">
        <v>50</v>
      </c>
      <c r="Y146" t="s">
        <v>51</v>
      </c>
      <c r="Z146">
        <v>902</v>
      </c>
      <c r="AH146">
        <v>0</v>
      </c>
      <c r="AI146">
        <v>202504</v>
      </c>
      <c r="AJ146" t="s">
        <v>168</v>
      </c>
      <c r="AK146">
        <v>1</v>
      </c>
      <c r="AL146">
        <v>1</v>
      </c>
      <c r="AO146">
        <v>0</v>
      </c>
      <c r="AP146">
        <v>999</v>
      </c>
      <c r="AQ146">
        <v>600</v>
      </c>
      <c r="AR146">
        <v>600999</v>
      </c>
      <c r="AS146" t="s">
        <v>52</v>
      </c>
      <c r="AU146" t="s">
        <v>52</v>
      </c>
      <c r="AV146">
        <v>107500</v>
      </c>
      <c r="AW146">
        <v>109625</v>
      </c>
      <c r="AX146">
        <v>110000</v>
      </c>
      <c r="AY146">
        <v>112750</v>
      </c>
      <c r="AZ146">
        <v>120738</v>
      </c>
      <c r="BA146">
        <v>129508.75</v>
      </c>
      <c r="BB146">
        <v>130380</v>
      </c>
      <c r="BC146">
        <v>133610</v>
      </c>
      <c r="BD146">
        <v>133800</v>
      </c>
      <c r="BE146">
        <v>141080</v>
      </c>
      <c r="BF146">
        <v>147500</v>
      </c>
      <c r="BG146">
        <v>155382.03049999999</v>
      </c>
      <c r="BH146">
        <v>165585.11799999999</v>
      </c>
      <c r="BI146">
        <v>166416.67000000001</v>
      </c>
      <c r="BJ146">
        <v>166416.67000000001</v>
      </c>
      <c r="BK146">
        <v>173582.95749999999</v>
      </c>
      <c r="BL146">
        <v>190388.68799999999</v>
      </c>
      <c r="BM146">
        <v>212150</v>
      </c>
      <c r="BN146">
        <v>283513.16900000011</v>
      </c>
      <c r="BO146">
        <v>415377.23</v>
      </c>
      <c r="BP146">
        <v>415377.23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 x14ac:dyDescent="0.35">
      <c r="A147">
        <v>329231</v>
      </c>
      <c r="B147" t="s">
        <v>388</v>
      </c>
      <c r="C147" t="s">
        <v>389</v>
      </c>
      <c r="D147" s="1">
        <v>45751</v>
      </c>
      <c r="E147">
        <v>53850</v>
      </c>
      <c r="F147">
        <v>181</v>
      </c>
      <c r="G147" t="s">
        <v>277</v>
      </c>
      <c r="H147" t="s">
        <v>48</v>
      </c>
      <c r="I147" t="s">
        <v>49</v>
      </c>
      <c r="K147">
        <v>202504037866232</v>
      </c>
      <c r="L147">
        <v>1813301028560</v>
      </c>
      <c r="M147">
        <v>20250403</v>
      </c>
      <c r="N147" t="s">
        <v>265</v>
      </c>
      <c r="Q147" t="s">
        <v>58</v>
      </c>
      <c r="R147">
        <v>47000</v>
      </c>
      <c r="S147">
        <v>47000</v>
      </c>
      <c r="T147">
        <v>454268</v>
      </c>
      <c r="U147" t="s">
        <v>318</v>
      </c>
      <c r="V147" t="s">
        <v>319</v>
      </c>
      <c r="W147" t="s">
        <v>66</v>
      </c>
      <c r="X147" t="s">
        <v>80</v>
      </c>
      <c r="Y147" t="s">
        <v>51</v>
      </c>
      <c r="Z147">
        <v>727</v>
      </c>
      <c r="AH147">
        <v>0</v>
      </c>
      <c r="AI147">
        <v>202504</v>
      </c>
      <c r="AJ147" t="s">
        <v>63</v>
      </c>
      <c r="AK147">
        <v>0</v>
      </c>
      <c r="AL147">
        <v>1</v>
      </c>
      <c r="AM147">
        <v>454268</v>
      </c>
      <c r="AN147">
        <v>1</v>
      </c>
      <c r="AO147">
        <v>0</v>
      </c>
      <c r="AP147">
        <v>477</v>
      </c>
      <c r="AQ147">
        <v>615</v>
      </c>
      <c r="AR147">
        <v>615477</v>
      </c>
      <c r="AS147" t="s">
        <v>270</v>
      </c>
      <c r="AU147" t="s">
        <v>270</v>
      </c>
      <c r="AV147">
        <v>37615</v>
      </c>
      <c r="AW147">
        <v>38129.25</v>
      </c>
      <c r="AX147">
        <v>38617</v>
      </c>
      <c r="AY147">
        <v>38985.5</v>
      </c>
      <c r="AZ147">
        <v>39276</v>
      </c>
      <c r="BA147">
        <v>39430</v>
      </c>
      <c r="BB147">
        <v>39650</v>
      </c>
      <c r="BC147">
        <v>39925</v>
      </c>
      <c r="BD147">
        <v>40004</v>
      </c>
      <c r="BE147">
        <v>40009.5</v>
      </c>
      <c r="BF147">
        <v>40505</v>
      </c>
      <c r="BG147">
        <v>41243.25</v>
      </c>
      <c r="BH147">
        <v>43919</v>
      </c>
      <c r="BI147">
        <v>46035.25</v>
      </c>
      <c r="BJ147">
        <v>46659.5</v>
      </c>
      <c r="BK147">
        <v>48836.25</v>
      </c>
      <c r="BL147">
        <v>52876.000000000007</v>
      </c>
      <c r="BM147">
        <v>56324.25</v>
      </c>
      <c r="BN147">
        <v>59434.5</v>
      </c>
      <c r="BO147">
        <v>63675.005999999987</v>
      </c>
      <c r="BP147">
        <v>68166.679999999993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 x14ac:dyDescent="0.35">
      <c r="A148">
        <v>329226</v>
      </c>
      <c r="B148" t="s">
        <v>388</v>
      </c>
      <c r="C148" t="s">
        <v>389</v>
      </c>
      <c r="D148" s="1">
        <v>45750</v>
      </c>
      <c r="E148">
        <v>53850</v>
      </c>
      <c r="F148">
        <v>171</v>
      </c>
      <c r="G148" t="s">
        <v>70</v>
      </c>
      <c r="H148" t="s">
        <v>48</v>
      </c>
      <c r="I148" t="s">
        <v>49</v>
      </c>
      <c r="K148" t="s">
        <v>320</v>
      </c>
      <c r="L148">
        <v>1023308717844</v>
      </c>
      <c r="M148">
        <v>20250402</v>
      </c>
      <c r="N148" t="s">
        <v>262</v>
      </c>
      <c r="Q148" t="s">
        <v>58</v>
      </c>
      <c r="R148">
        <v>163950</v>
      </c>
      <c r="S148">
        <v>3950</v>
      </c>
      <c r="T148">
        <v>4201270</v>
      </c>
      <c r="U148" t="s">
        <v>536</v>
      </c>
      <c r="V148" t="s">
        <v>537</v>
      </c>
      <c r="W148" t="s">
        <v>66</v>
      </c>
      <c r="X148" t="s">
        <v>241</v>
      </c>
      <c r="Y148" t="s">
        <v>51</v>
      </c>
      <c r="Z148">
        <v>1335</v>
      </c>
      <c r="AH148">
        <v>0</v>
      </c>
      <c r="AI148">
        <v>202504</v>
      </c>
      <c r="AJ148" t="s">
        <v>63</v>
      </c>
      <c r="AK148">
        <v>0</v>
      </c>
      <c r="AL148">
        <v>1</v>
      </c>
      <c r="AM148">
        <v>4201270</v>
      </c>
      <c r="AN148">
        <v>1</v>
      </c>
      <c r="AO148">
        <v>1</v>
      </c>
      <c r="AP148">
        <v>999</v>
      </c>
      <c r="AQ148">
        <v>615</v>
      </c>
      <c r="AR148">
        <v>615999</v>
      </c>
      <c r="AT148">
        <v>1</v>
      </c>
      <c r="AU148" t="s">
        <v>61</v>
      </c>
      <c r="AV148">
        <v>85050</v>
      </c>
      <c r="AW148">
        <v>89030</v>
      </c>
      <c r="AX148">
        <v>91669.203999999998</v>
      </c>
      <c r="AY148">
        <v>93087.394</v>
      </c>
      <c r="AZ148">
        <v>94164.18</v>
      </c>
      <c r="BA148">
        <v>96798.05</v>
      </c>
      <c r="BB148">
        <v>100000</v>
      </c>
      <c r="BC148">
        <v>100000</v>
      </c>
      <c r="BD148">
        <v>101589.726</v>
      </c>
      <c r="BE148">
        <v>106295.712</v>
      </c>
      <c r="BF148">
        <v>110193.28</v>
      </c>
      <c r="BG148">
        <v>119645.424</v>
      </c>
      <c r="BH148">
        <v>127698</v>
      </c>
      <c r="BI148">
        <v>137713.79399999999</v>
      </c>
      <c r="BJ148">
        <v>139806</v>
      </c>
      <c r="BK148">
        <v>150000</v>
      </c>
      <c r="BL148">
        <v>161820.22</v>
      </c>
      <c r="BM148">
        <v>190199.99999999991</v>
      </c>
      <c r="BN148">
        <v>213800</v>
      </c>
      <c r="BO148">
        <v>259913.9999999998</v>
      </c>
      <c r="BP148">
        <v>440000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0</v>
      </c>
      <c r="CI148">
        <v>0</v>
      </c>
      <c r="CJ148">
        <v>0</v>
      </c>
      <c r="CK148">
        <v>0</v>
      </c>
    </row>
    <row r="149" spans="1:89" x14ac:dyDescent="0.35">
      <c r="A149">
        <v>329223</v>
      </c>
      <c r="B149" t="s">
        <v>388</v>
      </c>
      <c r="C149" t="s">
        <v>389</v>
      </c>
      <c r="D149" s="1">
        <v>45750</v>
      </c>
      <c r="E149">
        <v>53850</v>
      </c>
      <c r="F149">
        <v>193</v>
      </c>
      <c r="G149" t="s">
        <v>348</v>
      </c>
      <c r="H149" t="s">
        <v>48</v>
      </c>
      <c r="I149" t="s">
        <v>49</v>
      </c>
      <c r="K149">
        <v>202504027863342</v>
      </c>
      <c r="L149">
        <v>1933300023909</v>
      </c>
      <c r="M149">
        <v>20250402</v>
      </c>
      <c r="N149" t="s">
        <v>400</v>
      </c>
      <c r="Q149" t="s">
        <v>58</v>
      </c>
      <c r="R149">
        <v>115000</v>
      </c>
      <c r="S149">
        <v>0</v>
      </c>
      <c r="T149">
        <v>3051208</v>
      </c>
      <c r="U149" t="s">
        <v>538</v>
      </c>
      <c r="V149" t="s">
        <v>539</v>
      </c>
      <c r="W149" t="s">
        <v>50</v>
      </c>
      <c r="Y149" t="s">
        <v>51</v>
      </c>
      <c r="Z149">
        <v>838</v>
      </c>
      <c r="AH149">
        <v>0</v>
      </c>
      <c r="AI149">
        <v>202504</v>
      </c>
      <c r="AJ149" t="s">
        <v>168</v>
      </c>
      <c r="AK149">
        <v>1</v>
      </c>
      <c r="AL149">
        <v>1</v>
      </c>
      <c r="AO149">
        <v>0</v>
      </c>
      <c r="AP149">
        <v>999</v>
      </c>
      <c r="AQ149">
        <v>600</v>
      </c>
      <c r="AR149">
        <v>600999</v>
      </c>
      <c r="AS149" t="s">
        <v>52</v>
      </c>
      <c r="AU149" t="s">
        <v>52</v>
      </c>
      <c r="AV149">
        <v>107500</v>
      </c>
      <c r="AW149">
        <v>109625</v>
      </c>
      <c r="AX149">
        <v>110000</v>
      </c>
      <c r="AY149">
        <v>112750</v>
      </c>
      <c r="AZ149">
        <v>120738</v>
      </c>
      <c r="BA149">
        <v>129508.75</v>
      </c>
      <c r="BB149">
        <v>130380</v>
      </c>
      <c r="BC149">
        <v>133610</v>
      </c>
      <c r="BD149">
        <v>133800</v>
      </c>
      <c r="BE149">
        <v>141080</v>
      </c>
      <c r="BF149">
        <v>147500</v>
      </c>
      <c r="BG149">
        <v>155382.03049999999</v>
      </c>
      <c r="BH149">
        <v>165585.11799999999</v>
      </c>
      <c r="BI149">
        <v>166416.67000000001</v>
      </c>
      <c r="BJ149">
        <v>166416.67000000001</v>
      </c>
      <c r="BK149">
        <v>173582.95749999999</v>
      </c>
      <c r="BL149">
        <v>190388.68799999999</v>
      </c>
      <c r="BM149">
        <v>212150</v>
      </c>
      <c r="BN149">
        <v>283513.16900000011</v>
      </c>
      <c r="BO149">
        <v>415377.23</v>
      </c>
      <c r="BP149">
        <v>415377.23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 x14ac:dyDescent="0.35">
      <c r="A150">
        <v>329218</v>
      </c>
      <c r="B150" t="s">
        <v>388</v>
      </c>
      <c r="C150" t="s">
        <v>389</v>
      </c>
      <c r="D150" s="1">
        <v>45750</v>
      </c>
      <c r="E150">
        <v>53850</v>
      </c>
      <c r="F150">
        <v>108</v>
      </c>
      <c r="G150" t="s">
        <v>89</v>
      </c>
      <c r="H150" t="s">
        <v>48</v>
      </c>
      <c r="I150" t="s">
        <v>49</v>
      </c>
      <c r="K150" t="s">
        <v>320</v>
      </c>
      <c r="L150">
        <v>1083306291105</v>
      </c>
      <c r="M150">
        <v>20250402</v>
      </c>
      <c r="N150" t="s">
        <v>262</v>
      </c>
      <c r="Q150" t="s">
        <v>58</v>
      </c>
      <c r="R150">
        <v>169780.22</v>
      </c>
      <c r="S150">
        <v>150188.15</v>
      </c>
      <c r="T150">
        <v>4227057</v>
      </c>
      <c r="U150">
        <v>4874620729</v>
      </c>
      <c r="V150" t="s">
        <v>263</v>
      </c>
      <c r="W150" t="s">
        <v>56</v>
      </c>
      <c r="X150" t="s">
        <v>264</v>
      </c>
      <c r="Y150" t="s">
        <v>51</v>
      </c>
      <c r="Z150">
        <v>1058</v>
      </c>
      <c r="AH150">
        <v>0</v>
      </c>
      <c r="AI150">
        <v>202504</v>
      </c>
      <c r="AJ150" t="s">
        <v>63</v>
      </c>
      <c r="AK150">
        <v>0</v>
      </c>
      <c r="AL150">
        <v>1</v>
      </c>
      <c r="AM150">
        <v>4227057</v>
      </c>
      <c r="AN150">
        <v>1</v>
      </c>
      <c r="AO150">
        <v>1</v>
      </c>
      <c r="AP150">
        <v>999</v>
      </c>
      <c r="AQ150">
        <v>430</v>
      </c>
      <c r="AR150">
        <v>430999</v>
      </c>
      <c r="AT150">
        <v>1</v>
      </c>
      <c r="AU150" t="s">
        <v>57</v>
      </c>
      <c r="AV150">
        <v>101552.46</v>
      </c>
      <c r="AW150">
        <v>114647.6485</v>
      </c>
      <c r="AX150">
        <v>118167.008</v>
      </c>
      <c r="AY150">
        <v>123559.05899999999</v>
      </c>
      <c r="AZ150">
        <v>128796.368</v>
      </c>
      <c r="BA150">
        <v>130000</v>
      </c>
      <c r="BB150">
        <v>135819.11300000001</v>
      </c>
      <c r="BC150">
        <v>145008.255</v>
      </c>
      <c r="BD150">
        <v>146226.546</v>
      </c>
      <c r="BE150">
        <v>148171.67300000001</v>
      </c>
      <c r="BF150">
        <v>156533.16500000001</v>
      </c>
      <c r="BG150">
        <v>167340.8915</v>
      </c>
      <c r="BH150">
        <v>179808.78</v>
      </c>
      <c r="BI150">
        <v>187222.14799999999</v>
      </c>
      <c r="BJ150">
        <v>206328.26500000001</v>
      </c>
      <c r="BK150">
        <v>220390.6225</v>
      </c>
      <c r="BL150">
        <v>239280.00000000009</v>
      </c>
      <c r="BM150">
        <v>298738.61</v>
      </c>
      <c r="BN150">
        <v>365407.64500000002</v>
      </c>
      <c r="BO150">
        <v>399465.49400000001</v>
      </c>
      <c r="BP150">
        <v>515709.15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 x14ac:dyDescent="0.35">
      <c r="A151">
        <v>329217</v>
      </c>
      <c r="B151" t="s">
        <v>388</v>
      </c>
      <c r="C151" t="s">
        <v>389</v>
      </c>
      <c r="D151" s="1">
        <v>45750</v>
      </c>
      <c r="E151">
        <v>53850</v>
      </c>
      <c r="F151">
        <v>116</v>
      </c>
      <c r="G151" t="s">
        <v>259</v>
      </c>
      <c r="H151" t="s">
        <v>48</v>
      </c>
      <c r="I151" t="s">
        <v>49</v>
      </c>
      <c r="K151">
        <v>202504027862913</v>
      </c>
      <c r="L151">
        <v>2343300010453</v>
      </c>
      <c r="M151">
        <v>20250402</v>
      </c>
      <c r="N151" t="s">
        <v>253</v>
      </c>
      <c r="Q151" t="s">
        <v>58</v>
      </c>
      <c r="R151">
        <v>145499.5</v>
      </c>
      <c r="S151">
        <v>145499.5</v>
      </c>
      <c r="T151">
        <v>4247777</v>
      </c>
      <c r="U151">
        <v>233470236</v>
      </c>
      <c r="V151" t="s">
        <v>260</v>
      </c>
      <c r="W151" t="s">
        <v>56</v>
      </c>
      <c r="X151" t="s">
        <v>72</v>
      </c>
      <c r="Y151" t="s">
        <v>51</v>
      </c>
      <c r="Z151">
        <v>1696</v>
      </c>
      <c r="AH151">
        <v>0</v>
      </c>
      <c r="AI151">
        <v>202504</v>
      </c>
      <c r="AJ151" t="s">
        <v>177</v>
      </c>
      <c r="AK151">
        <v>1</v>
      </c>
      <c r="AL151">
        <v>1</v>
      </c>
      <c r="AM151">
        <v>4247777</v>
      </c>
      <c r="AN151">
        <v>1</v>
      </c>
      <c r="AO151">
        <v>0</v>
      </c>
      <c r="AP151">
        <v>463</v>
      </c>
      <c r="AQ151">
        <v>430</v>
      </c>
      <c r="AR151">
        <v>430463</v>
      </c>
      <c r="AS151" t="s">
        <v>61</v>
      </c>
      <c r="AU151" t="s">
        <v>61</v>
      </c>
      <c r="AV151">
        <v>85050</v>
      </c>
      <c r="AW151">
        <v>89030</v>
      </c>
      <c r="AX151">
        <v>91669.203999999998</v>
      </c>
      <c r="AY151">
        <v>93087.394</v>
      </c>
      <c r="AZ151">
        <v>94164.18</v>
      </c>
      <c r="BA151">
        <v>96798.05</v>
      </c>
      <c r="BB151">
        <v>100000</v>
      </c>
      <c r="BC151">
        <v>100000</v>
      </c>
      <c r="BD151">
        <v>101589.726</v>
      </c>
      <c r="BE151">
        <v>106295.712</v>
      </c>
      <c r="BF151">
        <v>110193.28</v>
      </c>
      <c r="BG151">
        <v>119645.424</v>
      </c>
      <c r="BH151">
        <v>127698</v>
      </c>
      <c r="BI151">
        <v>137713.79399999999</v>
      </c>
      <c r="BJ151">
        <v>139806</v>
      </c>
      <c r="BK151">
        <v>150000</v>
      </c>
      <c r="BL151">
        <v>161820.22</v>
      </c>
      <c r="BM151">
        <v>190199.99999999991</v>
      </c>
      <c r="BN151">
        <v>213800</v>
      </c>
      <c r="BO151">
        <v>259913.9999999998</v>
      </c>
      <c r="BP151">
        <v>440000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 x14ac:dyDescent="0.35">
      <c r="A152">
        <v>329208</v>
      </c>
      <c r="B152" t="s">
        <v>388</v>
      </c>
      <c r="C152" t="s">
        <v>389</v>
      </c>
      <c r="D152" s="1">
        <v>45750</v>
      </c>
      <c r="E152">
        <v>53850</v>
      </c>
      <c r="F152">
        <v>193</v>
      </c>
      <c r="G152" t="s">
        <v>348</v>
      </c>
      <c r="H152" t="s">
        <v>48</v>
      </c>
      <c r="I152" t="s">
        <v>49</v>
      </c>
      <c r="K152">
        <v>202504027863342</v>
      </c>
      <c r="L152">
        <v>1933300023909</v>
      </c>
      <c r="M152">
        <v>20250402</v>
      </c>
      <c r="N152" t="s">
        <v>400</v>
      </c>
      <c r="Q152" t="s">
        <v>58</v>
      </c>
      <c r="R152">
        <v>115000</v>
      </c>
      <c r="S152">
        <v>0</v>
      </c>
      <c r="T152">
        <v>3051199</v>
      </c>
      <c r="U152" t="s">
        <v>540</v>
      </c>
      <c r="V152" t="s">
        <v>541</v>
      </c>
      <c r="W152" t="s">
        <v>50</v>
      </c>
      <c r="Y152" t="s">
        <v>51</v>
      </c>
      <c r="Z152">
        <v>838</v>
      </c>
      <c r="AH152">
        <v>0</v>
      </c>
      <c r="AI152">
        <v>202504</v>
      </c>
      <c r="AJ152" t="s">
        <v>168</v>
      </c>
      <c r="AK152">
        <v>1</v>
      </c>
      <c r="AL152">
        <v>1</v>
      </c>
      <c r="AO152">
        <v>0</v>
      </c>
      <c r="AP152">
        <v>999</v>
      </c>
      <c r="AQ152">
        <v>600</v>
      </c>
      <c r="AR152">
        <v>600999</v>
      </c>
      <c r="AS152" t="s">
        <v>52</v>
      </c>
      <c r="AU152" t="s">
        <v>52</v>
      </c>
      <c r="AV152">
        <v>107500</v>
      </c>
      <c r="AW152">
        <v>109625</v>
      </c>
      <c r="AX152">
        <v>110000</v>
      </c>
      <c r="AY152">
        <v>112750</v>
      </c>
      <c r="AZ152">
        <v>120738</v>
      </c>
      <c r="BA152">
        <v>129508.75</v>
      </c>
      <c r="BB152">
        <v>130380</v>
      </c>
      <c r="BC152">
        <v>133610</v>
      </c>
      <c r="BD152">
        <v>133800</v>
      </c>
      <c r="BE152">
        <v>141080</v>
      </c>
      <c r="BF152">
        <v>147500</v>
      </c>
      <c r="BG152">
        <v>155382.03049999999</v>
      </c>
      <c r="BH152">
        <v>165585.11799999999</v>
      </c>
      <c r="BI152">
        <v>166416.67000000001</v>
      </c>
      <c r="BJ152">
        <v>166416.67000000001</v>
      </c>
      <c r="BK152">
        <v>173582.95749999999</v>
      </c>
      <c r="BL152">
        <v>190388.68799999999</v>
      </c>
      <c r="BM152">
        <v>212150</v>
      </c>
      <c r="BN152">
        <v>283513.16900000011</v>
      </c>
      <c r="BO152">
        <v>415377.23</v>
      </c>
      <c r="BP152">
        <v>415377.23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 x14ac:dyDescent="0.35">
      <c r="A153">
        <v>329207</v>
      </c>
      <c r="B153" t="s">
        <v>388</v>
      </c>
      <c r="C153" t="s">
        <v>389</v>
      </c>
      <c r="D153" s="1">
        <v>45750</v>
      </c>
      <c r="E153">
        <v>53850</v>
      </c>
      <c r="F153">
        <v>171</v>
      </c>
      <c r="G153" t="s">
        <v>70</v>
      </c>
      <c r="H153" t="s">
        <v>48</v>
      </c>
      <c r="I153" t="s">
        <v>49</v>
      </c>
      <c r="K153" t="s">
        <v>320</v>
      </c>
      <c r="L153">
        <v>1713305728950</v>
      </c>
      <c r="M153">
        <v>20250402</v>
      </c>
      <c r="N153" t="s">
        <v>253</v>
      </c>
      <c r="Q153" t="s">
        <v>58</v>
      </c>
      <c r="R153">
        <v>369028.3</v>
      </c>
      <c r="S153">
        <v>369028.3</v>
      </c>
      <c r="T153">
        <v>572895</v>
      </c>
      <c r="U153">
        <v>4161600723</v>
      </c>
      <c r="V153" t="s">
        <v>257</v>
      </c>
      <c r="W153" t="s">
        <v>56</v>
      </c>
      <c r="X153" t="s">
        <v>258</v>
      </c>
      <c r="Y153" t="s">
        <v>51</v>
      </c>
      <c r="Z153">
        <v>1903</v>
      </c>
      <c r="AH153">
        <v>0</v>
      </c>
      <c r="AI153">
        <v>202504</v>
      </c>
      <c r="AJ153" t="s">
        <v>63</v>
      </c>
      <c r="AK153">
        <v>0</v>
      </c>
      <c r="AL153">
        <v>1</v>
      </c>
      <c r="AM153">
        <v>572895</v>
      </c>
      <c r="AN153">
        <v>1</v>
      </c>
      <c r="AO153">
        <v>0</v>
      </c>
      <c r="AP153">
        <v>999</v>
      </c>
      <c r="AQ153">
        <v>430</v>
      </c>
      <c r="AR153">
        <v>430999</v>
      </c>
      <c r="AT153">
        <v>1</v>
      </c>
      <c r="AU153" t="s">
        <v>57</v>
      </c>
      <c r="AV153">
        <v>101552.46</v>
      </c>
      <c r="AW153">
        <v>114647.6485</v>
      </c>
      <c r="AX153">
        <v>118167.008</v>
      </c>
      <c r="AY153">
        <v>123559.05899999999</v>
      </c>
      <c r="AZ153">
        <v>128796.368</v>
      </c>
      <c r="BA153">
        <v>130000</v>
      </c>
      <c r="BB153">
        <v>135819.11300000001</v>
      </c>
      <c r="BC153">
        <v>145008.255</v>
      </c>
      <c r="BD153">
        <v>146226.546</v>
      </c>
      <c r="BE153">
        <v>148171.67300000001</v>
      </c>
      <c r="BF153">
        <v>156533.16500000001</v>
      </c>
      <c r="BG153">
        <v>167340.8915</v>
      </c>
      <c r="BH153">
        <v>179808.78</v>
      </c>
      <c r="BI153">
        <v>187222.14799999999</v>
      </c>
      <c r="BJ153">
        <v>206328.26500000001</v>
      </c>
      <c r="BK153">
        <v>220390.6225</v>
      </c>
      <c r="BL153">
        <v>239280.00000000009</v>
      </c>
      <c r="BM153">
        <v>298738.61</v>
      </c>
      <c r="BN153">
        <v>365407.64500000002</v>
      </c>
      <c r="BO153">
        <v>399465.49400000001</v>
      </c>
      <c r="BP153">
        <v>515709.15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0</v>
      </c>
      <c r="CK153">
        <v>0</v>
      </c>
    </row>
    <row r="154" spans="1:89" x14ac:dyDescent="0.35">
      <c r="A154">
        <v>329205</v>
      </c>
      <c r="B154" t="s">
        <v>388</v>
      </c>
      <c r="C154" t="s">
        <v>389</v>
      </c>
      <c r="D154" s="1">
        <v>45750</v>
      </c>
      <c r="E154">
        <v>53850</v>
      </c>
      <c r="F154">
        <v>171</v>
      </c>
      <c r="G154" t="s">
        <v>70</v>
      </c>
      <c r="H154" t="s">
        <v>48</v>
      </c>
      <c r="I154" t="s">
        <v>49</v>
      </c>
      <c r="K154" t="s">
        <v>320</v>
      </c>
      <c r="L154">
        <v>1713302214147</v>
      </c>
      <c r="M154">
        <v>20250402</v>
      </c>
      <c r="N154" t="s">
        <v>253</v>
      </c>
      <c r="Q154" t="s">
        <v>58</v>
      </c>
      <c r="R154">
        <v>145260</v>
      </c>
      <c r="S154">
        <v>145260</v>
      </c>
      <c r="T154">
        <v>4199319</v>
      </c>
      <c r="U154">
        <v>6037810725</v>
      </c>
      <c r="V154" t="s">
        <v>317</v>
      </c>
      <c r="W154" t="s">
        <v>56</v>
      </c>
      <c r="X154" t="s">
        <v>258</v>
      </c>
      <c r="Y154" t="s">
        <v>51</v>
      </c>
      <c r="Z154">
        <v>1903</v>
      </c>
      <c r="AH154">
        <v>0</v>
      </c>
      <c r="AI154">
        <v>202504</v>
      </c>
      <c r="AJ154" t="s">
        <v>63</v>
      </c>
      <c r="AK154">
        <v>0</v>
      </c>
      <c r="AL154">
        <v>1</v>
      </c>
      <c r="AM154">
        <v>4199319</v>
      </c>
      <c r="AN154">
        <v>1</v>
      </c>
      <c r="AO154">
        <v>0</v>
      </c>
      <c r="AP154">
        <v>999</v>
      </c>
      <c r="AQ154">
        <v>430</v>
      </c>
      <c r="AR154">
        <v>430999</v>
      </c>
      <c r="AT154">
        <v>1</v>
      </c>
      <c r="AU154" t="s">
        <v>57</v>
      </c>
      <c r="AV154">
        <v>101552.46</v>
      </c>
      <c r="AW154">
        <v>114647.6485</v>
      </c>
      <c r="AX154">
        <v>118167.008</v>
      </c>
      <c r="AY154">
        <v>123559.05899999999</v>
      </c>
      <c r="AZ154">
        <v>128796.368</v>
      </c>
      <c r="BA154">
        <v>130000</v>
      </c>
      <c r="BB154">
        <v>135819.11300000001</v>
      </c>
      <c r="BC154">
        <v>145008.255</v>
      </c>
      <c r="BD154">
        <v>146226.546</v>
      </c>
      <c r="BE154">
        <v>148171.67300000001</v>
      </c>
      <c r="BF154">
        <v>156533.16500000001</v>
      </c>
      <c r="BG154">
        <v>167340.8915</v>
      </c>
      <c r="BH154">
        <v>179808.78</v>
      </c>
      <c r="BI154">
        <v>187222.14799999999</v>
      </c>
      <c r="BJ154">
        <v>206328.26500000001</v>
      </c>
      <c r="BK154">
        <v>220390.6225</v>
      </c>
      <c r="BL154">
        <v>239280.00000000009</v>
      </c>
      <c r="BM154">
        <v>298738.61</v>
      </c>
      <c r="BN154">
        <v>365407.64500000002</v>
      </c>
      <c r="BO154">
        <v>399465.49400000001</v>
      </c>
      <c r="BP154">
        <v>515709.15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 x14ac:dyDescent="0.35">
      <c r="A155">
        <v>329181</v>
      </c>
      <c r="B155" t="s">
        <v>388</v>
      </c>
      <c r="C155" t="s">
        <v>389</v>
      </c>
      <c r="D155" s="1">
        <v>45749</v>
      </c>
      <c r="E155">
        <v>53850</v>
      </c>
      <c r="F155">
        <v>171</v>
      </c>
      <c r="G155" t="s">
        <v>70</v>
      </c>
      <c r="H155" t="s">
        <v>48</v>
      </c>
      <c r="I155" t="s">
        <v>49</v>
      </c>
      <c r="K155" t="s">
        <v>322</v>
      </c>
      <c r="L155">
        <v>1713305728950</v>
      </c>
      <c r="M155">
        <v>20250401</v>
      </c>
      <c r="N155" t="s">
        <v>262</v>
      </c>
      <c r="Q155" t="s">
        <v>58</v>
      </c>
      <c r="R155">
        <v>224517.49</v>
      </c>
      <c r="S155">
        <v>218237.49</v>
      </c>
      <c r="T155">
        <v>572895</v>
      </c>
      <c r="U155">
        <v>4161600723</v>
      </c>
      <c r="V155" t="s">
        <v>257</v>
      </c>
      <c r="W155" t="s">
        <v>56</v>
      </c>
      <c r="X155" t="s">
        <v>258</v>
      </c>
      <c r="Y155" t="s">
        <v>51</v>
      </c>
      <c r="Z155">
        <v>1903</v>
      </c>
      <c r="AH155">
        <v>0</v>
      </c>
      <c r="AI155">
        <v>202504</v>
      </c>
      <c r="AJ155" t="s">
        <v>63</v>
      </c>
      <c r="AK155">
        <v>0</v>
      </c>
      <c r="AL155">
        <v>1</v>
      </c>
      <c r="AM155">
        <v>572895</v>
      </c>
      <c r="AN155">
        <v>1</v>
      </c>
      <c r="AO155">
        <v>1</v>
      </c>
      <c r="AP155">
        <v>999</v>
      </c>
      <c r="AQ155">
        <v>430</v>
      </c>
      <c r="AR155">
        <v>430999</v>
      </c>
      <c r="AT155">
        <v>1</v>
      </c>
      <c r="AU155" t="s">
        <v>57</v>
      </c>
      <c r="AV155">
        <v>101552.46</v>
      </c>
      <c r="AW155">
        <v>114647.6485</v>
      </c>
      <c r="AX155">
        <v>118167.008</v>
      </c>
      <c r="AY155">
        <v>123559.05899999999</v>
      </c>
      <c r="AZ155">
        <v>128796.368</v>
      </c>
      <c r="BA155">
        <v>130000</v>
      </c>
      <c r="BB155">
        <v>135819.11300000001</v>
      </c>
      <c r="BC155">
        <v>145008.255</v>
      </c>
      <c r="BD155">
        <v>146226.546</v>
      </c>
      <c r="BE155">
        <v>148171.67300000001</v>
      </c>
      <c r="BF155">
        <v>156533.16500000001</v>
      </c>
      <c r="BG155">
        <v>167340.8915</v>
      </c>
      <c r="BH155">
        <v>179808.78</v>
      </c>
      <c r="BI155">
        <v>187222.14799999999</v>
      </c>
      <c r="BJ155">
        <v>206328.26500000001</v>
      </c>
      <c r="BK155">
        <v>220390.6225</v>
      </c>
      <c r="BL155">
        <v>239280.00000000009</v>
      </c>
      <c r="BM155">
        <v>298738.61</v>
      </c>
      <c r="BN155">
        <v>365407.64500000002</v>
      </c>
      <c r="BO155">
        <v>399465.49400000001</v>
      </c>
      <c r="BP155">
        <v>515709.15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 x14ac:dyDescent="0.35">
      <c r="A156">
        <v>329180</v>
      </c>
      <c r="B156" t="s">
        <v>388</v>
      </c>
      <c r="C156" t="s">
        <v>389</v>
      </c>
      <c r="D156" s="1">
        <v>45749</v>
      </c>
      <c r="E156">
        <v>53850</v>
      </c>
      <c r="F156">
        <v>102</v>
      </c>
      <c r="G156" t="s">
        <v>55</v>
      </c>
      <c r="H156" t="s">
        <v>48</v>
      </c>
      <c r="I156" t="s">
        <v>49</v>
      </c>
      <c r="K156" t="s">
        <v>322</v>
      </c>
      <c r="L156">
        <v>1023308722503</v>
      </c>
      <c r="M156">
        <v>20250401</v>
      </c>
      <c r="N156" t="s">
        <v>253</v>
      </c>
      <c r="Q156" t="s">
        <v>58</v>
      </c>
      <c r="R156">
        <v>58490</v>
      </c>
      <c r="S156">
        <v>58490</v>
      </c>
      <c r="T156">
        <v>413650</v>
      </c>
      <c r="U156">
        <v>3657230722</v>
      </c>
      <c r="V156" t="s">
        <v>254</v>
      </c>
      <c r="W156" t="s">
        <v>64</v>
      </c>
      <c r="X156" t="s">
        <v>255</v>
      </c>
      <c r="Y156" t="s">
        <v>51</v>
      </c>
      <c r="Z156">
        <v>1306</v>
      </c>
      <c r="AH156">
        <v>0</v>
      </c>
      <c r="AI156">
        <v>202504</v>
      </c>
      <c r="AJ156" t="s">
        <v>63</v>
      </c>
      <c r="AK156">
        <v>0</v>
      </c>
      <c r="AL156">
        <v>1</v>
      </c>
      <c r="AM156">
        <v>413650</v>
      </c>
      <c r="AN156">
        <v>1</v>
      </c>
      <c r="AO156">
        <v>0</v>
      </c>
      <c r="AP156">
        <v>920</v>
      </c>
      <c r="AQ156">
        <v>492</v>
      </c>
      <c r="AR156">
        <v>492920</v>
      </c>
      <c r="AS156" t="s">
        <v>234</v>
      </c>
      <c r="AU156" t="s">
        <v>234</v>
      </c>
      <c r="AV156">
        <v>55650</v>
      </c>
      <c r="AW156">
        <v>56502</v>
      </c>
      <c r="AX156">
        <v>57354</v>
      </c>
      <c r="AY156">
        <v>58206</v>
      </c>
      <c r="AZ156">
        <v>59098</v>
      </c>
      <c r="BA156">
        <v>60010</v>
      </c>
      <c r="BB156">
        <v>60922</v>
      </c>
      <c r="BC156">
        <v>61827</v>
      </c>
      <c r="BD156">
        <v>62718</v>
      </c>
      <c r="BE156">
        <v>63609</v>
      </c>
      <c r="BF156">
        <v>64500</v>
      </c>
      <c r="BG156">
        <v>66288</v>
      </c>
      <c r="BH156">
        <v>68076</v>
      </c>
      <c r="BI156">
        <v>69864</v>
      </c>
      <c r="BJ156">
        <v>70482</v>
      </c>
      <c r="BK156">
        <v>70515</v>
      </c>
      <c r="BL156">
        <v>70548</v>
      </c>
      <c r="BM156">
        <v>70590</v>
      </c>
      <c r="BN156">
        <v>70650</v>
      </c>
      <c r="BO156">
        <v>70710</v>
      </c>
      <c r="BP156">
        <v>70770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 x14ac:dyDescent="0.35">
      <c r="A157">
        <v>329177</v>
      </c>
      <c r="B157" t="s">
        <v>388</v>
      </c>
      <c r="C157" t="s">
        <v>389</v>
      </c>
      <c r="D157" s="1">
        <v>45749</v>
      </c>
      <c r="E157">
        <v>53850</v>
      </c>
      <c r="F157">
        <v>108</v>
      </c>
      <c r="G157" t="s">
        <v>89</v>
      </c>
      <c r="H157" t="s">
        <v>48</v>
      </c>
      <c r="I157" t="s">
        <v>49</v>
      </c>
      <c r="K157" t="s">
        <v>322</v>
      </c>
      <c r="L157">
        <v>1083300011180</v>
      </c>
      <c r="M157">
        <v>20250401</v>
      </c>
      <c r="N157" t="s">
        <v>262</v>
      </c>
      <c r="Q157" t="s">
        <v>58</v>
      </c>
      <c r="R157">
        <v>281108.96999999997</v>
      </c>
      <c r="S157">
        <v>0</v>
      </c>
      <c r="T157">
        <v>1118</v>
      </c>
      <c r="U157">
        <v>3246700722</v>
      </c>
      <c r="V157" t="s">
        <v>416</v>
      </c>
      <c r="W157" t="s">
        <v>56</v>
      </c>
      <c r="X157" t="s">
        <v>411</v>
      </c>
      <c r="Y157" t="s">
        <v>51</v>
      </c>
      <c r="Z157">
        <v>1058</v>
      </c>
      <c r="AH157">
        <v>0</v>
      </c>
      <c r="AI157">
        <v>202504</v>
      </c>
      <c r="AJ157" t="s">
        <v>54</v>
      </c>
      <c r="AK157">
        <v>0</v>
      </c>
      <c r="AL157">
        <v>1</v>
      </c>
      <c r="AO157">
        <v>1</v>
      </c>
      <c r="AP157">
        <v>999</v>
      </c>
      <c r="AQ157">
        <v>430</v>
      </c>
      <c r="AR157">
        <v>430999</v>
      </c>
      <c r="AT157">
        <v>1</v>
      </c>
      <c r="AU157" t="s">
        <v>57</v>
      </c>
      <c r="AV157">
        <v>101552.46</v>
      </c>
      <c r="AW157">
        <v>114647.6485</v>
      </c>
      <c r="AX157">
        <v>118167.008</v>
      </c>
      <c r="AY157">
        <v>123559.05899999999</v>
      </c>
      <c r="AZ157">
        <v>128796.368</v>
      </c>
      <c r="BA157">
        <v>130000</v>
      </c>
      <c r="BB157">
        <v>135819.11300000001</v>
      </c>
      <c r="BC157">
        <v>145008.255</v>
      </c>
      <c r="BD157">
        <v>146226.546</v>
      </c>
      <c r="BE157">
        <v>148171.67300000001</v>
      </c>
      <c r="BF157">
        <v>156533.16500000001</v>
      </c>
      <c r="BG157">
        <v>167340.8915</v>
      </c>
      <c r="BH157">
        <v>179808.78</v>
      </c>
      <c r="BI157">
        <v>187222.14799999999</v>
      </c>
      <c r="BJ157">
        <v>206328.26500000001</v>
      </c>
      <c r="BK157">
        <v>220390.6225</v>
      </c>
      <c r="BL157">
        <v>239280.00000000009</v>
      </c>
      <c r="BM157">
        <v>298738.61</v>
      </c>
      <c r="BN157">
        <v>365407.64500000002</v>
      </c>
      <c r="BO157">
        <v>399465.49400000001</v>
      </c>
      <c r="BP157">
        <v>515709.15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0</v>
      </c>
      <c r="CI157">
        <v>0</v>
      </c>
      <c r="CJ157">
        <v>0</v>
      </c>
      <c r="CK157">
        <v>0</v>
      </c>
    </row>
    <row r="158" spans="1:89" x14ac:dyDescent="0.35">
      <c r="A158">
        <v>329176</v>
      </c>
      <c r="B158" t="s">
        <v>388</v>
      </c>
      <c r="C158" t="s">
        <v>389</v>
      </c>
      <c r="D158" s="1">
        <v>45749</v>
      </c>
      <c r="E158">
        <v>53850</v>
      </c>
      <c r="F158">
        <v>175</v>
      </c>
      <c r="G158" t="s">
        <v>65</v>
      </c>
      <c r="H158" t="s">
        <v>48</v>
      </c>
      <c r="I158" t="s">
        <v>49</v>
      </c>
      <c r="K158">
        <v>202504017860265</v>
      </c>
      <c r="L158">
        <v>1753305678410</v>
      </c>
      <c r="M158">
        <v>20250401</v>
      </c>
      <c r="N158" t="s">
        <v>400</v>
      </c>
      <c r="Q158" t="s">
        <v>58</v>
      </c>
      <c r="R158">
        <v>160000</v>
      </c>
      <c r="S158">
        <v>0</v>
      </c>
      <c r="T158">
        <v>567841</v>
      </c>
      <c r="U158" t="s">
        <v>542</v>
      </c>
      <c r="V158" t="s">
        <v>543</v>
      </c>
      <c r="W158" t="s">
        <v>50</v>
      </c>
      <c r="Y158" t="s">
        <v>51</v>
      </c>
      <c r="Z158">
        <v>1585</v>
      </c>
      <c r="AH158">
        <v>0</v>
      </c>
      <c r="AI158">
        <v>202504</v>
      </c>
      <c r="AJ158" t="s">
        <v>168</v>
      </c>
      <c r="AK158">
        <v>1</v>
      </c>
      <c r="AL158">
        <v>1</v>
      </c>
      <c r="AO158">
        <v>0</v>
      </c>
      <c r="AP158">
        <v>999</v>
      </c>
      <c r="AQ158">
        <v>600</v>
      </c>
      <c r="AR158">
        <v>600999</v>
      </c>
      <c r="AS158" t="s">
        <v>52</v>
      </c>
      <c r="AU158" t="s">
        <v>52</v>
      </c>
      <c r="AV158">
        <v>107500</v>
      </c>
      <c r="AW158">
        <v>109625</v>
      </c>
      <c r="AX158">
        <v>110000</v>
      </c>
      <c r="AY158">
        <v>112750</v>
      </c>
      <c r="AZ158">
        <v>120738</v>
      </c>
      <c r="BA158">
        <v>129508.75</v>
      </c>
      <c r="BB158">
        <v>130380</v>
      </c>
      <c r="BC158">
        <v>133610</v>
      </c>
      <c r="BD158">
        <v>133800</v>
      </c>
      <c r="BE158">
        <v>141080</v>
      </c>
      <c r="BF158">
        <v>147500</v>
      </c>
      <c r="BG158">
        <v>155382.03049999999</v>
      </c>
      <c r="BH158">
        <v>165585.11799999999</v>
      </c>
      <c r="BI158">
        <v>166416.67000000001</v>
      </c>
      <c r="BJ158">
        <v>166416.67000000001</v>
      </c>
      <c r="BK158">
        <v>173582.95749999999</v>
      </c>
      <c r="BL158">
        <v>190388.68799999999</v>
      </c>
      <c r="BM158">
        <v>212150</v>
      </c>
      <c r="BN158">
        <v>283513.16900000011</v>
      </c>
      <c r="BO158">
        <v>415377.23</v>
      </c>
      <c r="BP158">
        <v>415377.23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 x14ac:dyDescent="0.35">
      <c r="A159">
        <v>329165</v>
      </c>
      <c r="B159" t="s">
        <v>388</v>
      </c>
      <c r="C159" t="s">
        <v>389</v>
      </c>
      <c r="D159" s="1">
        <v>45749</v>
      </c>
      <c r="E159">
        <v>53850</v>
      </c>
      <c r="F159">
        <v>121</v>
      </c>
      <c r="G159" t="s">
        <v>71</v>
      </c>
      <c r="H159" t="s">
        <v>48</v>
      </c>
      <c r="I159" t="s">
        <v>49</v>
      </c>
      <c r="K159" t="s">
        <v>322</v>
      </c>
      <c r="L159">
        <v>1093300013190</v>
      </c>
      <c r="M159">
        <v>20250401</v>
      </c>
      <c r="N159" t="s">
        <v>262</v>
      </c>
      <c r="Q159" t="s">
        <v>58</v>
      </c>
      <c r="R159">
        <v>135956.74</v>
      </c>
      <c r="S159">
        <v>0</v>
      </c>
      <c r="T159">
        <v>1319</v>
      </c>
      <c r="U159">
        <v>257660720</v>
      </c>
      <c r="V159" t="s">
        <v>544</v>
      </c>
      <c r="W159" t="s">
        <v>56</v>
      </c>
      <c r="X159" t="s">
        <v>92</v>
      </c>
      <c r="Y159" t="s">
        <v>51</v>
      </c>
      <c r="Z159">
        <v>1696</v>
      </c>
      <c r="AH159">
        <v>0</v>
      </c>
      <c r="AI159">
        <v>202504</v>
      </c>
      <c r="AJ159" t="s">
        <v>63</v>
      </c>
      <c r="AK159">
        <v>0</v>
      </c>
      <c r="AL159">
        <v>1</v>
      </c>
      <c r="AO159">
        <v>1</v>
      </c>
      <c r="AP159">
        <v>999</v>
      </c>
      <c r="AQ159">
        <v>430</v>
      </c>
      <c r="AR159">
        <v>430999</v>
      </c>
      <c r="AT159">
        <v>1</v>
      </c>
      <c r="AU159" t="s">
        <v>57</v>
      </c>
      <c r="AV159">
        <v>101552.46</v>
      </c>
      <c r="AW159">
        <v>114647.6485</v>
      </c>
      <c r="AX159">
        <v>118167.008</v>
      </c>
      <c r="AY159">
        <v>123559.05899999999</v>
      </c>
      <c r="AZ159">
        <v>128796.368</v>
      </c>
      <c r="BA159">
        <v>130000</v>
      </c>
      <c r="BB159">
        <v>135819.11300000001</v>
      </c>
      <c r="BC159">
        <v>145008.255</v>
      </c>
      <c r="BD159">
        <v>146226.546</v>
      </c>
      <c r="BE159">
        <v>148171.67300000001</v>
      </c>
      <c r="BF159">
        <v>156533.16500000001</v>
      </c>
      <c r="BG159">
        <v>167340.8915</v>
      </c>
      <c r="BH159">
        <v>179808.78</v>
      </c>
      <c r="BI159">
        <v>187222.14799999999</v>
      </c>
      <c r="BJ159">
        <v>206328.26500000001</v>
      </c>
      <c r="BK159">
        <v>220390.6225</v>
      </c>
      <c r="BL159">
        <v>239280.00000000009</v>
      </c>
      <c r="BM159">
        <v>298738.61</v>
      </c>
      <c r="BN159">
        <v>365407.64500000002</v>
      </c>
      <c r="BO159">
        <v>399465.49400000001</v>
      </c>
      <c r="BP159">
        <v>515709.15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 x14ac:dyDescent="0.35">
      <c r="A160">
        <v>329157</v>
      </c>
      <c r="B160" t="s">
        <v>388</v>
      </c>
      <c r="C160" t="s">
        <v>389</v>
      </c>
      <c r="D160" s="1">
        <v>45749</v>
      </c>
      <c r="E160">
        <v>53850</v>
      </c>
      <c r="F160">
        <v>102</v>
      </c>
      <c r="G160" t="s">
        <v>55</v>
      </c>
      <c r="H160" t="s">
        <v>48</v>
      </c>
      <c r="I160" t="s">
        <v>49</v>
      </c>
      <c r="K160">
        <v>202504017860017</v>
      </c>
      <c r="L160">
        <v>1023306165160</v>
      </c>
      <c r="M160">
        <v>20250401</v>
      </c>
      <c r="N160" t="s">
        <v>392</v>
      </c>
      <c r="Q160" t="s">
        <v>58</v>
      </c>
      <c r="R160">
        <v>100000</v>
      </c>
      <c r="S160">
        <v>0</v>
      </c>
      <c r="T160">
        <v>616516</v>
      </c>
      <c r="U160" t="s">
        <v>545</v>
      </c>
      <c r="V160" t="s">
        <v>546</v>
      </c>
      <c r="W160" t="s">
        <v>66</v>
      </c>
      <c r="X160" t="s">
        <v>466</v>
      </c>
      <c r="Y160" t="s">
        <v>51</v>
      </c>
      <c r="Z160">
        <v>1443</v>
      </c>
      <c r="AH160">
        <v>0</v>
      </c>
      <c r="AI160">
        <v>202504</v>
      </c>
      <c r="AJ160" t="s">
        <v>63</v>
      </c>
      <c r="AK160">
        <v>0</v>
      </c>
      <c r="AL160">
        <v>1</v>
      </c>
      <c r="AO160">
        <v>0</v>
      </c>
      <c r="AP160">
        <v>999</v>
      </c>
      <c r="AQ160">
        <v>615</v>
      </c>
      <c r="AR160">
        <v>615999</v>
      </c>
      <c r="AT160">
        <v>1</v>
      </c>
      <c r="AU160" t="s">
        <v>61</v>
      </c>
      <c r="AV160">
        <v>85050</v>
      </c>
      <c r="AW160">
        <v>89030</v>
      </c>
      <c r="AX160">
        <v>91669.203999999998</v>
      </c>
      <c r="AY160">
        <v>93087.394</v>
      </c>
      <c r="AZ160">
        <v>94164.18</v>
      </c>
      <c r="BA160">
        <v>96798.05</v>
      </c>
      <c r="BB160">
        <v>100000</v>
      </c>
      <c r="BC160">
        <v>100000</v>
      </c>
      <c r="BD160">
        <v>101589.726</v>
      </c>
      <c r="BE160">
        <v>106295.712</v>
      </c>
      <c r="BF160">
        <v>110193.28</v>
      </c>
      <c r="BG160">
        <v>119645.424</v>
      </c>
      <c r="BH160">
        <v>127698</v>
      </c>
      <c r="BI160">
        <v>137713.79399999999</v>
      </c>
      <c r="BJ160">
        <v>139806</v>
      </c>
      <c r="BK160">
        <v>150000</v>
      </c>
      <c r="BL160">
        <v>161820.22</v>
      </c>
      <c r="BM160">
        <v>190199.99999999991</v>
      </c>
      <c r="BN160">
        <v>213800</v>
      </c>
      <c r="BO160">
        <v>259913.9999999998</v>
      </c>
      <c r="BP160">
        <v>440000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 x14ac:dyDescent="0.35">
      <c r="A161">
        <v>348549</v>
      </c>
      <c r="B161" t="s">
        <v>388</v>
      </c>
      <c r="C161" t="s">
        <v>389</v>
      </c>
      <c r="D161" s="1">
        <v>45808</v>
      </c>
      <c r="E161">
        <v>53850</v>
      </c>
      <c r="F161">
        <v>187</v>
      </c>
      <c r="G161" t="s">
        <v>281</v>
      </c>
      <c r="H161" t="s">
        <v>48</v>
      </c>
      <c r="I161" t="s">
        <v>49</v>
      </c>
      <c r="K161">
        <v>202505308027709</v>
      </c>
      <c r="L161">
        <v>1873300124079</v>
      </c>
      <c r="M161">
        <v>20250530</v>
      </c>
      <c r="N161" t="s">
        <v>400</v>
      </c>
      <c r="Q161" t="s">
        <v>58</v>
      </c>
      <c r="R161">
        <v>200000</v>
      </c>
      <c r="S161">
        <v>0</v>
      </c>
      <c r="T161">
        <v>4085572</v>
      </c>
      <c r="U161" t="s">
        <v>547</v>
      </c>
      <c r="V161" t="s">
        <v>548</v>
      </c>
      <c r="W161" t="s">
        <v>50</v>
      </c>
      <c r="Y161" t="s">
        <v>51</v>
      </c>
      <c r="Z161">
        <v>478</v>
      </c>
      <c r="AH161">
        <v>0</v>
      </c>
      <c r="AI161">
        <v>202505</v>
      </c>
      <c r="AK161">
        <v>1</v>
      </c>
      <c r="AL161">
        <v>1</v>
      </c>
      <c r="AO161">
        <v>0</v>
      </c>
      <c r="AP161">
        <v>999</v>
      </c>
      <c r="AQ161">
        <v>600</v>
      </c>
      <c r="AR161">
        <v>600999</v>
      </c>
      <c r="AS161" t="s">
        <v>52</v>
      </c>
      <c r="AU161" t="s">
        <v>52</v>
      </c>
      <c r="AV161">
        <v>107500</v>
      </c>
      <c r="AW161">
        <v>109625</v>
      </c>
      <c r="AX161">
        <v>110000</v>
      </c>
      <c r="AY161">
        <v>112750</v>
      </c>
      <c r="AZ161">
        <v>120738</v>
      </c>
      <c r="BA161">
        <v>129508.75</v>
      </c>
      <c r="BB161">
        <v>130380</v>
      </c>
      <c r="BC161">
        <v>133610</v>
      </c>
      <c r="BD161">
        <v>133800</v>
      </c>
      <c r="BE161">
        <v>141080</v>
      </c>
      <c r="BF161">
        <v>147500</v>
      </c>
      <c r="BG161">
        <v>155382.03049999999</v>
      </c>
      <c r="BH161">
        <v>165585.11799999999</v>
      </c>
      <c r="BI161">
        <v>166416.67000000001</v>
      </c>
      <c r="BJ161">
        <v>166416.67000000001</v>
      </c>
      <c r="BK161">
        <v>173582.95749999999</v>
      </c>
      <c r="BL161">
        <v>190388.68799999999</v>
      </c>
      <c r="BM161">
        <v>212150</v>
      </c>
      <c r="BN161">
        <v>283513.16900000011</v>
      </c>
      <c r="BO161">
        <v>415377.23</v>
      </c>
      <c r="BP161">
        <v>415377.23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0</v>
      </c>
      <c r="CI161">
        <v>0</v>
      </c>
      <c r="CJ161">
        <v>0</v>
      </c>
      <c r="CK161">
        <v>0</v>
      </c>
    </row>
    <row r="162" spans="1:89" x14ac:dyDescent="0.35">
      <c r="A162">
        <v>348546</v>
      </c>
      <c r="B162" t="s">
        <v>388</v>
      </c>
      <c r="C162" t="s">
        <v>389</v>
      </c>
      <c r="D162" s="1">
        <v>45808</v>
      </c>
      <c r="E162">
        <v>53850</v>
      </c>
      <c r="F162">
        <v>141</v>
      </c>
      <c r="G162" t="s">
        <v>75</v>
      </c>
      <c r="H162" t="s">
        <v>48</v>
      </c>
      <c r="I162" t="s">
        <v>49</v>
      </c>
      <c r="K162" t="s">
        <v>323</v>
      </c>
      <c r="L162">
        <v>1413300004393</v>
      </c>
      <c r="M162">
        <v>20250530</v>
      </c>
      <c r="N162" t="s">
        <v>262</v>
      </c>
      <c r="Q162" t="s">
        <v>58</v>
      </c>
      <c r="R162">
        <v>87236.69</v>
      </c>
      <c r="S162">
        <v>12890</v>
      </c>
      <c r="T162">
        <v>3743595</v>
      </c>
      <c r="U162">
        <v>5408440757</v>
      </c>
      <c r="V162" t="s">
        <v>326</v>
      </c>
      <c r="W162" t="s">
        <v>77</v>
      </c>
      <c r="X162" t="s">
        <v>241</v>
      </c>
      <c r="Y162" t="s">
        <v>51</v>
      </c>
      <c r="Z162">
        <v>862</v>
      </c>
      <c r="AH162">
        <v>0</v>
      </c>
      <c r="AI162">
        <v>202505</v>
      </c>
      <c r="AJ162" t="s">
        <v>168</v>
      </c>
      <c r="AK162">
        <v>1</v>
      </c>
      <c r="AL162">
        <v>1</v>
      </c>
      <c r="AM162">
        <v>3743595</v>
      </c>
      <c r="AN162">
        <v>1</v>
      </c>
      <c r="AO162">
        <v>1</v>
      </c>
      <c r="AP162">
        <v>999</v>
      </c>
      <c r="AQ162">
        <v>501</v>
      </c>
      <c r="AR162">
        <v>501999</v>
      </c>
      <c r="AT162">
        <v>1</v>
      </c>
      <c r="AU162" t="s">
        <v>61</v>
      </c>
      <c r="AV162">
        <v>85050</v>
      </c>
      <c r="AW162">
        <v>89030</v>
      </c>
      <c r="AX162">
        <v>91669.203999999998</v>
      </c>
      <c r="AY162">
        <v>93087.394</v>
      </c>
      <c r="AZ162">
        <v>94164.18</v>
      </c>
      <c r="BA162">
        <v>96798.05</v>
      </c>
      <c r="BB162">
        <v>100000</v>
      </c>
      <c r="BC162">
        <v>100000</v>
      </c>
      <c r="BD162">
        <v>101589.726</v>
      </c>
      <c r="BE162">
        <v>106295.712</v>
      </c>
      <c r="BF162">
        <v>110193.28</v>
      </c>
      <c r="BG162">
        <v>119645.424</v>
      </c>
      <c r="BH162">
        <v>127698</v>
      </c>
      <c r="BI162">
        <v>137713.79399999999</v>
      </c>
      <c r="BJ162">
        <v>139806</v>
      </c>
      <c r="BK162">
        <v>150000</v>
      </c>
      <c r="BL162">
        <v>161820.22</v>
      </c>
      <c r="BM162">
        <v>190199.99999999991</v>
      </c>
      <c r="BN162">
        <v>213800</v>
      </c>
      <c r="BO162">
        <v>259913.9999999998</v>
      </c>
      <c r="BP162">
        <v>440000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 x14ac:dyDescent="0.35">
      <c r="A163">
        <v>348545</v>
      </c>
      <c r="B163" t="s">
        <v>388</v>
      </c>
      <c r="C163" t="s">
        <v>389</v>
      </c>
      <c r="D163" s="1">
        <v>45808</v>
      </c>
      <c r="E163">
        <v>53850</v>
      </c>
      <c r="F163">
        <v>145</v>
      </c>
      <c r="G163" t="s">
        <v>549</v>
      </c>
      <c r="H163" t="s">
        <v>48</v>
      </c>
      <c r="I163" t="s">
        <v>49</v>
      </c>
      <c r="K163">
        <v>202505308027480</v>
      </c>
      <c r="L163">
        <v>1453300003755</v>
      </c>
      <c r="M163">
        <v>20250530</v>
      </c>
      <c r="N163" t="s">
        <v>400</v>
      </c>
      <c r="Q163" t="s">
        <v>58</v>
      </c>
      <c r="R163">
        <v>100000</v>
      </c>
      <c r="S163">
        <v>0</v>
      </c>
      <c r="T163">
        <v>4991602</v>
      </c>
      <c r="U163">
        <v>80153690633</v>
      </c>
      <c r="V163" t="s">
        <v>550</v>
      </c>
      <c r="W163" t="s">
        <v>66</v>
      </c>
      <c r="X163" t="s">
        <v>551</v>
      </c>
      <c r="Y163" t="s">
        <v>51</v>
      </c>
      <c r="Z163">
        <v>1222</v>
      </c>
      <c r="AH163">
        <v>0</v>
      </c>
      <c r="AI163">
        <v>202505</v>
      </c>
      <c r="AK163">
        <v>1</v>
      </c>
      <c r="AL163">
        <v>1</v>
      </c>
      <c r="AO163">
        <v>0</v>
      </c>
      <c r="AP163">
        <v>999</v>
      </c>
      <c r="AQ163">
        <v>615</v>
      </c>
      <c r="AR163">
        <v>615999</v>
      </c>
      <c r="AT163">
        <v>1</v>
      </c>
      <c r="AU163" t="s">
        <v>61</v>
      </c>
      <c r="AV163">
        <v>85050</v>
      </c>
      <c r="AW163">
        <v>89030</v>
      </c>
      <c r="AX163">
        <v>91669.203999999998</v>
      </c>
      <c r="AY163">
        <v>93087.394</v>
      </c>
      <c r="AZ163">
        <v>94164.18</v>
      </c>
      <c r="BA163">
        <v>96798.05</v>
      </c>
      <c r="BB163">
        <v>100000</v>
      </c>
      <c r="BC163">
        <v>100000</v>
      </c>
      <c r="BD163">
        <v>101589.726</v>
      </c>
      <c r="BE163">
        <v>106295.712</v>
      </c>
      <c r="BF163">
        <v>110193.28</v>
      </c>
      <c r="BG163">
        <v>119645.424</v>
      </c>
      <c r="BH163">
        <v>127698</v>
      </c>
      <c r="BI163">
        <v>137713.79399999999</v>
      </c>
      <c r="BJ163">
        <v>139806</v>
      </c>
      <c r="BK163">
        <v>150000</v>
      </c>
      <c r="BL163">
        <v>161820.22</v>
      </c>
      <c r="BM163">
        <v>190199.99999999991</v>
      </c>
      <c r="BN163">
        <v>213800</v>
      </c>
      <c r="BO163">
        <v>259913.9999999998</v>
      </c>
      <c r="BP163">
        <v>440000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 x14ac:dyDescent="0.35">
      <c r="A164">
        <v>348544</v>
      </c>
      <c r="B164" t="s">
        <v>388</v>
      </c>
      <c r="C164" t="s">
        <v>389</v>
      </c>
      <c r="D164" s="1">
        <v>45808</v>
      </c>
      <c r="E164">
        <v>53850</v>
      </c>
      <c r="F164">
        <v>267</v>
      </c>
      <c r="G164" t="s">
        <v>170</v>
      </c>
      <c r="H164" t="s">
        <v>48</v>
      </c>
      <c r="I164" t="s">
        <v>49</v>
      </c>
      <c r="K164">
        <v>202505308027801</v>
      </c>
      <c r="L164">
        <v>2673300000258</v>
      </c>
      <c r="M164">
        <v>20250530</v>
      </c>
      <c r="N164" t="s">
        <v>265</v>
      </c>
      <c r="Q164" t="s">
        <v>58</v>
      </c>
      <c r="R164">
        <v>244200</v>
      </c>
      <c r="S164">
        <v>0</v>
      </c>
      <c r="T164">
        <v>1616725</v>
      </c>
      <c r="U164">
        <v>2694030798</v>
      </c>
      <c r="V164" t="s">
        <v>296</v>
      </c>
      <c r="W164" t="s">
        <v>56</v>
      </c>
      <c r="X164" t="s">
        <v>258</v>
      </c>
      <c r="Y164" t="s">
        <v>51</v>
      </c>
      <c r="Z164">
        <v>1878</v>
      </c>
      <c r="AH164">
        <v>0</v>
      </c>
      <c r="AI164">
        <v>202505</v>
      </c>
      <c r="AJ164" t="s">
        <v>63</v>
      </c>
      <c r="AK164">
        <v>0</v>
      </c>
      <c r="AL164">
        <v>1</v>
      </c>
      <c r="AM164">
        <v>1616725</v>
      </c>
      <c r="AN164">
        <v>1</v>
      </c>
      <c r="AO164">
        <v>0</v>
      </c>
      <c r="AP164">
        <v>999</v>
      </c>
      <c r="AQ164">
        <v>430</v>
      </c>
      <c r="AR164">
        <v>430999</v>
      </c>
      <c r="AT164">
        <v>1</v>
      </c>
      <c r="AU164" t="s">
        <v>57</v>
      </c>
      <c r="AV164">
        <v>101552.46</v>
      </c>
      <c r="AW164">
        <v>114647.6485</v>
      </c>
      <c r="AX164">
        <v>118167.008</v>
      </c>
      <c r="AY164">
        <v>123559.05899999999</v>
      </c>
      <c r="AZ164">
        <v>128796.368</v>
      </c>
      <c r="BA164">
        <v>130000</v>
      </c>
      <c r="BB164">
        <v>135819.11300000001</v>
      </c>
      <c r="BC164">
        <v>145008.255</v>
      </c>
      <c r="BD164">
        <v>146226.546</v>
      </c>
      <c r="BE164">
        <v>148171.67300000001</v>
      </c>
      <c r="BF164">
        <v>156533.16500000001</v>
      </c>
      <c r="BG164">
        <v>167340.8915</v>
      </c>
      <c r="BH164">
        <v>179808.78</v>
      </c>
      <c r="BI164">
        <v>187222.14799999999</v>
      </c>
      <c r="BJ164">
        <v>206328.26500000001</v>
      </c>
      <c r="BK164">
        <v>220390.6225</v>
      </c>
      <c r="BL164">
        <v>239280.00000000009</v>
      </c>
      <c r="BM164">
        <v>298738.61</v>
      </c>
      <c r="BN164">
        <v>365407.64500000002</v>
      </c>
      <c r="BO164">
        <v>399465.49400000001</v>
      </c>
      <c r="BP164">
        <v>515709.15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0</v>
      </c>
      <c r="CI164">
        <v>0</v>
      </c>
      <c r="CJ164">
        <v>0</v>
      </c>
      <c r="CK164">
        <v>0</v>
      </c>
    </row>
    <row r="165" spans="1:89" x14ac:dyDescent="0.35">
      <c r="A165">
        <v>348543</v>
      </c>
      <c r="B165" t="s">
        <v>388</v>
      </c>
      <c r="C165" t="s">
        <v>389</v>
      </c>
      <c r="D165" s="1">
        <v>45808</v>
      </c>
      <c r="E165">
        <v>53850</v>
      </c>
      <c r="F165">
        <v>182</v>
      </c>
      <c r="G165" t="s">
        <v>284</v>
      </c>
      <c r="H165" t="s">
        <v>48</v>
      </c>
      <c r="I165" t="s">
        <v>49</v>
      </c>
      <c r="K165" t="s">
        <v>323</v>
      </c>
      <c r="L165">
        <v>1823300167815</v>
      </c>
      <c r="M165">
        <v>20250530</v>
      </c>
      <c r="N165" t="s">
        <v>262</v>
      </c>
      <c r="Q165" t="s">
        <v>58</v>
      </c>
      <c r="R165">
        <v>85050</v>
      </c>
      <c r="S165">
        <v>5650</v>
      </c>
      <c r="T165">
        <v>4113436</v>
      </c>
      <c r="U165">
        <v>2356720736</v>
      </c>
      <c r="V165" t="s">
        <v>552</v>
      </c>
      <c r="W165" t="s">
        <v>56</v>
      </c>
      <c r="X165" t="s">
        <v>553</v>
      </c>
      <c r="Y165" t="s">
        <v>51</v>
      </c>
      <c r="Z165">
        <v>1627</v>
      </c>
      <c r="AH165">
        <v>0</v>
      </c>
      <c r="AI165">
        <v>202505</v>
      </c>
      <c r="AJ165" t="s">
        <v>54</v>
      </c>
      <c r="AK165">
        <v>0</v>
      </c>
      <c r="AL165">
        <v>1</v>
      </c>
      <c r="AM165">
        <v>4113436</v>
      </c>
      <c r="AN165">
        <v>1</v>
      </c>
      <c r="AO165">
        <v>1</v>
      </c>
      <c r="AP165">
        <v>454</v>
      </c>
      <c r="AQ165">
        <v>430</v>
      </c>
      <c r="AR165">
        <v>430454</v>
      </c>
      <c r="AS165" t="s">
        <v>61</v>
      </c>
      <c r="AU165" t="s">
        <v>61</v>
      </c>
      <c r="AV165">
        <v>85050</v>
      </c>
      <c r="AW165">
        <v>89030</v>
      </c>
      <c r="AX165">
        <v>91669.203999999998</v>
      </c>
      <c r="AY165">
        <v>93087.394</v>
      </c>
      <c r="AZ165">
        <v>94164.18</v>
      </c>
      <c r="BA165">
        <v>96798.05</v>
      </c>
      <c r="BB165">
        <v>100000</v>
      </c>
      <c r="BC165">
        <v>100000</v>
      </c>
      <c r="BD165">
        <v>101589.726</v>
      </c>
      <c r="BE165">
        <v>106295.712</v>
      </c>
      <c r="BF165">
        <v>110193.28</v>
      </c>
      <c r="BG165">
        <v>119645.424</v>
      </c>
      <c r="BH165">
        <v>127698</v>
      </c>
      <c r="BI165">
        <v>137713.79399999999</v>
      </c>
      <c r="BJ165">
        <v>139806</v>
      </c>
      <c r="BK165">
        <v>150000</v>
      </c>
      <c r="BL165">
        <v>161820.22</v>
      </c>
      <c r="BM165">
        <v>190199.99999999991</v>
      </c>
      <c r="BN165">
        <v>213800</v>
      </c>
      <c r="BO165">
        <v>259913.9999999998</v>
      </c>
      <c r="BP165">
        <v>440000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 x14ac:dyDescent="0.35">
      <c r="A166">
        <v>348542</v>
      </c>
      <c r="B166" t="s">
        <v>388</v>
      </c>
      <c r="C166" t="s">
        <v>389</v>
      </c>
      <c r="D166" s="1">
        <v>45808</v>
      </c>
      <c r="E166">
        <v>53850</v>
      </c>
      <c r="F166">
        <v>128</v>
      </c>
      <c r="G166" t="s">
        <v>274</v>
      </c>
      <c r="H166" t="s">
        <v>48</v>
      </c>
      <c r="I166" t="s">
        <v>49</v>
      </c>
      <c r="K166" t="s">
        <v>323</v>
      </c>
      <c r="L166">
        <v>1283300001665</v>
      </c>
      <c r="M166">
        <v>20250530</v>
      </c>
      <c r="N166" t="s">
        <v>262</v>
      </c>
      <c r="Q166" t="s">
        <v>58</v>
      </c>
      <c r="R166">
        <v>483186.57</v>
      </c>
      <c r="S166">
        <v>9790</v>
      </c>
      <c r="T166">
        <v>4254896</v>
      </c>
      <c r="U166">
        <v>6234730726</v>
      </c>
      <c r="V166" t="s">
        <v>410</v>
      </c>
      <c r="W166" t="s">
        <v>56</v>
      </c>
      <c r="X166" t="s">
        <v>411</v>
      </c>
      <c r="Y166" t="s">
        <v>51</v>
      </c>
      <c r="Z166">
        <v>1919</v>
      </c>
      <c r="AH166">
        <v>0</v>
      </c>
      <c r="AI166">
        <v>202505</v>
      </c>
      <c r="AJ166" t="s">
        <v>63</v>
      </c>
      <c r="AK166">
        <v>0</v>
      </c>
      <c r="AL166">
        <v>1</v>
      </c>
      <c r="AO166">
        <v>1</v>
      </c>
      <c r="AP166">
        <v>999</v>
      </c>
      <c r="AQ166">
        <v>430</v>
      </c>
      <c r="AR166">
        <v>430999</v>
      </c>
      <c r="AT166">
        <v>1</v>
      </c>
      <c r="AU166" t="s">
        <v>57</v>
      </c>
      <c r="AV166">
        <v>101552.46</v>
      </c>
      <c r="AW166">
        <v>114647.6485</v>
      </c>
      <c r="AX166">
        <v>118167.008</v>
      </c>
      <c r="AY166">
        <v>123559.05899999999</v>
      </c>
      <c r="AZ166">
        <v>128796.368</v>
      </c>
      <c r="BA166">
        <v>130000</v>
      </c>
      <c r="BB166">
        <v>135819.11300000001</v>
      </c>
      <c r="BC166">
        <v>145008.255</v>
      </c>
      <c r="BD166">
        <v>146226.546</v>
      </c>
      <c r="BE166">
        <v>148171.67300000001</v>
      </c>
      <c r="BF166">
        <v>156533.16500000001</v>
      </c>
      <c r="BG166">
        <v>167340.8915</v>
      </c>
      <c r="BH166">
        <v>179808.78</v>
      </c>
      <c r="BI166">
        <v>187222.14799999999</v>
      </c>
      <c r="BJ166">
        <v>206328.26500000001</v>
      </c>
      <c r="BK166">
        <v>220390.6225</v>
      </c>
      <c r="BL166">
        <v>239280.00000000009</v>
      </c>
      <c r="BM166">
        <v>298738.61</v>
      </c>
      <c r="BN166">
        <v>365407.64500000002</v>
      </c>
      <c r="BO166">
        <v>399465.49400000001</v>
      </c>
      <c r="BP166">
        <v>515709.15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0</v>
      </c>
    </row>
    <row r="167" spans="1:89" x14ac:dyDescent="0.35">
      <c r="A167">
        <v>348538</v>
      </c>
      <c r="B167" t="s">
        <v>388</v>
      </c>
      <c r="C167" t="s">
        <v>389</v>
      </c>
      <c r="D167" s="1">
        <v>45808</v>
      </c>
      <c r="E167">
        <v>53850</v>
      </c>
      <c r="F167">
        <v>171</v>
      </c>
      <c r="G167" t="s">
        <v>70</v>
      </c>
      <c r="H167" t="s">
        <v>48</v>
      </c>
      <c r="I167" t="s">
        <v>49</v>
      </c>
      <c r="K167" t="s">
        <v>323</v>
      </c>
      <c r="L167">
        <v>1713302214147</v>
      </c>
      <c r="M167">
        <v>20250530</v>
      </c>
      <c r="N167" t="s">
        <v>253</v>
      </c>
      <c r="Q167" t="s">
        <v>58</v>
      </c>
      <c r="R167">
        <v>134143.07</v>
      </c>
      <c r="S167">
        <v>134143.07</v>
      </c>
      <c r="T167">
        <v>4199319</v>
      </c>
      <c r="U167">
        <v>6037810725</v>
      </c>
      <c r="V167" t="s">
        <v>317</v>
      </c>
      <c r="W167" t="s">
        <v>56</v>
      </c>
      <c r="X167" t="s">
        <v>258</v>
      </c>
      <c r="Y167" t="s">
        <v>51</v>
      </c>
      <c r="Z167">
        <v>1903</v>
      </c>
      <c r="AH167">
        <v>0</v>
      </c>
      <c r="AI167">
        <v>202505</v>
      </c>
      <c r="AJ167" t="s">
        <v>168</v>
      </c>
      <c r="AK167">
        <v>1</v>
      </c>
      <c r="AL167">
        <v>1</v>
      </c>
      <c r="AM167">
        <v>4199319</v>
      </c>
      <c r="AN167">
        <v>1</v>
      </c>
      <c r="AO167">
        <v>0</v>
      </c>
      <c r="AP167">
        <v>999</v>
      </c>
      <c r="AQ167">
        <v>430</v>
      </c>
      <c r="AR167">
        <v>430999</v>
      </c>
      <c r="AT167">
        <v>1</v>
      </c>
      <c r="AU167" t="s">
        <v>57</v>
      </c>
      <c r="AV167">
        <v>101552.46</v>
      </c>
      <c r="AW167">
        <v>114647.6485</v>
      </c>
      <c r="AX167">
        <v>118167.008</v>
      </c>
      <c r="AY167">
        <v>123559.05899999999</v>
      </c>
      <c r="AZ167">
        <v>128796.368</v>
      </c>
      <c r="BA167">
        <v>130000</v>
      </c>
      <c r="BB167">
        <v>135819.11300000001</v>
      </c>
      <c r="BC167">
        <v>145008.255</v>
      </c>
      <c r="BD167">
        <v>146226.546</v>
      </c>
      <c r="BE167">
        <v>148171.67300000001</v>
      </c>
      <c r="BF167">
        <v>156533.16500000001</v>
      </c>
      <c r="BG167">
        <v>167340.8915</v>
      </c>
      <c r="BH167">
        <v>179808.78</v>
      </c>
      <c r="BI167">
        <v>187222.14799999999</v>
      </c>
      <c r="BJ167">
        <v>206328.26500000001</v>
      </c>
      <c r="BK167">
        <v>220390.6225</v>
      </c>
      <c r="BL167">
        <v>239280.00000000009</v>
      </c>
      <c r="BM167">
        <v>298738.61</v>
      </c>
      <c r="BN167">
        <v>365407.64500000002</v>
      </c>
      <c r="BO167">
        <v>399465.49400000001</v>
      </c>
      <c r="BP167">
        <v>515709.15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 x14ac:dyDescent="0.35">
      <c r="A168">
        <v>348530</v>
      </c>
      <c r="B168" t="s">
        <v>388</v>
      </c>
      <c r="C168" t="s">
        <v>389</v>
      </c>
      <c r="D168" s="1">
        <v>45808</v>
      </c>
      <c r="E168">
        <v>53850</v>
      </c>
      <c r="F168">
        <v>171</v>
      </c>
      <c r="G168" t="s">
        <v>70</v>
      </c>
      <c r="H168" t="s">
        <v>48</v>
      </c>
      <c r="I168" t="s">
        <v>49</v>
      </c>
      <c r="K168" t="s">
        <v>323</v>
      </c>
      <c r="L168">
        <v>1713305728950</v>
      </c>
      <c r="M168">
        <v>20250530</v>
      </c>
      <c r="N168" t="s">
        <v>253</v>
      </c>
      <c r="Q168" t="s">
        <v>58</v>
      </c>
      <c r="R168">
        <v>369560.4</v>
      </c>
      <c r="S168">
        <v>369560.4</v>
      </c>
      <c r="T168">
        <v>572895</v>
      </c>
      <c r="U168">
        <v>4161600723</v>
      </c>
      <c r="V168" t="s">
        <v>257</v>
      </c>
      <c r="W168" t="s">
        <v>56</v>
      </c>
      <c r="X168" t="s">
        <v>258</v>
      </c>
      <c r="Y168" t="s">
        <v>51</v>
      </c>
      <c r="Z168">
        <v>1903</v>
      </c>
      <c r="AH168">
        <v>0</v>
      </c>
      <c r="AI168">
        <v>202505</v>
      </c>
      <c r="AJ168" t="s">
        <v>168</v>
      </c>
      <c r="AK168">
        <v>1</v>
      </c>
      <c r="AL168">
        <v>1</v>
      </c>
      <c r="AM168">
        <v>572895</v>
      </c>
      <c r="AN168">
        <v>1</v>
      </c>
      <c r="AO168">
        <v>0</v>
      </c>
      <c r="AP168">
        <v>999</v>
      </c>
      <c r="AQ168">
        <v>430</v>
      </c>
      <c r="AR168">
        <v>430999</v>
      </c>
      <c r="AT168">
        <v>1</v>
      </c>
      <c r="AU168" t="s">
        <v>57</v>
      </c>
      <c r="AV168">
        <v>101552.46</v>
      </c>
      <c r="AW168">
        <v>114647.6485</v>
      </c>
      <c r="AX168">
        <v>118167.008</v>
      </c>
      <c r="AY168">
        <v>123559.05899999999</v>
      </c>
      <c r="AZ168">
        <v>128796.368</v>
      </c>
      <c r="BA168">
        <v>130000</v>
      </c>
      <c r="BB168">
        <v>135819.11300000001</v>
      </c>
      <c r="BC168">
        <v>145008.255</v>
      </c>
      <c r="BD168">
        <v>146226.546</v>
      </c>
      <c r="BE168">
        <v>148171.67300000001</v>
      </c>
      <c r="BF168">
        <v>156533.16500000001</v>
      </c>
      <c r="BG168">
        <v>167340.8915</v>
      </c>
      <c r="BH168">
        <v>179808.78</v>
      </c>
      <c r="BI168">
        <v>187222.14799999999</v>
      </c>
      <c r="BJ168">
        <v>206328.26500000001</v>
      </c>
      <c r="BK168">
        <v>220390.6225</v>
      </c>
      <c r="BL168">
        <v>239280.00000000009</v>
      </c>
      <c r="BM168">
        <v>298738.61</v>
      </c>
      <c r="BN168">
        <v>365407.64500000002</v>
      </c>
      <c r="BO168">
        <v>399465.49400000001</v>
      </c>
      <c r="BP168">
        <v>515709.15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0</v>
      </c>
      <c r="CK168">
        <v>0</v>
      </c>
    </row>
    <row r="169" spans="1:89" x14ac:dyDescent="0.35">
      <c r="A169">
        <v>348526</v>
      </c>
      <c r="B169" t="s">
        <v>388</v>
      </c>
      <c r="C169" t="s">
        <v>389</v>
      </c>
      <c r="D169" s="1">
        <v>45808</v>
      </c>
      <c r="E169">
        <v>53850</v>
      </c>
      <c r="F169">
        <v>161</v>
      </c>
      <c r="G169" t="s">
        <v>95</v>
      </c>
      <c r="H169" t="s">
        <v>48</v>
      </c>
      <c r="I169" t="s">
        <v>49</v>
      </c>
      <c r="K169" t="s">
        <v>323</v>
      </c>
      <c r="L169">
        <v>1613300029653</v>
      </c>
      <c r="M169">
        <v>20250530</v>
      </c>
      <c r="N169" t="s">
        <v>262</v>
      </c>
      <c r="Q169" t="s">
        <v>58</v>
      </c>
      <c r="R169">
        <v>217448.27</v>
      </c>
      <c r="S169">
        <v>6100</v>
      </c>
      <c r="T169">
        <v>4088769</v>
      </c>
      <c r="U169">
        <v>5150120722</v>
      </c>
      <c r="V169" t="s">
        <v>407</v>
      </c>
      <c r="W169" t="s">
        <v>56</v>
      </c>
      <c r="X169" t="s">
        <v>78</v>
      </c>
      <c r="Y169" t="s">
        <v>51</v>
      </c>
      <c r="Z169">
        <v>1903</v>
      </c>
      <c r="AH169">
        <v>0</v>
      </c>
      <c r="AI169">
        <v>202505</v>
      </c>
      <c r="AJ169" t="s">
        <v>63</v>
      </c>
      <c r="AK169">
        <v>0</v>
      </c>
      <c r="AL169">
        <v>1</v>
      </c>
      <c r="AM169">
        <v>4088769</v>
      </c>
      <c r="AN169">
        <v>1</v>
      </c>
      <c r="AO169">
        <v>1</v>
      </c>
      <c r="AP169">
        <v>464</v>
      </c>
      <c r="AQ169">
        <v>430</v>
      </c>
      <c r="AR169">
        <v>430464</v>
      </c>
      <c r="AS169" t="s">
        <v>79</v>
      </c>
      <c r="AU169" t="s">
        <v>79</v>
      </c>
      <c r="AV169">
        <v>76382.789999999994</v>
      </c>
      <c r="AW169">
        <v>79891.56</v>
      </c>
      <c r="AX169">
        <v>79937.08</v>
      </c>
      <c r="AY169">
        <v>88865.89</v>
      </c>
      <c r="AZ169">
        <v>94634.78</v>
      </c>
      <c r="BA169">
        <v>97229.53</v>
      </c>
      <c r="BB169">
        <v>98360.01</v>
      </c>
      <c r="BC169">
        <v>100000</v>
      </c>
      <c r="BD169">
        <v>104738.68</v>
      </c>
      <c r="BE169">
        <v>108176.82</v>
      </c>
      <c r="BF169">
        <v>110891.36</v>
      </c>
      <c r="BG169">
        <v>115427.47</v>
      </c>
      <c r="BH169">
        <v>118009.65</v>
      </c>
      <c r="BI169">
        <v>136718.03</v>
      </c>
      <c r="BJ169">
        <v>148758.49</v>
      </c>
      <c r="BK169">
        <v>182944.14</v>
      </c>
      <c r="BL169">
        <v>217448.27</v>
      </c>
      <c r="BM169">
        <v>222704.65</v>
      </c>
      <c r="BN169">
        <v>225130.1</v>
      </c>
      <c r="BO169">
        <v>259946.2</v>
      </c>
      <c r="BP169">
        <v>270019.89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0</v>
      </c>
      <c r="CI169">
        <v>0</v>
      </c>
      <c r="CJ169">
        <v>0</v>
      </c>
      <c r="CK169">
        <v>0</v>
      </c>
    </row>
    <row r="170" spans="1:89" x14ac:dyDescent="0.35">
      <c r="A170">
        <v>348524</v>
      </c>
      <c r="B170" t="s">
        <v>388</v>
      </c>
      <c r="C170" t="s">
        <v>389</v>
      </c>
      <c r="D170" s="1">
        <v>45808</v>
      </c>
      <c r="E170">
        <v>53850</v>
      </c>
      <c r="F170">
        <v>102</v>
      </c>
      <c r="G170" t="s">
        <v>55</v>
      </c>
      <c r="H170" t="s">
        <v>48</v>
      </c>
      <c r="I170" t="s">
        <v>49</v>
      </c>
      <c r="K170" t="s">
        <v>323</v>
      </c>
      <c r="L170">
        <v>1023308717655</v>
      </c>
      <c r="M170">
        <v>20250530</v>
      </c>
      <c r="N170" t="s">
        <v>262</v>
      </c>
      <c r="Q170" t="s">
        <v>58</v>
      </c>
      <c r="R170">
        <v>208564.6</v>
      </c>
      <c r="S170">
        <v>11670</v>
      </c>
      <c r="T170">
        <v>4226959</v>
      </c>
      <c r="U170">
        <v>6150080726</v>
      </c>
      <c r="V170" t="s">
        <v>390</v>
      </c>
      <c r="W170" t="s">
        <v>56</v>
      </c>
      <c r="X170" t="s">
        <v>391</v>
      </c>
      <c r="Y170" t="s">
        <v>51</v>
      </c>
      <c r="Z170">
        <v>739</v>
      </c>
      <c r="AH170">
        <v>0</v>
      </c>
      <c r="AI170">
        <v>202505</v>
      </c>
      <c r="AJ170" t="s">
        <v>168</v>
      </c>
      <c r="AK170">
        <v>1</v>
      </c>
      <c r="AL170">
        <v>1</v>
      </c>
      <c r="AO170">
        <v>1</v>
      </c>
      <c r="AP170">
        <v>999</v>
      </c>
      <c r="AQ170">
        <v>430</v>
      </c>
      <c r="AR170">
        <v>430999</v>
      </c>
      <c r="AT170">
        <v>1</v>
      </c>
      <c r="AU170" t="s">
        <v>57</v>
      </c>
      <c r="AV170">
        <v>101552.46</v>
      </c>
      <c r="AW170">
        <v>114647.6485</v>
      </c>
      <c r="AX170">
        <v>118167.008</v>
      </c>
      <c r="AY170">
        <v>123559.05899999999</v>
      </c>
      <c r="AZ170">
        <v>128796.368</v>
      </c>
      <c r="BA170">
        <v>130000</v>
      </c>
      <c r="BB170">
        <v>135819.11300000001</v>
      </c>
      <c r="BC170">
        <v>145008.255</v>
      </c>
      <c r="BD170">
        <v>146226.546</v>
      </c>
      <c r="BE170">
        <v>148171.67300000001</v>
      </c>
      <c r="BF170">
        <v>156533.16500000001</v>
      </c>
      <c r="BG170">
        <v>167340.8915</v>
      </c>
      <c r="BH170">
        <v>179808.78</v>
      </c>
      <c r="BI170">
        <v>187222.14799999999</v>
      </c>
      <c r="BJ170">
        <v>206328.26500000001</v>
      </c>
      <c r="BK170">
        <v>220390.6225</v>
      </c>
      <c r="BL170">
        <v>239280.00000000009</v>
      </c>
      <c r="BM170">
        <v>298738.61</v>
      </c>
      <c r="BN170">
        <v>365407.64500000002</v>
      </c>
      <c r="BO170">
        <v>399465.49400000001</v>
      </c>
      <c r="BP170">
        <v>515709.15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 x14ac:dyDescent="0.35">
      <c r="A171">
        <v>348513</v>
      </c>
      <c r="B171" t="s">
        <v>388</v>
      </c>
      <c r="C171" t="s">
        <v>389</v>
      </c>
      <c r="D171" s="1">
        <v>45808</v>
      </c>
      <c r="E171">
        <v>53850</v>
      </c>
      <c r="F171">
        <v>170</v>
      </c>
      <c r="G171" t="s">
        <v>82</v>
      </c>
      <c r="H171" t="s">
        <v>48</v>
      </c>
      <c r="I171" t="s">
        <v>49</v>
      </c>
      <c r="K171" t="s">
        <v>323</v>
      </c>
      <c r="L171">
        <v>1703306288421</v>
      </c>
      <c r="M171">
        <v>20250530</v>
      </c>
      <c r="N171" t="s">
        <v>262</v>
      </c>
      <c r="Q171" t="s">
        <v>58</v>
      </c>
      <c r="R171">
        <v>130913.59</v>
      </c>
      <c r="S171">
        <v>0</v>
      </c>
      <c r="T171">
        <v>4803929</v>
      </c>
      <c r="U171">
        <v>4829870726</v>
      </c>
      <c r="V171" t="s">
        <v>395</v>
      </c>
      <c r="W171" t="s">
        <v>56</v>
      </c>
      <c r="X171" t="s">
        <v>396</v>
      </c>
      <c r="Y171" t="s">
        <v>51</v>
      </c>
      <c r="Z171">
        <v>1696</v>
      </c>
      <c r="AH171">
        <v>0</v>
      </c>
      <c r="AI171">
        <v>202505</v>
      </c>
      <c r="AK171">
        <v>1</v>
      </c>
      <c r="AL171">
        <v>1</v>
      </c>
      <c r="AO171">
        <v>1</v>
      </c>
      <c r="AP171">
        <v>999</v>
      </c>
      <c r="AQ171">
        <v>430</v>
      </c>
      <c r="AR171">
        <v>430999</v>
      </c>
      <c r="AT171">
        <v>1</v>
      </c>
      <c r="AU171" t="s">
        <v>57</v>
      </c>
      <c r="AV171">
        <v>101552.46</v>
      </c>
      <c r="AW171">
        <v>114647.6485</v>
      </c>
      <c r="AX171">
        <v>118167.008</v>
      </c>
      <c r="AY171">
        <v>123559.05899999999</v>
      </c>
      <c r="AZ171">
        <v>128796.368</v>
      </c>
      <c r="BA171">
        <v>130000</v>
      </c>
      <c r="BB171">
        <v>135819.11300000001</v>
      </c>
      <c r="BC171">
        <v>145008.255</v>
      </c>
      <c r="BD171">
        <v>146226.546</v>
      </c>
      <c r="BE171">
        <v>148171.67300000001</v>
      </c>
      <c r="BF171">
        <v>156533.16500000001</v>
      </c>
      <c r="BG171">
        <v>167340.8915</v>
      </c>
      <c r="BH171">
        <v>179808.78</v>
      </c>
      <c r="BI171">
        <v>187222.14799999999</v>
      </c>
      <c r="BJ171">
        <v>206328.26500000001</v>
      </c>
      <c r="BK171">
        <v>220390.6225</v>
      </c>
      <c r="BL171">
        <v>239280.00000000009</v>
      </c>
      <c r="BM171">
        <v>298738.61</v>
      </c>
      <c r="BN171">
        <v>365407.64500000002</v>
      </c>
      <c r="BO171">
        <v>399465.49400000001</v>
      </c>
      <c r="BP171">
        <v>515709.15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 x14ac:dyDescent="0.35">
      <c r="A172">
        <v>348511</v>
      </c>
      <c r="B172" t="s">
        <v>388</v>
      </c>
      <c r="C172" t="s">
        <v>389</v>
      </c>
      <c r="D172" s="1">
        <v>45808</v>
      </c>
      <c r="E172">
        <v>53850</v>
      </c>
      <c r="F172">
        <v>120</v>
      </c>
      <c r="G172" t="s">
        <v>181</v>
      </c>
      <c r="H172" t="s">
        <v>48</v>
      </c>
      <c r="I172" t="s">
        <v>49</v>
      </c>
      <c r="K172" t="s">
        <v>323</v>
      </c>
      <c r="L172">
        <v>1033306972385</v>
      </c>
      <c r="M172">
        <v>20250530</v>
      </c>
      <c r="N172" t="s">
        <v>262</v>
      </c>
      <c r="Q172" t="s">
        <v>58</v>
      </c>
      <c r="R172">
        <v>265131.34999999998</v>
      </c>
      <c r="S172">
        <v>0</v>
      </c>
      <c r="T172">
        <v>4419363</v>
      </c>
      <c r="U172">
        <v>6616290729</v>
      </c>
      <c r="V172" t="s">
        <v>554</v>
      </c>
      <c r="W172" t="s">
        <v>56</v>
      </c>
      <c r="X172" t="s">
        <v>235</v>
      </c>
      <c r="Y172" t="s">
        <v>51</v>
      </c>
      <c r="Z172">
        <v>1274</v>
      </c>
      <c r="AH172">
        <v>0</v>
      </c>
      <c r="AI172">
        <v>202505</v>
      </c>
      <c r="AK172">
        <v>1</v>
      </c>
      <c r="AL172">
        <v>1</v>
      </c>
      <c r="AO172">
        <v>1</v>
      </c>
      <c r="AP172">
        <v>999</v>
      </c>
      <c r="AQ172">
        <v>430</v>
      </c>
      <c r="AR172">
        <v>430999</v>
      </c>
      <c r="AT172">
        <v>1</v>
      </c>
      <c r="AU172" t="s">
        <v>57</v>
      </c>
      <c r="AV172">
        <v>101552.46</v>
      </c>
      <c r="AW172">
        <v>114647.6485</v>
      </c>
      <c r="AX172">
        <v>118167.008</v>
      </c>
      <c r="AY172">
        <v>123559.05899999999</v>
      </c>
      <c r="AZ172">
        <v>128796.368</v>
      </c>
      <c r="BA172">
        <v>130000</v>
      </c>
      <c r="BB172">
        <v>135819.11300000001</v>
      </c>
      <c r="BC172">
        <v>145008.255</v>
      </c>
      <c r="BD172">
        <v>146226.546</v>
      </c>
      <c r="BE172">
        <v>148171.67300000001</v>
      </c>
      <c r="BF172">
        <v>156533.16500000001</v>
      </c>
      <c r="BG172">
        <v>167340.8915</v>
      </c>
      <c r="BH172">
        <v>179808.78</v>
      </c>
      <c r="BI172">
        <v>187222.14799999999</v>
      </c>
      <c r="BJ172">
        <v>206328.26500000001</v>
      </c>
      <c r="BK172">
        <v>220390.6225</v>
      </c>
      <c r="BL172">
        <v>239280.00000000009</v>
      </c>
      <c r="BM172">
        <v>298738.61</v>
      </c>
      <c r="BN172">
        <v>365407.64500000002</v>
      </c>
      <c r="BO172">
        <v>399465.49400000001</v>
      </c>
      <c r="BP172">
        <v>515709.15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0</v>
      </c>
      <c r="CI172">
        <v>0</v>
      </c>
      <c r="CJ172">
        <v>0</v>
      </c>
      <c r="CK172">
        <v>0</v>
      </c>
    </row>
    <row r="173" spans="1:89" x14ac:dyDescent="0.35">
      <c r="A173">
        <v>348496</v>
      </c>
      <c r="B173" t="s">
        <v>388</v>
      </c>
      <c r="C173" t="s">
        <v>389</v>
      </c>
      <c r="D173" s="1">
        <v>45807</v>
      </c>
      <c r="E173">
        <v>53850</v>
      </c>
      <c r="F173">
        <v>102</v>
      </c>
      <c r="G173" t="s">
        <v>55</v>
      </c>
      <c r="H173" t="s">
        <v>48</v>
      </c>
      <c r="I173" t="s">
        <v>49</v>
      </c>
      <c r="K173">
        <v>202505298023327</v>
      </c>
      <c r="L173">
        <v>1023306275332</v>
      </c>
      <c r="M173">
        <v>20250529</v>
      </c>
      <c r="N173" t="s">
        <v>400</v>
      </c>
      <c r="Q173" t="s">
        <v>58</v>
      </c>
      <c r="R173">
        <v>155000</v>
      </c>
      <c r="S173">
        <v>0</v>
      </c>
      <c r="T173">
        <v>71112</v>
      </c>
      <c r="U173" t="s">
        <v>555</v>
      </c>
      <c r="V173" t="s">
        <v>556</v>
      </c>
      <c r="W173" t="s">
        <v>50</v>
      </c>
      <c r="Y173" t="s">
        <v>51</v>
      </c>
      <c r="Z173">
        <v>841</v>
      </c>
      <c r="AH173">
        <v>0</v>
      </c>
      <c r="AI173">
        <v>202505</v>
      </c>
      <c r="AJ173" t="s">
        <v>168</v>
      </c>
      <c r="AK173">
        <v>1</v>
      </c>
      <c r="AL173">
        <v>1</v>
      </c>
      <c r="AO173">
        <v>0</v>
      </c>
      <c r="AP173">
        <v>999</v>
      </c>
      <c r="AQ173">
        <v>600</v>
      </c>
      <c r="AR173">
        <v>600999</v>
      </c>
      <c r="AS173" t="s">
        <v>52</v>
      </c>
      <c r="AU173" t="s">
        <v>52</v>
      </c>
      <c r="AV173">
        <v>107500</v>
      </c>
      <c r="AW173">
        <v>109625</v>
      </c>
      <c r="AX173">
        <v>110000</v>
      </c>
      <c r="AY173">
        <v>112750</v>
      </c>
      <c r="AZ173">
        <v>120738</v>
      </c>
      <c r="BA173">
        <v>129508.75</v>
      </c>
      <c r="BB173">
        <v>130380</v>
      </c>
      <c r="BC173">
        <v>133610</v>
      </c>
      <c r="BD173">
        <v>133800</v>
      </c>
      <c r="BE173">
        <v>141080</v>
      </c>
      <c r="BF173">
        <v>147500</v>
      </c>
      <c r="BG173">
        <v>155382.03049999999</v>
      </c>
      <c r="BH173">
        <v>165585.11799999999</v>
      </c>
      <c r="BI173">
        <v>166416.67000000001</v>
      </c>
      <c r="BJ173">
        <v>166416.67000000001</v>
      </c>
      <c r="BK173">
        <v>173582.95749999999</v>
      </c>
      <c r="BL173">
        <v>190388.68799999999</v>
      </c>
      <c r="BM173">
        <v>212150</v>
      </c>
      <c r="BN173">
        <v>283513.16900000011</v>
      </c>
      <c r="BO173">
        <v>415377.23</v>
      </c>
      <c r="BP173">
        <v>415377.23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 x14ac:dyDescent="0.35">
      <c r="A174">
        <v>348487</v>
      </c>
      <c r="B174" t="s">
        <v>388</v>
      </c>
      <c r="C174" t="s">
        <v>389</v>
      </c>
      <c r="D174" s="1">
        <v>45807</v>
      </c>
      <c r="E174">
        <v>53850</v>
      </c>
      <c r="F174">
        <v>102</v>
      </c>
      <c r="G174" t="s">
        <v>55</v>
      </c>
      <c r="H174" t="s">
        <v>48</v>
      </c>
      <c r="I174" t="s">
        <v>49</v>
      </c>
      <c r="K174">
        <v>202505298023327</v>
      </c>
      <c r="L174">
        <v>1023306275332</v>
      </c>
      <c r="M174">
        <v>20250529</v>
      </c>
      <c r="N174" t="s">
        <v>400</v>
      </c>
      <c r="Q174" t="s">
        <v>58</v>
      </c>
      <c r="R174">
        <v>155000</v>
      </c>
      <c r="S174">
        <v>0</v>
      </c>
      <c r="T174">
        <v>71122</v>
      </c>
      <c r="U174" t="s">
        <v>557</v>
      </c>
      <c r="V174" t="s">
        <v>558</v>
      </c>
      <c r="W174" t="s">
        <v>50</v>
      </c>
      <c r="Y174" t="s">
        <v>51</v>
      </c>
      <c r="Z174">
        <v>515</v>
      </c>
      <c r="AH174">
        <v>0</v>
      </c>
      <c r="AI174">
        <v>202505</v>
      </c>
      <c r="AJ174" t="s">
        <v>168</v>
      </c>
      <c r="AK174">
        <v>1</v>
      </c>
      <c r="AL174">
        <v>1</v>
      </c>
      <c r="AO174">
        <v>0</v>
      </c>
      <c r="AP174">
        <v>999</v>
      </c>
      <c r="AQ174">
        <v>600</v>
      </c>
      <c r="AR174">
        <v>600999</v>
      </c>
      <c r="AS174" t="s">
        <v>52</v>
      </c>
      <c r="AU174" t="s">
        <v>52</v>
      </c>
      <c r="AV174">
        <v>107500</v>
      </c>
      <c r="AW174">
        <v>109625</v>
      </c>
      <c r="AX174">
        <v>110000</v>
      </c>
      <c r="AY174">
        <v>112750</v>
      </c>
      <c r="AZ174">
        <v>120738</v>
      </c>
      <c r="BA174">
        <v>129508.75</v>
      </c>
      <c r="BB174">
        <v>130380</v>
      </c>
      <c r="BC174">
        <v>133610</v>
      </c>
      <c r="BD174">
        <v>133800</v>
      </c>
      <c r="BE174">
        <v>141080</v>
      </c>
      <c r="BF174">
        <v>147500</v>
      </c>
      <c r="BG174">
        <v>155382.03049999999</v>
      </c>
      <c r="BH174">
        <v>165585.11799999999</v>
      </c>
      <c r="BI174">
        <v>166416.67000000001</v>
      </c>
      <c r="BJ174">
        <v>166416.67000000001</v>
      </c>
      <c r="BK174">
        <v>173582.95749999999</v>
      </c>
      <c r="BL174">
        <v>190388.68799999999</v>
      </c>
      <c r="BM174">
        <v>212150</v>
      </c>
      <c r="BN174">
        <v>283513.16900000011</v>
      </c>
      <c r="BO174">
        <v>415377.23</v>
      </c>
      <c r="BP174">
        <v>415377.23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 x14ac:dyDescent="0.35">
      <c r="A175">
        <v>348462</v>
      </c>
      <c r="B175" t="s">
        <v>388</v>
      </c>
      <c r="C175" t="s">
        <v>389</v>
      </c>
      <c r="D175" s="1">
        <v>45807</v>
      </c>
      <c r="E175">
        <v>53850</v>
      </c>
      <c r="F175">
        <v>141</v>
      </c>
      <c r="G175" t="s">
        <v>75</v>
      </c>
      <c r="H175" t="s">
        <v>48</v>
      </c>
      <c r="I175" t="s">
        <v>49</v>
      </c>
      <c r="K175">
        <v>202505298023489</v>
      </c>
      <c r="L175">
        <v>1413300002371</v>
      </c>
      <c r="M175">
        <v>20250529</v>
      </c>
      <c r="N175" t="s">
        <v>392</v>
      </c>
      <c r="Q175" t="s">
        <v>58</v>
      </c>
      <c r="R175">
        <v>152340</v>
      </c>
      <c r="S175">
        <v>0</v>
      </c>
      <c r="T175">
        <v>4846049</v>
      </c>
      <c r="U175" t="s">
        <v>559</v>
      </c>
      <c r="V175" t="s">
        <v>560</v>
      </c>
      <c r="W175" t="s">
        <v>83</v>
      </c>
      <c r="X175" t="s">
        <v>62</v>
      </c>
      <c r="Y175" t="s">
        <v>51</v>
      </c>
      <c r="Z175">
        <v>862</v>
      </c>
      <c r="AH175">
        <v>0</v>
      </c>
      <c r="AI175">
        <v>202505</v>
      </c>
      <c r="AJ175" t="s">
        <v>168</v>
      </c>
      <c r="AK175">
        <v>1</v>
      </c>
      <c r="AL175">
        <v>1</v>
      </c>
      <c r="AO175">
        <v>0</v>
      </c>
      <c r="AP175">
        <v>999</v>
      </c>
      <c r="AQ175">
        <v>614</v>
      </c>
      <c r="AR175">
        <v>614999</v>
      </c>
      <c r="AT175">
        <v>1</v>
      </c>
      <c r="AU175" t="s">
        <v>61</v>
      </c>
      <c r="AV175">
        <v>85050</v>
      </c>
      <c r="AW175">
        <v>89030</v>
      </c>
      <c r="AX175">
        <v>91669.203999999998</v>
      </c>
      <c r="AY175">
        <v>93087.394</v>
      </c>
      <c r="AZ175">
        <v>94164.18</v>
      </c>
      <c r="BA175">
        <v>96798.05</v>
      </c>
      <c r="BB175">
        <v>100000</v>
      </c>
      <c r="BC175">
        <v>100000</v>
      </c>
      <c r="BD175">
        <v>101589.726</v>
      </c>
      <c r="BE175">
        <v>106295.712</v>
      </c>
      <c r="BF175">
        <v>110193.28</v>
      </c>
      <c r="BG175">
        <v>119645.424</v>
      </c>
      <c r="BH175">
        <v>127698</v>
      </c>
      <c r="BI175">
        <v>137713.79399999999</v>
      </c>
      <c r="BJ175">
        <v>139806</v>
      </c>
      <c r="BK175">
        <v>150000</v>
      </c>
      <c r="BL175">
        <v>161820.22</v>
      </c>
      <c r="BM175">
        <v>190199.99999999991</v>
      </c>
      <c r="BN175">
        <v>213800</v>
      </c>
      <c r="BO175">
        <v>259913.9999999998</v>
      </c>
      <c r="BP175">
        <v>440000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 x14ac:dyDescent="0.35">
      <c r="A176">
        <v>348460</v>
      </c>
      <c r="B176" t="s">
        <v>388</v>
      </c>
      <c r="C176" t="s">
        <v>389</v>
      </c>
      <c r="D176" s="1">
        <v>45807</v>
      </c>
      <c r="E176">
        <v>53850</v>
      </c>
      <c r="F176">
        <v>118</v>
      </c>
      <c r="G176" t="s">
        <v>93</v>
      </c>
      <c r="H176" t="s">
        <v>48</v>
      </c>
      <c r="I176" t="s">
        <v>49</v>
      </c>
      <c r="K176">
        <v>202505298023444</v>
      </c>
      <c r="L176">
        <v>1183306281320</v>
      </c>
      <c r="M176">
        <v>20250529</v>
      </c>
      <c r="N176" t="s">
        <v>400</v>
      </c>
      <c r="Q176" t="s">
        <v>58</v>
      </c>
      <c r="R176">
        <v>122500</v>
      </c>
      <c r="S176">
        <v>0</v>
      </c>
      <c r="T176">
        <v>528885</v>
      </c>
      <c r="U176" t="s">
        <v>561</v>
      </c>
      <c r="V176" t="s">
        <v>562</v>
      </c>
      <c r="W176" t="s">
        <v>50</v>
      </c>
      <c r="Y176" t="s">
        <v>51</v>
      </c>
      <c r="Z176">
        <v>632</v>
      </c>
      <c r="AH176">
        <v>0</v>
      </c>
      <c r="AI176">
        <v>202505</v>
      </c>
      <c r="AJ176" t="s">
        <v>168</v>
      </c>
      <c r="AK176">
        <v>1</v>
      </c>
      <c r="AL176">
        <v>1</v>
      </c>
      <c r="AO176">
        <v>0</v>
      </c>
      <c r="AP176">
        <v>999</v>
      </c>
      <c r="AQ176">
        <v>600</v>
      </c>
      <c r="AR176">
        <v>600999</v>
      </c>
      <c r="AS176" t="s">
        <v>52</v>
      </c>
      <c r="AU176" t="s">
        <v>52</v>
      </c>
      <c r="AV176">
        <v>107500</v>
      </c>
      <c r="AW176">
        <v>109625</v>
      </c>
      <c r="AX176">
        <v>110000</v>
      </c>
      <c r="AY176">
        <v>112750</v>
      </c>
      <c r="AZ176">
        <v>120738</v>
      </c>
      <c r="BA176">
        <v>129508.75</v>
      </c>
      <c r="BB176">
        <v>130380</v>
      </c>
      <c r="BC176">
        <v>133610</v>
      </c>
      <c r="BD176">
        <v>133800</v>
      </c>
      <c r="BE176">
        <v>141080</v>
      </c>
      <c r="BF176">
        <v>147500</v>
      </c>
      <c r="BG176">
        <v>155382.03049999999</v>
      </c>
      <c r="BH176">
        <v>165585.11799999999</v>
      </c>
      <c r="BI176">
        <v>166416.67000000001</v>
      </c>
      <c r="BJ176">
        <v>166416.67000000001</v>
      </c>
      <c r="BK176">
        <v>173582.95749999999</v>
      </c>
      <c r="BL176">
        <v>190388.68799999999</v>
      </c>
      <c r="BM176">
        <v>212150</v>
      </c>
      <c r="BN176">
        <v>283513.16900000011</v>
      </c>
      <c r="BO176">
        <v>415377.23</v>
      </c>
      <c r="BP176">
        <v>415377.23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 x14ac:dyDescent="0.35">
      <c r="A177">
        <v>348440</v>
      </c>
      <c r="B177" t="s">
        <v>388</v>
      </c>
      <c r="C177" t="s">
        <v>389</v>
      </c>
      <c r="D177" s="1">
        <v>45806</v>
      </c>
      <c r="E177">
        <v>53850</v>
      </c>
      <c r="F177">
        <v>171</v>
      </c>
      <c r="G177" t="s">
        <v>70</v>
      </c>
      <c r="H177" t="s">
        <v>48</v>
      </c>
      <c r="I177" t="s">
        <v>49</v>
      </c>
      <c r="K177" t="s">
        <v>325</v>
      </c>
      <c r="L177">
        <v>1713302214147</v>
      </c>
      <c r="M177">
        <v>20250528</v>
      </c>
      <c r="N177" t="s">
        <v>253</v>
      </c>
      <c r="Q177" t="s">
        <v>58</v>
      </c>
      <c r="R177">
        <v>152155.66</v>
      </c>
      <c r="S177">
        <v>152155.66</v>
      </c>
      <c r="T177">
        <v>4199319</v>
      </c>
      <c r="U177">
        <v>6037810725</v>
      </c>
      <c r="V177" t="s">
        <v>317</v>
      </c>
      <c r="W177" t="s">
        <v>56</v>
      </c>
      <c r="X177" t="s">
        <v>258</v>
      </c>
      <c r="Y177" t="s">
        <v>51</v>
      </c>
      <c r="Z177">
        <v>1903</v>
      </c>
      <c r="AH177">
        <v>0</v>
      </c>
      <c r="AI177">
        <v>202505</v>
      </c>
      <c r="AJ177" t="s">
        <v>168</v>
      </c>
      <c r="AK177">
        <v>1</v>
      </c>
      <c r="AL177">
        <v>1</v>
      </c>
      <c r="AM177">
        <v>4199319</v>
      </c>
      <c r="AN177">
        <v>1</v>
      </c>
      <c r="AO177">
        <v>0</v>
      </c>
      <c r="AP177">
        <v>999</v>
      </c>
      <c r="AQ177">
        <v>430</v>
      </c>
      <c r="AR177">
        <v>430999</v>
      </c>
      <c r="AT177">
        <v>1</v>
      </c>
      <c r="AU177" t="s">
        <v>57</v>
      </c>
      <c r="AV177">
        <v>101552.46</v>
      </c>
      <c r="AW177">
        <v>114647.6485</v>
      </c>
      <c r="AX177">
        <v>118167.008</v>
      </c>
      <c r="AY177">
        <v>123559.05899999999</v>
      </c>
      <c r="AZ177">
        <v>128796.368</v>
      </c>
      <c r="BA177">
        <v>130000</v>
      </c>
      <c r="BB177">
        <v>135819.11300000001</v>
      </c>
      <c r="BC177">
        <v>145008.255</v>
      </c>
      <c r="BD177">
        <v>146226.546</v>
      </c>
      <c r="BE177">
        <v>148171.67300000001</v>
      </c>
      <c r="BF177">
        <v>156533.16500000001</v>
      </c>
      <c r="BG177">
        <v>167340.8915</v>
      </c>
      <c r="BH177">
        <v>179808.78</v>
      </c>
      <c r="BI177">
        <v>187222.14799999999</v>
      </c>
      <c r="BJ177">
        <v>206328.26500000001</v>
      </c>
      <c r="BK177">
        <v>220390.6225</v>
      </c>
      <c r="BL177">
        <v>239280.00000000009</v>
      </c>
      <c r="BM177">
        <v>298738.61</v>
      </c>
      <c r="BN177">
        <v>365407.64500000002</v>
      </c>
      <c r="BO177">
        <v>399465.49400000001</v>
      </c>
      <c r="BP177">
        <v>515709.15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 x14ac:dyDescent="0.35">
      <c r="A178">
        <v>348426</v>
      </c>
      <c r="B178" t="s">
        <v>388</v>
      </c>
      <c r="C178" t="s">
        <v>389</v>
      </c>
      <c r="D178" s="1">
        <v>45806</v>
      </c>
      <c r="E178">
        <v>53850</v>
      </c>
      <c r="F178">
        <v>108</v>
      </c>
      <c r="G178" t="s">
        <v>89</v>
      </c>
      <c r="H178" t="s">
        <v>48</v>
      </c>
      <c r="I178" t="s">
        <v>49</v>
      </c>
      <c r="K178" t="s">
        <v>325</v>
      </c>
      <c r="L178">
        <v>1083300011180</v>
      </c>
      <c r="M178">
        <v>20250528</v>
      </c>
      <c r="N178" t="s">
        <v>262</v>
      </c>
      <c r="Q178" t="s">
        <v>58</v>
      </c>
      <c r="R178">
        <v>128808.06</v>
      </c>
      <c r="S178">
        <v>1200</v>
      </c>
      <c r="T178">
        <v>1118</v>
      </c>
      <c r="U178">
        <v>3246700722</v>
      </c>
      <c r="V178" t="s">
        <v>416</v>
      </c>
      <c r="W178" t="s">
        <v>56</v>
      </c>
      <c r="X178" t="s">
        <v>411</v>
      </c>
      <c r="Y178" t="s">
        <v>51</v>
      </c>
      <c r="Z178">
        <v>1058</v>
      </c>
      <c r="AH178">
        <v>0</v>
      </c>
      <c r="AI178">
        <v>202505</v>
      </c>
      <c r="AJ178" t="s">
        <v>54</v>
      </c>
      <c r="AK178">
        <v>0</v>
      </c>
      <c r="AL178">
        <v>1</v>
      </c>
      <c r="AO178">
        <v>1</v>
      </c>
      <c r="AP178">
        <v>999</v>
      </c>
      <c r="AQ178">
        <v>430</v>
      </c>
      <c r="AR178">
        <v>430999</v>
      </c>
      <c r="AT178">
        <v>1</v>
      </c>
      <c r="AU178" t="s">
        <v>57</v>
      </c>
      <c r="AV178">
        <v>101552.46</v>
      </c>
      <c r="AW178">
        <v>114647.6485</v>
      </c>
      <c r="AX178">
        <v>118167.008</v>
      </c>
      <c r="AY178">
        <v>123559.05899999999</v>
      </c>
      <c r="AZ178">
        <v>128796.368</v>
      </c>
      <c r="BA178">
        <v>130000</v>
      </c>
      <c r="BB178">
        <v>135819.11300000001</v>
      </c>
      <c r="BC178">
        <v>145008.255</v>
      </c>
      <c r="BD178">
        <v>146226.546</v>
      </c>
      <c r="BE178">
        <v>148171.67300000001</v>
      </c>
      <c r="BF178">
        <v>156533.16500000001</v>
      </c>
      <c r="BG178">
        <v>167340.8915</v>
      </c>
      <c r="BH178">
        <v>179808.78</v>
      </c>
      <c r="BI178">
        <v>187222.14799999999</v>
      </c>
      <c r="BJ178">
        <v>206328.26500000001</v>
      </c>
      <c r="BK178">
        <v>220390.6225</v>
      </c>
      <c r="BL178">
        <v>239280.00000000009</v>
      </c>
      <c r="BM178">
        <v>298738.61</v>
      </c>
      <c r="BN178">
        <v>365407.64500000002</v>
      </c>
      <c r="BO178">
        <v>399465.49400000001</v>
      </c>
      <c r="BP178">
        <v>515709.15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 x14ac:dyDescent="0.35">
      <c r="A179">
        <v>348424</v>
      </c>
      <c r="B179" t="s">
        <v>388</v>
      </c>
      <c r="C179" t="s">
        <v>389</v>
      </c>
      <c r="D179" s="1">
        <v>45806</v>
      </c>
      <c r="E179">
        <v>53850</v>
      </c>
      <c r="F179">
        <v>118</v>
      </c>
      <c r="G179" t="s">
        <v>93</v>
      </c>
      <c r="H179" t="s">
        <v>48</v>
      </c>
      <c r="I179" t="s">
        <v>49</v>
      </c>
      <c r="K179">
        <v>202505288020196</v>
      </c>
      <c r="L179">
        <v>1183302007820</v>
      </c>
      <c r="M179">
        <v>20250528</v>
      </c>
      <c r="N179" t="s">
        <v>400</v>
      </c>
      <c r="Q179" t="s">
        <v>58</v>
      </c>
      <c r="R179">
        <v>107500</v>
      </c>
      <c r="S179">
        <v>0</v>
      </c>
      <c r="T179">
        <v>200782</v>
      </c>
      <c r="U179" t="s">
        <v>563</v>
      </c>
      <c r="V179" t="s">
        <v>564</v>
      </c>
      <c r="W179" t="s">
        <v>50</v>
      </c>
      <c r="Y179" t="s">
        <v>51</v>
      </c>
      <c r="Z179">
        <v>724</v>
      </c>
      <c r="AH179">
        <v>0</v>
      </c>
      <c r="AI179">
        <v>202505</v>
      </c>
      <c r="AJ179" t="s">
        <v>54</v>
      </c>
      <c r="AK179">
        <v>0</v>
      </c>
      <c r="AL179">
        <v>1</v>
      </c>
      <c r="AO179">
        <v>0</v>
      </c>
      <c r="AP179">
        <v>999</v>
      </c>
      <c r="AQ179">
        <v>600</v>
      </c>
      <c r="AR179">
        <v>600999</v>
      </c>
      <c r="AS179" t="s">
        <v>52</v>
      </c>
      <c r="AU179" t="s">
        <v>52</v>
      </c>
      <c r="AV179">
        <v>107500</v>
      </c>
      <c r="AW179">
        <v>109625</v>
      </c>
      <c r="AX179">
        <v>110000</v>
      </c>
      <c r="AY179">
        <v>112750</v>
      </c>
      <c r="AZ179">
        <v>120738</v>
      </c>
      <c r="BA179">
        <v>129508.75</v>
      </c>
      <c r="BB179">
        <v>130380</v>
      </c>
      <c r="BC179">
        <v>133610</v>
      </c>
      <c r="BD179">
        <v>133800</v>
      </c>
      <c r="BE179">
        <v>141080</v>
      </c>
      <c r="BF179">
        <v>147500</v>
      </c>
      <c r="BG179">
        <v>155382.03049999999</v>
      </c>
      <c r="BH179">
        <v>165585.11799999999</v>
      </c>
      <c r="BI179">
        <v>166416.67000000001</v>
      </c>
      <c r="BJ179">
        <v>166416.67000000001</v>
      </c>
      <c r="BK179">
        <v>173582.95749999999</v>
      </c>
      <c r="BL179">
        <v>190388.68799999999</v>
      </c>
      <c r="BM179">
        <v>212150</v>
      </c>
      <c r="BN179">
        <v>283513.16900000011</v>
      </c>
      <c r="BO179">
        <v>415377.23</v>
      </c>
      <c r="BP179">
        <v>415377.23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 x14ac:dyDescent="0.35">
      <c r="A180">
        <v>348414</v>
      </c>
      <c r="B180" t="s">
        <v>388</v>
      </c>
      <c r="C180" t="s">
        <v>389</v>
      </c>
      <c r="D180" s="1">
        <v>45806</v>
      </c>
      <c r="E180">
        <v>53850</v>
      </c>
      <c r="F180">
        <v>171</v>
      </c>
      <c r="G180" t="s">
        <v>70</v>
      </c>
      <c r="H180" t="s">
        <v>48</v>
      </c>
      <c r="I180" t="s">
        <v>49</v>
      </c>
      <c r="K180" t="s">
        <v>325</v>
      </c>
      <c r="L180">
        <v>1713305728950</v>
      </c>
      <c r="M180">
        <v>20250528</v>
      </c>
      <c r="N180" t="s">
        <v>253</v>
      </c>
      <c r="Q180" t="s">
        <v>58</v>
      </c>
      <c r="R180">
        <v>382821.7</v>
      </c>
      <c r="S180">
        <v>382821.7</v>
      </c>
      <c r="T180">
        <v>572895</v>
      </c>
      <c r="U180">
        <v>4161600723</v>
      </c>
      <c r="V180" t="s">
        <v>257</v>
      </c>
      <c r="W180" t="s">
        <v>56</v>
      </c>
      <c r="X180" t="s">
        <v>258</v>
      </c>
      <c r="Y180" t="s">
        <v>51</v>
      </c>
      <c r="Z180">
        <v>1903</v>
      </c>
      <c r="AH180">
        <v>0</v>
      </c>
      <c r="AI180">
        <v>202505</v>
      </c>
      <c r="AJ180" t="s">
        <v>168</v>
      </c>
      <c r="AK180">
        <v>1</v>
      </c>
      <c r="AL180">
        <v>1</v>
      </c>
      <c r="AM180">
        <v>572895</v>
      </c>
      <c r="AN180">
        <v>1</v>
      </c>
      <c r="AO180">
        <v>0</v>
      </c>
      <c r="AP180">
        <v>999</v>
      </c>
      <c r="AQ180">
        <v>430</v>
      </c>
      <c r="AR180">
        <v>430999</v>
      </c>
      <c r="AT180">
        <v>1</v>
      </c>
      <c r="AU180" t="s">
        <v>57</v>
      </c>
      <c r="AV180">
        <v>101552.46</v>
      </c>
      <c r="AW180">
        <v>114647.6485</v>
      </c>
      <c r="AX180">
        <v>118167.008</v>
      </c>
      <c r="AY180">
        <v>123559.05899999999</v>
      </c>
      <c r="AZ180">
        <v>128796.368</v>
      </c>
      <c r="BA180">
        <v>130000</v>
      </c>
      <c r="BB180">
        <v>135819.11300000001</v>
      </c>
      <c r="BC180">
        <v>145008.255</v>
      </c>
      <c r="BD180">
        <v>146226.546</v>
      </c>
      <c r="BE180">
        <v>148171.67300000001</v>
      </c>
      <c r="BF180">
        <v>156533.16500000001</v>
      </c>
      <c r="BG180">
        <v>167340.8915</v>
      </c>
      <c r="BH180">
        <v>179808.78</v>
      </c>
      <c r="BI180">
        <v>187222.14799999999</v>
      </c>
      <c r="BJ180">
        <v>206328.26500000001</v>
      </c>
      <c r="BK180">
        <v>220390.6225</v>
      </c>
      <c r="BL180">
        <v>239280.00000000009</v>
      </c>
      <c r="BM180">
        <v>298738.61</v>
      </c>
      <c r="BN180">
        <v>365407.64500000002</v>
      </c>
      <c r="BO180">
        <v>399465.49400000001</v>
      </c>
      <c r="BP180">
        <v>515709.15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0</v>
      </c>
      <c r="CK180">
        <v>0</v>
      </c>
    </row>
    <row r="181" spans="1:89" x14ac:dyDescent="0.35">
      <c r="A181">
        <v>348412</v>
      </c>
      <c r="B181" t="s">
        <v>388</v>
      </c>
      <c r="C181" t="s">
        <v>389</v>
      </c>
      <c r="D181" s="1">
        <v>45806</v>
      </c>
      <c r="E181">
        <v>53850</v>
      </c>
      <c r="F181">
        <v>116</v>
      </c>
      <c r="G181" t="s">
        <v>259</v>
      </c>
      <c r="H181" t="s">
        <v>48</v>
      </c>
      <c r="I181" t="s">
        <v>49</v>
      </c>
      <c r="K181">
        <v>202505288019941</v>
      </c>
      <c r="L181">
        <v>2343300010453</v>
      </c>
      <c r="M181">
        <v>20250528</v>
      </c>
      <c r="N181" t="s">
        <v>253</v>
      </c>
      <c r="Q181" t="s">
        <v>58</v>
      </c>
      <c r="R181">
        <v>150161.29999999999</v>
      </c>
      <c r="S181">
        <v>150161.29999999999</v>
      </c>
      <c r="T181">
        <v>4247777</v>
      </c>
      <c r="U181">
        <v>233470236</v>
      </c>
      <c r="V181" t="s">
        <v>260</v>
      </c>
      <c r="W181" t="s">
        <v>56</v>
      </c>
      <c r="X181" t="s">
        <v>72</v>
      </c>
      <c r="Y181" t="s">
        <v>51</v>
      </c>
      <c r="Z181">
        <v>1696</v>
      </c>
      <c r="AH181">
        <v>0</v>
      </c>
      <c r="AI181">
        <v>202505</v>
      </c>
      <c r="AJ181" t="s">
        <v>177</v>
      </c>
      <c r="AK181">
        <v>1</v>
      </c>
      <c r="AL181">
        <v>1</v>
      </c>
      <c r="AM181">
        <v>4247777</v>
      </c>
      <c r="AN181">
        <v>1</v>
      </c>
      <c r="AO181">
        <v>0</v>
      </c>
      <c r="AP181">
        <v>463</v>
      </c>
      <c r="AQ181">
        <v>430</v>
      </c>
      <c r="AR181">
        <v>430463</v>
      </c>
      <c r="AS181" t="s">
        <v>61</v>
      </c>
      <c r="AU181" t="s">
        <v>61</v>
      </c>
      <c r="AV181">
        <v>85050</v>
      </c>
      <c r="AW181">
        <v>89030</v>
      </c>
      <c r="AX181">
        <v>91669.203999999998</v>
      </c>
      <c r="AY181">
        <v>93087.394</v>
      </c>
      <c r="AZ181">
        <v>94164.18</v>
      </c>
      <c r="BA181">
        <v>96798.05</v>
      </c>
      <c r="BB181">
        <v>100000</v>
      </c>
      <c r="BC181">
        <v>100000</v>
      </c>
      <c r="BD181">
        <v>101589.726</v>
      </c>
      <c r="BE181">
        <v>106295.712</v>
      </c>
      <c r="BF181">
        <v>110193.28</v>
      </c>
      <c r="BG181">
        <v>119645.424</v>
      </c>
      <c r="BH181">
        <v>127698</v>
      </c>
      <c r="BI181">
        <v>137713.79399999999</v>
      </c>
      <c r="BJ181">
        <v>139806</v>
      </c>
      <c r="BK181">
        <v>150000</v>
      </c>
      <c r="BL181">
        <v>161820.22</v>
      </c>
      <c r="BM181">
        <v>190199.99999999991</v>
      </c>
      <c r="BN181">
        <v>213800</v>
      </c>
      <c r="BO181">
        <v>259913.9999999998</v>
      </c>
      <c r="BP181">
        <v>440000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 x14ac:dyDescent="0.35">
      <c r="A182">
        <v>348401</v>
      </c>
      <c r="B182" t="s">
        <v>388</v>
      </c>
      <c r="C182" t="s">
        <v>389</v>
      </c>
      <c r="D182" s="1">
        <v>45805</v>
      </c>
      <c r="E182">
        <v>53850</v>
      </c>
      <c r="F182">
        <v>108</v>
      </c>
      <c r="G182" t="s">
        <v>89</v>
      </c>
      <c r="H182" t="s">
        <v>48</v>
      </c>
      <c r="I182" t="s">
        <v>49</v>
      </c>
      <c r="K182" t="s">
        <v>327</v>
      </c>
      <c r="L182">
        <v>1083306291105</v>
      </c>
      <c r="M182">
        <v>20250527</v>
      </c>
      <c r="N182" t="s">
        <v>262</v>
      </c>
      <c r="Q182" t="s">
        <v>58</v>
      </c>
      <c r="R182">
        <v>146073.12</v>
      </c>
      <c r="S182">
        <v>117952.05</v>
      </c>
      <c r="T182">
        <v>4227057</v>
      </c>
      <c r="U182">
        <v>4874620729</v>
      </c>
      <c r="V182" t="s">
        <v>263</v>
      </c>
      <c r="W182" t="s">
        <v>56</v>
      </c>
      <c r="X182" t="s">
        <v>264</v>
      </c>
      <c r="Y182" t="s">
        <v>51</v>
      </c>
      <c r="Z182">
        <v>1058</v>
      </c>
      <c r="AH182">
        <v>0</v>
      </c>
      <c r="AI182">
        <v>202505</v>
      </c>
      <c r="AJ182" t="s">
        <v>63</v>
      </c>
      <c r="AK182">
        <v>0</v>
      </c>
      <c r="AL182">
        <v>1</v>
      </c>
      <c r="AM182">
        <v>4227057</v>
      </c>
      <c r="AN182">
        <v>1</v>
      </c>
      <c r="AO182">
        <v>1</v>
      </c>
      <c r="AP182">
        <v>999</v>
      </c>
      <c r="AQ182">
        <v>430</v>
      </c>
      <c r="AR182">
        <v>430999</v>
      </c>
      <c r="AT182">
        <v>1</v>
      </c>
      <c r="AU182" t="s">
        <v>57</v>
      </c>
      <c r="AV182">
        <v>101552.46</v>
      </c>
      <c r="AW182">
        <v>114647.6485</v>
      </c>
      <c r="AX182">
        <v>118167.008</v>
      </c>
      <c r="AY182">
        <v>123559.05899999999</v>
      </c>
      <c r="AZ182">
        <v>128796.368</v>
      </c>
      <c r="BA182">
        <v>130000</v>
      </c>
      <c r="BB182">
        <v>135819.11300000001</v>
      </c>
      <c r="BC182">
        <v>145008.255</v>
      </c>
      <c r="BD182">
        <v>146226.546</v>
      </c>
      <c r="BE182">
        <v>148171.67300000001</v>
      </c>
      <c r="BF182">
        <v>156533.16500000001</v>
      </c>
      <c r="BG182">
        <v>167340.8915</v>
      </c>
      <c r="BH182">
        <v>179808.78</v>
      </c>
      <c r="BI182">
        <v>187222.14799999999</v>
      </c>
      <c r="BJ182">
        <v>206328.26500000001</v>
      </c>
      <c r="BK182">
        <v>220390.6225</v>
      </c>
      <c r="BL182">
        <v>239280.00000000009</v>
      </c>
      <c r="BM182">
        <v>298738.61</v>
      </c>
      <c r="BN182">
        <v>365407.64500000002</v>
      </c>
      <c r="BO182">
        <v>399465.49400000001</v>
      </c>
      <c r="BP182">
        <v>515709.15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 x14ac:dyDescent="0.35">
      <c r="A183">
        <v>348395</v>
      </c>
      <c r="B183" t="s">
        <v>388</v>
      </c>
      <c r="C183" t="s">
        <v>389</v>
      </c>
      <c r="D183" s="1">
        <v>45805</v>
      </c>
      <c r="E183">
        <v>53850</v>
      </c>
      <c r="F183">
        <v>109</v>
      </c>
      <c r="G183" t="s">
        <v>68</v>
      </c>
      <c r="H183" t="s">
        <v>48</v>
      </c>
      <c r="I183" t="s">
        <v>49</v>
      </c>
      <c r="K183">
        <v>202505278017110</v>
      </c>
      <c r="L183">
        <v>2263300011992</v>
      </c>
      <c r="M183">
        <v>20250527</v>
      </c>
      <c r="N183" t="s">
        <v>400</v>
      </c>
      <c r="Q183" t="s">
        <v>58</v>
      </c>
      <c r="R183">
        <v>68166.679999999993</v>
      </c>
      <c r="S183">
        <v>0</v>
      </c>
      <c r="T183">
        <v>4847196</v>
      </c>
      <c r="U183" t="s">
        <v>565</v>
      </c>
      <c r="V183" t="s">
        <v>566</v>
      </c>
      <c r="W183" t="s">
        <v>66</v>
      </c>
      <c r="X183" t="s">
        <v>80</v>
      </c>
      <c r="Y183" t="s">
        <v>51</v>
      </c>
      <c r="Z183">
        <v>746</v>
      </c>
      <c r="AH183">
        <v>0</v>
      </c>
      <c r="AI183">
        <v>202505</v>
      </c>
      <c r="AJ183" t="s">
        <v>63</v>
      </c>
      <c r="AK183">
        <v>0</v>
      </c>
      <c r="AL183">
        <v>1</v>
      </c>
      <c r="AO183">
        <v>0</v>
      </c>
      <c r="AP183">
        <v>477</v>
      </c>
      <c r="AQ183">
        <v>615</v>
      </c>
      <c r="AR183">
        <v>615477</v>
      </c>
      <c r="AS183" t="s">
        <v>270</v>
      </c>
      <c r="AU183" t="s">
        <v>270</v>
      </c>
      <c r="AV183">
        <v>37615</v>
      </c>
      <c r="AW183">
        <v>38129.25</v>
      </c>
      <c r="AX183">
        <v>38617</v>
      </c>
      <c r="AY183">
        <v>38985.5</v>
      </c>
      <c r="AZ183">
        <v>39276</v>
      </c>
      <c r="BA183">
        <v>39430</v>
      </c>
      <c r="BB183">
        <v>39650</v>
      </c>
      <c r="BC183">
        <v>39925</v>
      </c>
      <c r="BD183">
        <v>40004</v>
      </c>
      <c r="BE183">
        <v>40009.5</v>
      </c>
      <c r="BF183">
        <v>40505</v>
      </c>
      <c r="BG183">
        <v>41243.25</v>
      </c>
      <c r="BH183">
        <v>43919</v>
      </c>
      <c r="BI183">
        <v>46035.25</v>
      </c>
      <c r="BJ183">
        <v>46659.5</v>
      </c>
      <c r="BK183">
        <v>48836.25</v>
      </c>
      <c r="BL183">
        <v>52876.000000000007</v>
      </c>
      <c r="BM183">
        <v>56324.25</v>
      </c>
      <c r="BN183">
        <v>59434.5</v>
      </c>
      <c r="BO183">
        <v>63675.005999999987</v>
      </c>
      <c r="BP183">
        <v>68166.679999999993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</row>
    <row r="184" spans="1:89" x14ac:dyDescent="0.35">
      <c r="A184">
        <v>348393</v>
      </c>
      <c r="B184" t="s">
        <v>388</v>
      </c>
      <c r="C184" t="s">
        <v>389</v>
      </c>
      <c r="D184" s="1">
        <v>45805</v>
      </c>
      <c r="E184">
        <v>53850</v>
      </c>
      <c r="F184">
        <v>141</v>
      </c>
      <c r="G184" t="s">
        <v>75</v>
      </c>
      <c r="H184" t="s">
        <v>48</v>
      </c>
      <c r="I184" t="s">
        <v>49</v>
      </c>
      <c r="K184" t="s">
        <v>327</v>
      </c>
      <c r="L184">
        <v>1413300004393</v>
      </c>
      <c r="M184">
        <v>20250527</v>
      </c>
      <c r="N184" t="s">
        <v>262</v>
      </c>
      <c r="Q184" t="s">
        <v>58</v>
      </c>
      <c r="R184">
        <v>101703.51</v>
      </c>
      <c r="S184">
        <v>15615</v>
      </c>
      <c r="T184">
        <v>3743595</v>
      </c>
      <c r="U184">
        <v>5408440757</v>
      </c>
      <c r="V184" t="s">
        <v>326</v>
      </c>
      <c r="W184" t="s">
        <v>77</v>
      </c>
      <c r="X184" t="s">
        <v>241</v>
      </c>
      <c r="Y184" t="s">
        <v>51</v>
      </c>
      <c r="Z184">
        <v>862</v>
      </c>
      <c r="AH184">
        <v>0</v>
      </c>
      <c r="AI184">
        <v>202505</v>
      </c>
      <c r="AJ184" t="s">
        <v>168</v>
      </c>
      <c r="AK184">
        <v>1</v>
      </c>
      <c r="AL184">
        <v>1</v>
      </c>
      <c r="AM184">
        <v>3743595</v>
      </c>
      <c r="AN184">
        <v>1</v>
      </c>
      <c r="AO184">
        <v>1</v>
      </c>
      <c r="AP184">
        <v>999</v>
      </c>
      <c r="AQ184">
        <v>501</v>
      </c>
      <c r="AR184">
        <v>501999</v>
      </c>
      <c r="AT184">
        <v>1</v>
      </c>
      <c r="AU184" t="s">
        <v>61</v>
      </c>
      <c r="AV184">
        <v>85050</v>
      </c>
      <c r="AW184">
        <v>89030</v>
      </c>
      <c r="AX184">
        <v>91669.203999999998</v>
      </c>
      <c r="AY184">
        <v>93087.394</v>
      </c>
      <c r="AZ184">
        <v>94164.18</v>
      </c>
      <c r="BA184">
        <v>96798.05</v>
      </c>
      <c r="BB184">
        <v>100000</v>
      </c>
      <c r="BC184">
        <v>100000</v>
      </c>
      <c r="BD184">
        <v>101589.726</v>
      </c>
      <c r="BE184">
        <v>106295.712</v>
      </c>
      <c r="BF184">
        <v>110193.28</v>
      </c>
      <c r="BG184">
        <v>119645.424</v>
      </c>
      <c r="BH184">
        <v>127698</v>
      </c>
      <c r="BI184">
        <v>137713.79399999999</v>
      </c>
      <c r="BJ184">
        <v>139806</v>
      </c>
      <c r="BK184">
        <v>150000</v>
      </c>
      <c r="BL184">
        <v>161820.22</v>
      </c>
      <c r="BM184">
        <v>190199.99999999991</v>
      </c>
      <c r="BN184">
        <v>213800</v>
      </c>
      <c r="BO184">
        <v>259913.9999999998</v>
      </c>
      <c r="BP184">
        <v>440000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 x14ac:dyDescent="0.35">
      <c r="A185">
        <v>348392</v>
      </c>
      <c r="B185" t="s">
        <v>388</v>
      </c>
      <c r="C185" t="s">
        <v>389</v>
      </c>
      <c r="D185" s="1">
        <v>45805</v>
      </c>
      <c r="E185">
        <v>53850</v>
      </c>
      <c r="F185">
        <v>171</v>
      </c>
      <c r="G185" t="s">
        <v>70</v>
      </c>
      <c r="H185" t="s">
        <v>48</v>
      </c>
      <c r="I185" t="s">
        <v>49</v>
      </c>
      <c r="K185" t="s">
        <v>327</v>
      </c>
      <c r="L185">
        <v>1713305728950</v>
      </c>
      <c r="M185">
        <v>20250527</v>
      </c>
      <c r="N185" t="s">
        <v>253</v>
      </c>
      <c r="Q185" t="s">
        <v>58</v>
      </c>
      <c r="R185">
        <v>189945</v>
      </c>
      <c r="S185">
        <v>189945</v>
      </c>
      <c r="T185">
        <v>572895</v>
      </c>
      <c r="U185">
        <v>4161600723</v>
      </c>
      <c r="V185" t="s">
        <v>257</v>
      </c>
      <c r="W185" t="s">
        <v>56</v>
      </c>
      <c r="X185" t="s">
        <v>258</v>
      </c>
      <c r="Y185" t="s">
        <v>51</v>
      </c>
      <c r="Z185">
        <v>1903</v>
      </c>
      <c r="AH185">
        <v>0</v>
      </c>
      <c r="AI185">
        <v>202505</v>
      </c>
      <c r="AJ185" t="s">
        <v>168</v>
      </c>
      <c r="AK185">
        <v>1</v>
      </c>
      <c r="AL185">
        <v>1</v>
      </c>
      <c r="AM185">
        <v>572895</v>
      </c>
      <c r="AN185">
        <v>1</v>
      </c>
      <c r="AO185">
        <v>0</v>
      </c>
      <c r="AP185">
        <v>999</v>
      </c>
      <c r="AQ185">
        <v>430</v>
      </c>
      <c r="AR185">
        <v>430999</v>
      </c>
      <c r="AT185">
        <v>1</v>
      </c>
      <c r="AU185" t="s">
        <v>57</v>
      </c>
      <c r="AV185">
        <v>101552.46</v>
      </c>
      <c r="AW185">
        <v>114647.6485</v>
      </c>
      <c r="AX185">
        <v>118167.008</v>
      </c>
      <c r="AY185">
        <v>123559.05899999999</v>
      </c>
      <c r="AZ185">
        <v>128796.368</v>
      </c>
      <c r="BA185">
        <v>130000</v>
      </c>
      <c r="BB185">
        <v>135819.11300000001</v>
      </c>
      <c r="BC185">
        <v>145008.255</v>
      </c>
      <c r="BD185">
        <v>146226.546</v>
      </c>
      <c r="BE185">
        <v>148171.67300000001</v>
      </c>
      <c r="BF185">
        <v>156533.16500000001</v>
      </c>
      <c r="BG185">
        <v>167340.8915</v>
      </c>
      <c r="BH185">
        <v>179808.78</v>
      </c>
      <c r="BI185">
        <v>187222.14799999999</v>
      </c>
      <c r="BJ185">
        <v>206328.26500000001</v>
      </c>
      <c r="BK185">
        <v>220390.6225</v>
      </c>
      <c r="BL185">
        <v>239280.00000000009</v>
      </c>
      <c r="BM185">
        <v>298738.61</v>
      </c>
      <c r="BN185">
        <v>365407.64500000002</v>
      </c>
      <c r="BO185">
        <v>399465.49400000001</v>
      </c>
      <c r="BP185">
        <v>515709.15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 x14ac:dyDescent="0.35">
      <c r="A186">
        <v>348385</v>
      </c>
      <c r="B186" t="s">
        <v>388</v>
      </c>
      <c r="C186" t="s">
        <v>389</v>
      </c>
      <c r="D186" s="1">
        <v>45805</v>
      </c>
      <c r="E186">
        <v>53850</v>
      </c>
      <c r="F186">
        <v>175</v>
      </c>
      <c r="G186" t="s">
        <v>65</v>
      </c>
      <c r="H186" t="s">
        <v>48</v>
      </c>
      <c r="I186" t="s">
        <v>49</v>
      </c>
      <c r="K186" t="s">
        <v>327</v>
      </c>
      <c r="L186">
        <v>1753302203350</v>
      </c>
      <c r="M186">
        <v>20250527</v>
      </c>
      <c r="N186" t="s">
        <v>262</v>
      </c>
      <c r="Q186" t="s">
        <v>58</v>
      </c>
      <c r="R186">
        <v>221700</v>
      </c>
      <c r="S186">
        <v>0</v>
      </c>
      <c r="T186">
        <v>4844007</v>
      </c>
      <c r="U186">
        <v>1296320771</v>
      </c>
      <c r="V186" t="s">
        <v>426</v>
      </c>
      <c r="W186" t="s">
        <v>56</v>
      </c>
      <c r="X186" t="s">
        <v>62</v>
      </c>
      <c r="Y186" t="s">
        <v>51</v>
      </c>
      <c r="Z186">
        <v>936</v>
      </c>
      <c r="AH186">
        <v>0</v>
      </c>
      <c r="AI186">
        <v>202505</v>
      </c>
      <c r="AJ186" t="s">
        <v>168</v>
      </c>
      <c r="AK186">
        <v>1</v>
      </c>
      <c r="AL186">
        <v>1</v>
      </c>
      <c r="AO186">
        <v>1</v>
      </c>
      <c r="AP186">
        <v>412</v>
      </c>
      <c r="AQ186">
        <v>430</v>
      </c>
      <c r="AR186">
        <v>430412</v>
      </c>
      <c r="AS186" t="s">
        <v>61</v>
      </c>
      <c r="AU186" t="s">
        <v>61</v>
      </c>
      <c r="AV186">
        <v>85050</v>
      </c>
      <c r="AW186">
        <v>89030</v>
      </c>
      <c r="AX186">
        <v>91669.203999999998</v>
      </c>
      <c r="AY186">
        <v>93087.394</v>
      </c>
      <c r="AZ186">
        <v>94164.18</v>
      </c>
      <c r="BA186">
        <v>96798.05</v>
      </c>
      <c r="BB186">
        <v>100000</v>
      </c>
      <c r="BC186">
        <v>100000</v>
      </c>
      <c r="BD186">
        <v>101589.726</v>
      </c>
      <c r="BE186">
        <v>106295.712</v>
      </c>
      <c r="BF186">
        <v>110193.28</v>
      </c>
      <c r="BG186">
        <v>119645.424</v>
      </c>
      <c r="BH186">
        <v>127698</v>
      </c>
      <c r="BI186">
        <v>137713.79399999999</v>
      </c>
      <c r="BJ186">
        <v>139806</v>
      </c>
      <c r="BK186">
        <v>150000</v>
      </c>
      <c r="BL186">
        <v>161820.22</v>
      </c>
      <c r="BM186">
        <v>190199.99999999991</v>
      </c>
      <c r="BN186">
        <v>213800</v>
      </c>
      <c r="BO186">
        <v>259913.9999999998</v>
      </c>
      <c r="BP186">
        <v>440000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0</v>
      </c>
      <c r="CK186">
        <v>0</v>
      </c>
    </row>
    <row r="187" spans="1:89" x14ac:dyDescent="0.35">
      <c r="A187">
        <v>348378</v>
      </c>
      <c r="B187" t="s">
        <v>388</v>
      </c>
      <c r="C187" t="s">
        <v>389</v>
      </c>
      <c r="D187" s="1">
        <v>45805</v>
      </c>
      <c r="E187">
        <v>53850</v>
      </c>
      <c r="F187">
        <v>270</v>
      </c>
      <c r="G187" t="s">
        <v>76</v>
      </c>
      <c r="H187" t="s">
        <v>48</v>
      </c>
      <c r="I187" t="s">
        <v>49</v>
      </c>
      <c r="K187">
        <v>202505278017437</v>
      </c>
      <c r="L187">
        <v>2703300000994</v>
      </c>
      <c r="M187">
        <v>20250527</v>
      </c>
      <c r="N187" t="s">
        <v>400</v>
      </c>
      <c r="Q187" t="s">
        <v>58</v>
      </c>
      <c r="R187">
        <v>164600</v>
      </c>
      <c r="S187">
        <v>0</v>
      </c>
      <c r="T187">
        <v>1625788</v>
      </c>
      <c r="U187" t="s">
        <v>567</v>
      </c>
      <c r="V187" t="s">
        <v>568</v>
      </c>
      <c r="W187" t="s">
        <v>50</v>
      </c>
      <c r="Y187" t="s">
        <v>51</v>
      </c>
      <c r="Z187">
        <v>1822</v>
      </c>
      <c r="AH187">
        <v>0</v>
      </c>
      <c r="AI187">
        <v>202505</v>
      </c>
      <c r="AJ187" t="s">
        <v>169</v>
      </c>
      <c r="AK187">
        <v>1</v>
      </c>
      <c r="AL187">
        <v>1</v>
      </c>
      <c r="AO187">
        <v>0</v>
      </c>
      <c r="AP187">
        <v>999</v>
      </c>
      <c r="AQ187">
        <v>600</v>
      </c>
      <c r="AR187">
        <v>600999</v>
      </c>
      <c r="AS187" t="s">
        <v>52</v>
      </c>
      <c r="AU187" t="s">
        <v>52</v>
      </c>
      <c r="AV187">
        <v>107500</v>
      </c>
      <c r="AW187">
        <v>109625</v>
      </c>
      <c r="AX187">
        <v>110000</v>
      </c>
      <c r="AY187">
        <v>112750</v>
      </c>
      <c r="AZ187">
        <v>120738</v>
      </c>
      <c r="BA187">
        <v>129508.75</v>
      </c>
      <c r="BB187">
        <v>130380</v>
      </c>
      <c r="BC187">
        <v>133610</v>
      </c>
      <c r="BD187">
        <v>133800</v>
      </c>
      <c r="BE187">
        <v>141080</v>
      </c>
      <c r="BF187">
        <v>147500</v>
      </c>
      <c r="BG187">
        <v>155382.03049999999</v>
      </c>
      <c r="BH187">
        <v>165585.11799999999</v>
      </c>
      <c r="BI187">
        <v>166416.67000000001</v>
      </c>
      <c r="BJ187">
        <v>166416.67000000001</v>
      </c>
      <c r="BK187">
        <v>173582.95749999999</v>
      </c>
      <c r="BL187">
        <v>190388.68799999999</v>
      </c>
      <c r="BM187">
        <v>212150</v>
      </c>
      <c r="BN187">
        <v>283513.16900000011</v>
      </c>
      <c r="BO187">
        <v>415377.23</v>
      </c>
      <c r="BP187">
        <v>415377.23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 x14ac:dyDescent="0.35">
      <c r="A188">
        <v>348377</v>
      </c>
      <c r="B188" t="s">
        <v>388</v>
      </c>
      <c r="C188" t="s">
        <v>389</v>
      </c>
      <c r="D188" s="1">
        <v>45805</v>
      </c>
      <c r="E188">
        <v>53850</v>
      </c>
      <c r="F188">
        <v>103</v>
      </c>
      <c r="G188" t="s">
        <v>59</v>
      </c>
      <c r="H188" t="s">
        <v>48</v>
      </c>
      <c r="I188" t="s">
        <v>49</v>
      </c>
      <c r="K188" t="s">
        <v>327</v>
      </c>
      <c r="L188">
        <v>1033306979706</v>
      </c>
      <c r="M188">
        <v>20250527</v>
      </c>
      <c r="N188" t="s">
        <v>262</v>
      </c>
      <c r="Q188" t="s">
        <v>58</v>
      </c>
      <c r="R188">
        <v>157000</v>
      </c>
      <c r="S188">
        <v>0</v>
      </c>
      <c r="T188">
        <v>4963589</v>
      </c>
      <c r="U188">
        <v>8530200727</v>
      </c>
      <c r="V188" t="s">
        <v>569</v>
      </c>
      <c r="W188" t="s">
        <v>56</v>
      </c>
      <c r="X188" t="s">
        <v>62</v>
      </c>
      <c r="Y188" t="s">
        <v>51</v>
      </c>
      <c r="Z188">
        <v>1175</v>
      </c>
      <c r="AH188">
        <v>0</v>
      </c>
      <c r="AI188">
        <v>202505</v>
      </c>
      <c r="AJ188" t="s">
        <v>168</v>
      </c>
      <c r="AK188">
        <v>1</v>
      </c>
      <c r="AL188">
        <v>1</v>
      </c>
      <c r="AO188">
        <v>1</v>
      </c>
      <c r="AP188">
        <v>412</v>
      </c>
      <c r="AQ188">
        <v>430</v>
      </c>
      <c r="AR188">
        <v>430412</v>
      </c>
      <c r="AS188" t="s">
        <v>61</v>
      </c>
      <c r="AU188" t="s">
        <v>61</v>
      </c>
      <c r="AV188">
        <v>85050</v>
      </c>
      <c r="AW188">
        <v>89030</v>
      </c>
      <c r="AX188">
        <v>91669.203999999998</v>
      </c>
      <c r="AY188">
        <v>93087.394</v>
      </c>
      <c r="AZ188">
        <v>94164.18</v>
      </c>
      <c r="BA188">
        <v>96798.05</v>
      </c>
      <c r="BB188">
        <v>100000</v>
      </c>
      <c r="BC188">
        <v>100000</v>
      </c>
      <c r="BD188">
        <v>101589.726</v>
      </c>
      <c r="BE188">
        <v>106295.712</v>
      </c>
      <c r="BF188">
        <v>110193.28</v>
      </c>
      <c r="BG188">
        <v>119645.424</v>
      </c>
      <c r="BH188">
        <v>127698</v>
      </c>
      <c r="BI188">
        <v>137713.79399999999</v>
      </c>
      <c r="BJ188">
        <v>139806</v>
      </c>
      <c r="BK188">
        <v>150000</v>
      </c>
      <c r="BL188">
        <v>161820.22</v>
      </c>
      <c r="BM188">
        <v>190199.99999999991</v>
      </c>
      <c r="BN188">
        <v>213800</v>
      </c>
      <c r="BO188">
        <v>259913.9999999998</v>
      </c>
      <c r="BP188">
        <v>440000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 x14ac:dyDescent="0.35">
      <c r="A189">
        <v>348358</v>
      </c>
      <c r="B189" t="s">
        <v>388</v>
      </c>
      <c r="C189" t="s">
        <v>389</v>
      </c>
      <c r="D189" s="1">
        <v>45804</v>
      </c>
      <c r="E189">
        <v>53850</v>
      </c>
      <c r="F189">
        <v>116</v>
      </c>
      <c r="G189" t="s">
        <v>259</v>
      </c>
      <c r="H189" t="s">
        <v>48</v>
      </c>
      <c r="I189" t="s">
        <v>49</v>
      </c>
      <c r="K189" t="s">
        <v>328</v>
      </c>
      <c r="L189">
        <v>1163307623465</v>
      </c>
      <c r="M189">
        <v>20250526</v>
      </c>
      <c r="N189" t="s">
        <v>392</v>
      </c>
      <c r="Q189" t="s">
        <v>58</v>
      </c>
      <c r="R189">
        <v>100000</v>
      </c>
      <c r="S189">
        <v>0</v>
      </c>
      <c r="T189">
        <v>3738297</v>
      </c>
      <c r="U189">
        <v>8684570727</v>
      </c>
      <c r="V189" t="s">
        <v>438</v>
      </c>
      <c r="W189" t="s">
        <v>56</v>
      </c>
      <c r="X189" t="s">
        <v>62</v>
      </c>
      <c r="Y189" t="s">
        <v>51</v>
      </c>
      <c r="Z189">
        <v>739</v>
      </c>
      <c r="AH189">
        <v>0</v>
      </c>
      <c r="AI189">
        <v>202505</v>
      </c>
      <c r="AJ189" t="s">
        <v>168</v>
      </c>
      <c r="AK189">
        <v>1</v>
      </c>
      <c r="AL189">
        <v>1</v>
      </c>
      <c r="AO189">
        <v>0</v>
      </c>
      <c r="AP189">
        <v>412</v>
      </c>
      <c r="AQ189">
        <v>430</v>
      </c>
      <c r="AR189">
        <v>430412</v>
      </c>
      <c r="AS189" t="s">
        <v>61</v>
      </c>
      <c r="AU189" t="s">
        <v>61</v>
      </c>
      <c r="AV189">
        <v>85050</v>
      </c>
      <c r="AW189">
        <v>89030</v>
      </c>
      <c r="AX189">
        <v>91669.203999999998</v>
      </c>
      <c r="AY189">
        <v>93087.394</v>
      </c>
      <c r="AZ189">
        <v>94164.18</v>
      </c>
      <c r="BA189">
        <v>96798.05</v>
      </c>
      <c r="BB189">
        <v>100000</v>
      </c>
      <c r="BC189">
        <v>100000</v>
      </c>
      <c r="BD189">
        <v>101589.726</v>
      </c>
      <c r="BE189">
        <v>106295.712</v>
      </c>
      <c r="BF189">
        <v>110193.28</v>
      </c>
      <c r="BG189">
        <v>119645.424</v>
      </c>
      <c r="BH189">
        <v>127698</v>
      </c>
      <c r="BI189">
        <v>137713.79399999999</v>
      </c>
      <c r="BJ189">
        <v>139806</v>
      </c>
      <c r="BK189">
        <v>150000</v>
      </c>
      <c r="BL189">
        <v>161820.22</v>
      </c>
      <c r="BM189">
        <v>190199.99999999991</v>
      </c>
      <c r="BN189">
        <v>213800</v>
      </c>
      <c r="BO189">
        <v>259913.9999999998</v>
      </c>
      <c r="BP189">
        <v>440000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 x14ac:dyDescent="0.35">
      <c r="A190">
        <v>348351</v>
      </c>
      <c r="B190" t="s">
        <v>388</v>
      </c>
      <c r="C190" t="s">
        <v>389</v>
      </c>
      <c r="D190" s="1">
        <v>45804</v>
      </c>
      <c r="E190">
        <v>53850</v>
      </c>
      <c r="F190">
        <v>103</v>
      </c>
      <c r="G190" t="s">
        <v>59</v>
      </c>
      <c r="H190" t="s">
        <v>48</v>
      </c>
      <c r="I190" t="s">
        <v>49</v>
      </c>
      <c r="K190">
        <v>202505268013775</v>
      </c>
      <c r="L190">
        <v>1033306986134</v>
      </c>
      <c r="M190">
        <v>20250526</v>
      </c>
      <c r="N190" t="s">
        <v>265</v>
      </c>
      <c r="Q190" t="s">
        <v>58</v>
      </c>
      <c r="R190">
        <v>251379.54</v>
      </c>
      <c r="S190">
        <v>0</v>
      </c>
      <c r="T190">
        <v>4100632</v>
      </c>
      <c r="U190" t="s">
        <v>570</v>
      </c>
      <c r="V190" t="s">
        <v>571</v>
      </c>
      <c r="W190" t="s">
        <v>66</v>
      </c>
      <c r="X190" t="s">
        <v>80</v>
      </c>
      <c r="Y190" t="s">
        <v>51</v>
      </c>
      <c r="Z190">
        <v>995</v>
      </c>
      <c r="AH190">
        <v>0</v>
      </c>
      <c r="AI190">
        <v>202505</v>
      </c>
      <c r="AJ190" t="s">
        <v>169</v>
      </c>
      <c r="AK190">
        <v>1</v>
      </c>
      <c r="AL190">
        <v>1</v>
      </c>
      <c r="AO190">
        <v>0</v>
      </c>
      <c r="AP190">
        <v>477</v>
      </c>
      <c r="AQ190">
        <v>615</v>
      </c>
      <c r="AR190">
        <v>615477</v>
      </c>
      <c r="AS190" t="s">
        <v>270</v>
      </c>
      <c r="AU190" t="s">
        <v>270</v>
      </c>
      <c r="AV190">
        <v>37615</v>
      </c>
      <c r="AW190">
        <v>38129.25</v>
      </c>
      <c r="AX190">
        <v>38617</v>
      </c>
      <c r="AY190">
        <v>38985.5</v>
      </c>
      <c r="AZ190">
        <v>39276</v>
      </c>
      <c r="BA190">
        <v>39430</v>
      </c>
      <c r="BB190">
        <v>39650</v>
      </c>
      <c r="BC190">
        <v>39925</v>
      </c>
      <c r="BD190">
        <v>40004</v>
      </c>
      <c r="BE190">
        <v>40009.5</v>
      </c>
      <c r="BF190">
        <v>40505</v>
      </c>
      <c r="BG190">
        <v>41243.25</v>
      </c>
      <c r="BH190">
        <v>43919</v>
      </c>
      <c r="BI190">
        <v>46035.25</v>
      </c>
      <c r="BJ190">
        <v>46659.5</v>
      </c>
      <c r="BK190">
        <v>48836.25</v>
      </c>
      <c r="BL190">
        <v>52876.000000000007</v>
      </c>
      <c r="BM190">
        <v>56324.25</v>
      </c>
      <c r="BN190">
        <v>59434.5</v>
      </c>
      <c r="BO190">
        <v>63675.005999999987</v>
      </c>
      <c r="BP190">
        <v>68166.679999999993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</row>
    <row r="191" spans="1:89" x14ac:dyDescent="0.35">
      <c r="A191">
        <v>348342</v>
      </c>
      <c r="B191" t="s">
        <v>388</v>
      </c>
      <c r="C191" t="s">
        <v>389</v>
      </c>
      <c r="D191" s="1">
        <v>45804</v>
      </c>
      <c r="E191">
        <v>53850</v>
      </c>
      <c r="F191">
        <v>128</v>
      </c>
      <c r="G191" t="s">
        <v>274</v>
      </c>
      <c r="H191" t="s">
        <v>48</v>
      </c>
      <c r="I191" t="s">
        <v>49</v>
      </c>
      <c r="K191" t="s">
        <v>328</v>
      </c>
      <c r="L191">
        <v>1093306674353</v>
      </c>
      <c r="M191">
        <v>20250526</v>
      </c>
      <c r="N191" t="s">
        <v>262</v>
      </c>
      <c r="Q191" t="s">
        <v>58</v>
      </c>
      <c r="R191">
        <v>139000</v>
      </c>
      <c r="S191">
        <v>12500</v>
      </c>
      <c r="T191">
        <v>4916449</v>
      </c>
      <c r="U191">
        <v>8176830720</v>
      </c>
      <c r="V191" t="s">
        <v>525</v>
      </c>
      <c r="W191" t="s">
        <v>56</v>
      </c>
      <c r="X191" t="s">
        <v>238</v>
      </c>
      <c r="Y191" t="s">
        <v>51</v>
      </c>
      <c r="Z191">
        <v>1903</v>
      </c>
      <c r="AH191">
        <v>0</v>
      </c>
      <c r="AI191">
        <v>202505</v>
      </c>
      <c r="AJ191" t="s">
        <v>63</v>
      </c>
      <c r="AK191">
        <v>0</v>
      </c>
      <c r="AL191">
        <v>1</v>
      </c>
      <c r="AM191">
        <v>4916449</v>
      </c>
      <c r="AN191">
        <v>1</v>
      </c>
      <c r="AO191">
        <v>1</v>
      </c>
      <c r="AP191">
        <v>451</v>
      </c>
      <c r="AQ191">
        <v>430</v>
      </c>
      <c r="AR191">
        <v>430451</v>
      </c>
      <c r="AS191" t="s">
        <v>61</v>
      </c>
      <c r="AU191" t="s">
        <v>61</v>
      </c>
      <c r="AV191">
        <v>85050</v>
      </c>
      <c r="AW191">
        <v>89030</v>
      </c>
      <c r="AX191">
        <v>91669.203999999998</v>
      </c>
      <c r="AY191">
        <v>93087.394</v>
      </c>
      <c r="AZ191">
        <v>94164.18</v>
      </c>
      <c r="BA191">
        <v>96798.05</v>
      </c>
      <c r="BB191">
        <v>100000</v>
      </c>
      <c r="BC191">
        <v>100000</v>
      </c>
      <c r="BD191">
        <v>101589.726</v>
      </c>
      <c r="BE191">
        <v>106295.712</v>
      </c>
      <c r="BF191">
        <v>110193.28</v>
      </c>
      <c r="BG191">
        <v>119645.424</v>
      </c>
      <c r="BH191">
        <v>127698</v>
      </c>
      <c r="BI191">
        <v>137713.79399999999</v>
      </c>
      <c r="BJ191">
        <v>139806</v>
      </c>
      <c r="BK191">
        <v>150000</v>
      </c>
      <c r="BL191">
        <v>161820.22</v>
      </c>
      <c r="BM191">
        <v>190199.99999999991</v>
      </c>
      <c r="BN191">
        <v>213800</v>
      </c>
      <c r="BO191">
        <v>259913.9999999998</v>
      </c>
      <c r="BP191">
        <v>440000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 x14ac:dyDescent="0.35">
      <c r="A192">
        <v>348339</v>
      </c>
      <c r="B192" t="s">
        <v>388</v>
      </c>
      <c r="C192" t="s">
        <v>389</v>
      </c>
      <c r="D192" s="1">
        <v>45804</v>
      </c>
      <c r="E192">
        <v>53850</v>
      </c>
      <c r="F192">
        <v>104</v>
      </c>
      <c r="G192" t="s">
        <v>53</v>
      </c>
      <c r="H192" t="s">
        <v>48</v>
      </c>
      <c r="I192" t="s">
        <v>49</v>
      </c>
      <c r="K192" t="s">
        <v>328</v>
      </c>
      <c r="L192">
        <v>1043309505529</v>
      </c>
      <c r="M192">
        <v>20250526</v>
      </c>
      <c r="N192" t="s">
        <v>262</v>
      </c>
      <c r="Q192" t="s">
        <v>58</v>
      </c>
      <c r="R192">
        <v>115125</v>
      </c>
      <c r="S192">
        <v>65125</v>
      </c>
      <c r="T192">
        <v>4222821</v>
      </c>
      <c r="U192">
        <v>6131230721</v>
      </c>
      <c r="V192" t="s">
        <v>300</v>
      </c>
      <c r="W192" t="s">
        <v>56</v>
      </c>
      <c r="X192" t="s">
        <v>92</v>
      </c>
      <c r="Y192" t="s">
        <v>51</v>
      </c>
      <c r="Z192">
        <v>727</v>
      </c>
      <c r="AH192">
        <v>0</v>
      </c>
      <c r="AI192">
        <v>202505</v>
      </c>
      <c r="AJ192" t="s">
        <v>54</v>
      </c>
      <c r="AK192">
        <v>0</v>
      </c>
      <c r="AL192">
        <v>1</v>
      </c>
      <c r="AM192">
        <v>4222821</v>
      </c>
      <c r="AN192">
        <v>1</v>
      </c>
      <c r="AO192">
        <v>1</v>
      </c>
      <c r="AP192">
        <v>999</v>
      </c>
      <c r="AQ192">
        <v>430</v>
      </c>
      <c r="AR192">
        <v>430999</v>
      </c>
      <c r="AT192">
        <v>1</v>
      </c>
      <c r="AU192" t="s">
        <v>57</v>
      </c>
      <c r="AV192">
        <v>101552.46</v>
      </c>
      <c r="AW192">
        <v>114647.6485</v>
      </c>
      <c r="AX192">
        <v>118167.008</v>
      </c>
      <c r="AY192">
        <v>123559.05899999999</v>
      </c>
      <c r="AZ192">
        <v>128796.368</v>
      </c>
      <c r="BA192">
        <v>130000</v>
      </c>
      <c r="BB192">
        <v>135819.11300000001</v>
      </c>
      <c r="BC192">
        <v>145008.255</v>
      </c>
      <c r="BD192">
        <v>146226.546</v>
      </c>
      <c r="BE192">
        <v>148171.67300000001</v>
      </c>
      <c r="BF192">
        <v>156533.16500000001</v>
      </c>
      <c r="BG192">
        <v>167340.8915</v>
      </c>
      <c r="BH192">
        <v>179808.78</v>
      </c>
      <c r="BI192">
        <v>187222.14799999999</v>
      </c>
      <c r="BJ192">
        <v>206328.26500000001</v>
      </c>
      <c r="BK192">
        <v>220390.6225</v>
      </c>
      <c r="BL192">
        <v>239280.00000000009</v>
      </c>
      <c r="BM192">
        <v>298738.61</v>
      </c>
      <c r="BN192">
        <v>365407.64500000002</v>
      </c>
      <c r="BO192">
        <v>399465.49400000001</v>
      </c>
      <c r="BP192">
        <v>515709.15</v>
      </c>
      <c r="BQ192">
        <v>1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 x14ac:dyDescent="0.35">
      <c r="A193">
        <v>348336</v>
      </c>
      <c r="B193" t="s">
        <v>388</v>
      </c>
      <c r="C193" t="s">
        <v>389</v>
      </c>
      <c r="D193" s="1">
        <v>45804</v>
      </c>
      <c r="E193">
        <v>53850</v>
      </c>
      <c r="F193">
        <v>161</v>
      </c>
      <c r="G193" t="s">
        <v>95</v>
      </c>
      <c r="H193" t="s">
        <v>48</v>
      </c>
      <c r="I193" t="s">
        <v>49</v>
      </c>
      <c r="K193" t="s">
        <v>328</v>
      </c>
      <c r="L193">
        <v>1613300029653</v>
      </c>
      <c r="M193">
        <v>20250526</v>
      </c>
      <c r="N193" t="s">
        <v>262</v>
      </c>
      <c r="Q193" t="s">
        <v>58</v>
      </c>
      <c r="R193">
        <v>110891.36</v>
      </c>
      <c r="S193">
        <v>5200</v>
      </c>
      <c r="T193">
        <v>4088769</v>
      </c>
      <c r="U193">
        <v>5150120722</v>
      </c>
      <c r="V193" t="s">
        <v>407</v>
      </c>
      <c r="W193" t="s">
        <v>56</v>
      </c>
      <c r="X193" t="s">
        <v>78</v>
      </c>
      <c r="Y193" t="s">
        <v>51</v>
      </c>
      <c r="Z193">
        <v>1903</v>
      </c>
      <c r="AH193">
        <v>0</v>
      </c>
      <c r="AI193">
        <v>202505</v>
      </c>
      <c r="AJ193" t="s">
        <v>63</v>
      </c>
      <c r="AK193">
        <v>0</v>
      </c>
      <c r="AL193">
        <v>1</v>
      </c>
      <c r="AM193">
        <v>4088769</v>
      </c>
      <c r="AN193">
        <v>1</v>
      </c>
      <c r="AO193">
        <v>1</v>
      </c>
      <c r="AP193">
        <v>464</v>
      </c>
      <c r="AQ193">
        <v>430</v>
      </c>
      <c r="AR193">
        <v>430464</v>
      </c>
      <c r="AS193" t="s">
        <v>79</v>
      </c>
      <c r="AU193" t="s">
        <v>79</v>
      </c>
      <c r="AV193">
        <v>76382.789999999994</v>
      </c>
      <c r="AW193">
        <v>79891.56</v>
      </c>
      <c r="AX193">
        <v>79937.08</v>
      </c>
      <c r="AY193">
        <v>88865.89</v>
      </c>
      <c r="AZ193">
        <v>94634.78</v>
      </c>
      <c r="BA193">
        <v>97229.53</v>
      </c>
      <c r="BB193">
        <v>98360.01</v>
      </c>
      <c r="BC193">
        <v>100000</v>
      </c>
      <c r="BD193">
        <v>104738.68</v>
      </c>
      <c r="BE193">
        <v>108176.82</v>
      </c>
      <c r="BF193">
        <v>110891.36</v>
      </c>
      <c r="BG193">
        <v>115427.47</v>
      </c>
      <c r="BH193">
        <v>118009.65</v>
      </c>
      <c r="BI193">
        <v>136718.03</v>
      </c>
      <c r="BJ193">
        <v>148758.49</v>
      </c>
      <c r="BK193">
        <v>182944.14</v>
      </c>
      <c r="BL193">
        <v>217448.27</v>
      </c>
      <c r="BM193">
        <v>222704.65</v>
      </c>
      <c r="BN193">
        <v>225130.1</v>
      </c>
      <c r="BO193">
        <v>259946.2</v>
      </c>
      <c r="BP193">
        <v>270019.89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 x14ac:dyDescent="0.35">
      <c r="A194">
        <v>348334</v>
      </c>
      <c r="B194" t="s">
        <v>388</v>
      </c>
      <c r="C194" t="s">
        <v>389</v>
      </c>
      <c r="D194" s="1">
        <v>45804</v>
      </c>
      <c r="E194">
        <v>53850</v>
      </c>
      <c r="F194">
        <v>116</v>
      </c>
      <c r="G194" t="s">
        <v>259</v>
      </c>
      <c r="H194" t="s">
        <v>48</v>
      </c>
      <c r="I194" t="s">
        <v>49</v>
      </c>
      <c r="K194">
        <v>202505268013600</v>
      </c>
      <c r="L194">
        <v>2343300010453</v>
      </c>
      <c r="M194">
        <v>20250526</v>
      </c>
      <c r="N194" t="s">
        <v>253</v>
      </c>
      <c r="Q194" t="s">
        <v>58</v>
      </c>
      <c r="R194">
        <v>166465.5</v>
      </c>
      <c r="S194">
        <v>166465.5</v>
      </c>
      <c r="T194">
        <v>4247777</v>
      </c>
      <c r="U194">
        <v>233470236</v>
      </c>
      <c r="V194" t="s">
        <v>260</v>
      </c>
      <c r="W194" t="s">
        <v>56</v>
      </c>
      <c r="X194" t="s">
        <v>72</v>
      </c>
      <c r="Y194" t="s">
        <v>51</v>
      </c>
      <c r="Z194">
        <v>1696</v>
      </c>
      <c r="AH194">
        <v>0</v>
      </c>
      <c r="AI194">
        <v>202505</v>
      </c>
      <c r="AJ194" t="s">
        <v>177</v>
      </c>
      <c r="AK194">
        <v>1</v>
      </c>
      <c r="AL194">
        <v>1</v>
      </c>
      <c r="AM194">
        <v>4247777</v>
      </c>
      <c r="AN194">
        <v>1</v>
      </c>
      <c r="AO194">
        <v>0</v>
      </c>
      <c r="AP194">
        <v>463</v>
      </c>
      <c r="AQ194">
        <v>430</v>
      </c>
      <c r="AR194">
        <v>430463</v>
      </c>
      <c r="AS194" t="s">
        <v>61</v>
      </c>
      <c r="AU194" t="s">
        <v>61</v>
      </c>
      <c r="AV194">
        <v>85050</v>
      </c>
      <c r="AW194">
        <v>89030</v>
      </c>
      <c r="AX194">
        <v>91669.203999999998</v>
      </c>
      <c r="AY194">
        <v>93087.394</v>
      </c>
      <c r="AZ194">
        <v>94164.18</v>
      </c>
      <c r="BA194">
        <v>96798.05</v>
      </c>
      <c r="BB194">
        <v>100000</v>
      </c>
      <c r="BC194">
        <v>100000</v>
      </c>
      <c r="BD194">
        <v>101589.726</v>
      </c>
      <c r="BE194">
        <v>106295.712</v>
      </c>
      <c r="BF194">
        <v>110193.28</v>
      </c>
      <c r="BG194">
        <v>119645.424</v>
      </c>
      <c r="BH194">
        <v>127698</v>
      </c>
      <c r="BI194">
        <v>137713.79399999999</v>
      </c>
      <c r="BJ194">
        <v>139806</v>
      </c>
      <c r="BK194">
        <v>150000</v>
      </c>
      <c r="BL194">
        <v>161820.22</v>
      </c>
      <c r="BM194">
        <v>190199.99999999991</v>
      </c>
      <c r="BN194">
        <v>213800</v>
      </c>
      <c r="BO194">
        <v>259913.9999999998</v>
      </c>
      <c r="BP194">
        <v>440000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0</v>
      </c>
      <c r="CI194">
        <v>0</v>
      </c>
      <c r="CJ194">
        <v>0</v>
      </c>
      <c r="CK194">
        <v>0</v>
      </c>
    </row>
    <row r="195" spans="1:89" x14ac:dyDescent="0.35">
      <c r="A195">
        <v>348333</v>
      </c>
      <c r="B195" t="s">
        <v>388</v>
      </c>
      <c r="C195" t="s">
        <v>389</v>
      </c>
      <c r="D195" s="1">
        <v>45804</v>
      </c>
      <c r="E195">
        <v>53850</v>
      </c>
      <c r="F195">
        <v>267</v>
      </c>
      <c r="G195" t="s">
        <v>170</v>
      </c>
      <c r="H195" t="s">
        <v>48</v>
      </c>
      <c r="I195" t="s">
        <v>49</v>
      </c>
      <c r="K195" t="s">
        <v>328</v>
      </c>
      <c r="L195">
        <v>2673300003600</v>
      </c>
      <c r="M195">
        <v>20250526</v>
      </c>
      <c r="N195" t="s">
        <v>262</v>
      </c>
      <c r="Q195" t="s">
        <v>58</v>
      </c>
      <c r="R195">
        <v>98000</v>
      </c>
      <c r="S195">
        <v>97000</v>
      </c>
      <c r="T195">
        <v>1705101</v>
      </c>
      <c r="U195">
        <v>2896870793</v>
      </c>
      <c r="V195" t="s">
        <v>288</v>
      </c>
      <c r="W195" t="s">
        <v>64</v>
      </c>
      <c r="X195" t="s">
        <v>258</v>
      </c>
      <c r="Y195" t="s">
        <v>51</v>
      </c>
      <c r="Z195">
        <v>1878</v>
      </c>
      <c r="AH195">
        <v>0</v>
      </c>
      <c r="AI195">
        <v>202505</v>
      </c>
      <c r="AJ195" t="s">
        <v>63</v>
      </c>
      <c r="AK195">
        <v>0</v>
      </c>
      <c r="AL195">
        <v>1</v>
      </c>
      <c r="AM195">
        <v>1705101</v>
      </c>
      <c r="AN195">
        <v>1</v>
      </c>
      <c r="AO195">
        <v>1</v>
      </c>
      <c r="AP195">
        <v>999</v>
      </c>
      <c r="AQ195">
        <v>492</v>
      </c>
      <c r="AR195">
        <v>492999</v>
      </c>
      <c r="AT195">
        <v>1</v>
      </c>
      <c r="AU195" t="s">
        <v>272</v>
      </c>
      <c r="AV195">
        <v>98000</v>
      </c>
      <c r="AW195">
        <v>98368.7</v>
      </c>
      <c r="AX195">
        <v>98737.4</v>
      </c>
      <c r="AY195">
        <v>99106.1</v>
      </c>
      <c r="AZ195">
        <v>99955</v>
      </c>
      <c r="BA195">
        <v>101044</v>
      </c>
      <c r="BB195">
        <v>102133</v>
      </c>
      <c r="BC195">
        <v>103273.1</v>
      </c>
      <c r="BD195">
        <v>104515.4</v>
      </c>
      <c r="BE195">
        <v>105757.7</v>
      </c>
      <c r="BF195">
        <v>107000</v>
      </c>
      <c r="BG195">
        <v>109400</v>
      </c>
      <c r="BH195">
        <v>111800</v>
      </c>
      <c r="BI195">
        <v>114200</v>
      </c>
      <c r="BJ195">
        <v>118800</v>
      </c>
      <c r="BK195">
        <v>124500</v>
      </c>
      <c r="BL195">
        <v>130200</v>
      </c>
      <c r="BM195">
        <v>151054.99999999991</v>
      </c>
      <c r="BN195">
        <v>202220.00000000009</v>
      </c>
      <c r="BO195">
        <v>253384.99999999991</v>
      </c>
      <c r="BP195">
        <v>304550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 x14ac:dyDescent="0.35">
      <c r="A196">
        <v>348330</v>
      </c>
      <c r="B196" t="s">
        <v>388</v>
      </c>
      <c r="C196" t="s">
        <v>389</v>
      </c>
      <c r="D196" s="1">
        <v>45804</v>
      </c>
      <c r="E196">
        <v>53850</v>
      </c>
      <c r="F196">
        <v>204</v>
      </c>
      <c r="G196" t="s">
        <v>273</v>
      </c>
      <c r="H196" t="s">
        <v>48</v>
      </c>
      <c r="I196" t="s">
        <v>49</v>
      </c>
      <c r="K196">
        <v>202505268014195</v>
      </c>
      <c r="L196">
        <v>2043300012892</v>
      </c>
      <c r="M196">
        <v>20250526</v>
      </c>
      <c r="N196" t="s">
        <v>400</v>
      </c>
      <c r="Q196" t="s">
        <v>58</v>
      </c>
      <c r="R196">
        <v>115000</v>
      </c>
      <c r="S196">
        <v>0</v>
      </c>
      <c r="T196">
        <v>4224840</v>
      </c>
      <c r="U196" t="s">
        <v>572</v>
      </c>
      <c r="V196" t="s">
        <v>573</v>
      </c>
      <c r="W196" t="s">
        <v>50</v>
      </c>
      <c r="Y196" t="s">
        <v>51</v>
      </c>
      <c r="Z196">
        <v>1843</v>
      </c>
      <c r="AH196">
        <v>0</v>
      </c>
      <c r="AI196">
        <v>202505</v>
      </c>
      <c r="AJ196" t="s">
        <v>63</v>
      </c>
      <c r="AK196">
        <v>0</v>
      </c>
      <c r="AL196">
        <v>1</v>
      </c>
      <c r="AO196">
        <v>0</v>
      </c>
      <c r="AP196">
        <v>999</v>
      </c>
      <c r="AQ196">
        <v>600</v>
      </c>
      <c r="AR196">
        <v>600999</v>
      </c>
      <c r="AS196" t="s">
        <v>52</v>
      </c>
      <c r="AU196" t="s">
        <v>52</v>
      </c>
      <c r="AV196">
        <v>107500</v>
      </c>
      <c r="AW196">
        <v>109625</v>
      </c>
      <c r="AX196">
        <v>110000</v>
      </c>
      <c r="AY196">
        <v>112750</v>
      </c>
      <c r="AZ196">
        <v>120738</v>
      </c>
      <c r="BA196">
        <v>129508.75</v>
      </c>
      <c r="BB196">
        <v>130380</v>
      </c>
      <c r="BC196">
        <v>133610</v>
      </c>
      <c r="BD196">
        <v>133800</v>
      </c>
      <c r="BE196">
        <v>141080</v>
      </c>
      <c r="BF196">
        <v>147500</v>
      </c>
      <c r="BG196">
        <v>155382.03049999999</v>
      </c>
      <c r="BH196">
        <v>165585.11799999999</v>
      </c>
      <c r="BI196">
        <v>166416.67000000001</v>
      </c>
      <c r="BJ196">
        <v>166416.67000000001</v>
      </c>
      <c r="BK196">
        <v>173582.95749999999</v>
      </c>
      <c r="BL196">
        <v>190388.68799999999</v>
      </c>
      <c r="BM196">
        <v>212150</v>
      </c>
      <c r="BN196">
        <v>283513.16900000011</v>
      </c>
      <c r="BO196">
        <v>415377.23</v>
      </c>
      <c r="BP196">
        <v>415377.23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 x14ac:dyDescent="0.35">
      <c r="A197">
        <v>348329</v>
      </c>
      <c r="B197" t="s">
        <v>388</v>
      </c>
      <c r="C197" t="s">
        <v>389</v>
      </c>
      <c r="D197" s="1">
        <v>45804</v>
      </c>
      <c r="E197">
        <v>53850</v>
      </c>
      <c r="F197">
        <v>175</v>
      </c>
      <c r="G197" t="s">
        <v>65</v>
      </c>
      <c r="H197" t="s">
        <v>48</v>
      </c>
      <c r="I197" t="s">
        <v>49</v>
      </c>
      <c r="K197" t="s">
        <v>328</v>
      </c>
      <c r="L197">
        <v>1753302203127</v>
      </c>
      <c r="M197">
        <v>20250526</v>
      </c>
      <c r="N197" t="s">
        <v>262</v>
      </c>
      <c r="Q197" t="s">
        <v>58</v>
      </c>
      <c r="R197">
        <v>107794.45</v>
      </c>
      <c r="S197">
        <v>23340</v>
      </c>
      <c r="T197">
        <v>4160138</v>
      </c>
      <c r="U197">
        <v>484200779</v>
      </c>
      <c r="V197" t="s">
        <v>279</v>
      </c>
      <c r="W197" t="s">
        <v>56</v>
      </c>
      <c r="X197" t="s">
        <v>280</v>
      </c>
      <c r="Y197" t="s">
        <v>51</v>
      </c>
      <c r="Z197">
        <v>739</v>
      </c>
      <c r="AH197">
        <v>0</v>
      </c>
      <c r="AI197">
        <v>202505</v>
      </c>
      <c r="AJ197" t="s">
        <v>168</v>
      </c>
      <c r="AK197">
        <v>1</v>
      </c>
      <c r="AL197">
        <v>1</v>
      </c>
      <c r="AM197">
        <v>4160138</v>
      </c>
      <c r="AN197">
        <v>1</v>
      </c>
      <c r="AO197">
        <v>1</v>
      </c>
      <c r="AP197">
        <v>999</v>
      </c>
      <c r="AQ197">
        <v>430</v>
      </c>
      <c r="AR197">
        <v>430999</v>
      </c>
      <c r="AT197">
        <v>1</v>
      </c>
      <c r="AU197" t="s">
        <v>57</v>
      </c>
      <c r="AV197">
        <v>101552.46</v>
      </c>
      <c r="AW197">
        <v>114647.6485</v>
      </c>
      <c r="AX197">
        <v>118167.008</v>
      </c>
      <c r="AY197">
        <v>123559.05899999999</v>
      </c>
      <c r="AZ197">
        <v>128796.368</v>
      </c>
      <c r="BA197">
        <v>130000</v>
      </c>
      <c r="BB197">
        <v>135819.11300000001</v>
      </c>
      <c r="BC197">
        <v>145008.255</v>
      </c>
      <c r="BD197">
        <v>146226.546</v>
      </c>
      <c r="BE197">
        <v>148171.67300000001</v>
      </c>
      <c r="BF197">
        <v>156533.16500000001</v>
      </c>
      <c r="BG197">
        <v>167340.8915</v>
      </c>
      <c r="BH197">
        <v>179808.78</v>
      </c>
      <c r="BI197">
        <v>187222.14799999999</v>
      </c>
      <c r="BJ197">
        <v>206328.26500000001</v>
      </c>
      <c r="BK197">
        <v>220390.6225</v>
      </c>
      <c r="BL197">
        <v>239280.00000000009</v>
      </c>
      <c r="BM197">
        <v>298738.61</v>
      </c>
      <c r="BN197">
        <v>365407.64500000002</v>
      </c>
      <c r="BO197">
        <v>399465.49400000001</v>
      </c>
      <c r="BP197">
        <v>515709.15</v>
      </c>
      <c r="BQ197">
        <v>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 x14ac:dyDescent="0.35">
      <c r="A198">
        <v>348306</v>
      </c>
      <c r="B198" t="s">
        <v>388</v>
      </c>
      <c r="C198" t="s">
        <v>389</v>
      </c>
      <c r="D198" s="1">
        <v>45801</v>
      </c>
      <c r="E198">
        <v>53850</v>
      </c>
      <c r="F198">
        <v>171</v>
      </c>
      <c r="G198" t="s">
        <v>70</v>
      </c>
      <c r="H198" t="s">
        <v>48</v>
      </c>
      <c r="I198" t="s">
        <v>49</v>
      </c>
      <c r="K198" t="s">
        <v>330</v>
      </c>
      <c r="L198">
        <v>1713305728950</v>
      </c>
      <c r="M198">
        <v>20250523</v>
      </c>
      <c r="N198" t="s">
        <v>253</v>
      </c>
      <c r="Q198" t="s">
        <v>58</v>
      </c>
      <c r="R198">
        <v>407100.71</v>
      </c>
      <c r="S198">
        <v>407100.71</v>
      </c>
      <c r="T198">
        <v>572895</v>
      </c>
      <c r="U198">
        <v>4161600723</v>
      </c>
      <c r="V198" t="s">
        <v>257</v>
      </c>
      <c r="W198" t="s">
        <v>56</v>
      </c>
      <c r="X198" t="s">
        <v>258</v>
      </c>
      <c r="Y198" t="s">
        <v>51</v>
      </c>
      <c r="Z198">
        <v>1903</v>
      </c>
      <c r="AH198">
        <v>0</v>
      </c>
      <c r="AI198">
        <v>202505</v>
      </c>
      <c r="AJ198" t="s">
        <v>168</v>
      </c>
      <c r="AK198">
        <v>1</v>
      </c>
      <c r="AL198">
        <v>1</v>
      </c>
      <c r="AM198">
        <v>572895</v>
      </c>
      <c r="AN198">
        <v>1</v>
      </c>
      <c r="AO198">
        <v>0</v>
      </c>
      <c r="AP198">
        <v>999</v>
      </c>
      <c r="AQ198">
        <v>430</v>
      </c>
      <c r="AR198">
        <v>430999</v>
      </c>
      <c r="AT198">
        <v>1</v>
      </c>
      <c r="AU198" t="s">
        <v>57</v>
      </c>
      <c r="AV198">
        <v>101552.46</v>
      </c>
      <c r="AW198">
        <v>114647.6485</v>
      </c>
      <c r="AX198">
        <v>118167.008</v>
      </c>
      <c r="AY198">
        <v>123559.05899999999</v>
      </c>
      <c r="AZ198">
        <v>128796.368</v>
      </c>
      <c r="BA198">
        <v>130000</v>
      </c>
      <c r="BB198">
        <v>135819.11300000001</v>
      </c>
      <c r="BC198">
        <v>145008.255</v>
      </c>
      <c r="BD198">
        <v>146226.546</v>
      </c>
      <c r="BE198">
        <v>148171.67300000001</v>
      </c>
      <c r="BF198">
        <v>156533.16500000001</v>
      </c>
      <c r="BG198">
        <v>167340.8915</v>
      </c>
      <c r="BH198">
        <v>179808.78</v>
      </c>
      <c r="BI198">
        <v>187222.14799999999</v>
      </c>
      <c r="BJ198">
        <v>206328.26500000001</v>
      </c>
      <c r="BK198">
        <v>220390.6225</v>
      </c>
      <c r="BL198">
        <v>239280.00000000009</v>
      </c>
      <c r="BM198">
        <v>298738.61</v>
      </c>
      <c r="BN198">
        <v>365407.64500000002</v>
      </c>
      <c r="BO198">
        <v>399465.49400000001</v>
      </c>
      <c r="BP198">
        <v>515709.15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0</v>
      </c>
    </row>
    <row r="199" spans="1:89" x14ac:dyDescent="0.35">
      <c r="A199">
        <v>348301</v>
      </c>
      <c r="B199" t="s">
        <v>388</v>
      </c>
      <c r="C199" t="s">
        <v>389</v>
      </c>
      <c r="D199" s="1">
        <v>45801</v>
      </c>
      <c r="E199">
        <v>53850</v>
      </c>
      <c r="F199">
        <v>171</v>
      </c>
      <c r="G199" t="s">
        <v>70</v>
      </c>
      <c r="H199" t="s">
        <v>48</v>
      </c>
      <c r="I199" t="s">
        <v>49</v>
      </c>
      <c r="K199" t="s">
        <v>330</v>
      </c>
      <c r="L199">
        <v>1713302214147</v>
      </c>
      <c r="M199">
        <v>20250523</v>
      </c>
      <c r="N199" t="s">
        <v>253</v>
      </c>
      <c r="Q199" t="s">
        <v>58</v>
      </c>
      <c r="R199">
        <v>136923.22</v>
      </c>
      <c r="S199">
        <v>136923.22</v>
      </c>
      <c r="T199">
        <v>4199319</v>
      </c>
      <c r="U199">
        <v>6037810725</v>
      </c>
      <c r="V199" t="s">
        <v>317</v>
      </c>
      <c r="W199" t="s">
        <v>56</v>
      </c>
      <c r="X199" t="s">
        <v>258</v>
      </c>
      <c r="Y199" t="s">
        <v>51</v>
      </c>
      <c r="Z199">
        <v>1903</v>
      </c>
      <c r="AH199">
        <v>0</v>
      </c>
      <c r="AI199">
        <v>202505</v>
      </c>
      <c r="AJ199" t="s">
        <v>168</v>
      </c>
      <c r="AK199">
        <v>1</v>
      </c>
      <c r="AL199">
        <v>1</v>
      </c>
      <c r="AM199">
        <v>4199319</v>
      </c>
      <c r="AN199">
        <v>1</v>
      </c>
      <c r="AO199">
        <v>0</v>
      </c>
      <c r="AP199">
        <v>999</v>
      </c>
      <c r="AQ199">
        <v>430</v>
      </c>
      <c r="AR199">
        <v>430999</v>
      </c>
      <c r="AT199">
        <v>1</v>
      </c>
      <c r="AU199" t="s">
        <v>57</v>
      </c>
      <c r="AV199">
        <v>101552.46</v>
      </c>
      <c r="AW199">
        <v>114647.6485</v>
      </c>
      <c r="AX199">
        <v>118167.008</v>
      </c>
      <c r="AY199">
        <v>123559.05899999999</v>
      </c>
      <c r="AZ199">
        <v>128796.368</v>
      </c>
      <c r="BA199">
        <v>130000</v>
      </c>
      <c r="BB199">
        <v>135819.11300000001</v>
      </c>
      <c r="BC199">
        <v>145008.255</v>
      </c>
      <c r="BD199">
        <v>146226.546</v>
      </c>
      <c r="BE199">
        <v>148171.67300000001</v>
      </c>
      <c r="BF199">
        <v>156533.16500000001</v>
      </c>
      <c r="BG199">
        <v>167340.8915</v>
      </c>
      <c r="BH199">
        <v>179808.78</v>
      </c>
      <c r="BI199">
        <v>187222.14799999999</v>
      </c>
      <c r="BJ199">
        <v>206328.26500000001</v>
      </c>
      <c r="BK199">
        <v>220390.6225</v>
      </c>
      <c r="BL199">
        <v>239280.00000000009</v>
      </c>
      <c r="BM199">
        <v>298738.61</v>
      </c>
      <c r="BN199">
        <v>365407.64500000002</v>
      </c>
      <c r="BO199">
        <v>399465.49400000001</v>
      </c>
      <c r="BP199">
        <v>515709.15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 x14ac:dyDescent="0.35">
      <c r="A200">
        <v>348291</v>
      </c>
      <c r="B200" t="s">
        <v>388</v>
      </c>
      <c r="C200" t="s">
        <v>389</v>
      </c>
      <c r="D200" s="1">
        <v>45801</v>
      </c>
      <c r="E200">
        <v>53850</v>
      </c>
      <c r="F200">
        <v>121</v>
      </c>
      <c r="G200" t="s">
        <v>71</v>
      </c>
      <c r="H200" t="s">
        <v>48</v>
      </c>
      <c r="I200" t="s">
        <v>49</v>
      </c>
      <c r="K200">
        <v>202505238006602</v>
      </c>
      <c r="L200">
        <v>1213300002971</v>
      </c>
      <c r="M200">
        <v>20250523</v>
      </c>
      <c r="N200" t="s">
        <v>392</v>
      </c>
      <c r="Q200" t="s">
        <v>58</v>
      </c>
      <c r="R200">
        <v>219000</v>
      </c>
      <c r="S200">
        <v>0</v>
      </c>
      <c r="T200">
        <v>4859756</v>
      </c>
      <c r="U200">
        <v>7229510727</v>
      </c>
      <c r="V200" t="s">
        <v>574</v>
      </c>
      <c r="W200" t="s">
        <v>56</v>
      </c>
      <c r="X200" t="s">
        <v>575</v>
      </c>
      <c r="Y200" t="s">
        <v>51</v>
      </c>
      <c r="Z200">
        <v>1058</v>
      </c>
      <c r="AH200">
        <v>0</v>
      </c>
      <c r="AI200">
        <v>202505</v>
      </c>
      <c r="AJ200" t="s">
        <v>54</v>
      </c>
      <c r="AK200">
        <v>0</v>
      </c>
      <c r="AL200">
        <v>1</v>
      </c>
      <c r="AO200">
        <v>0</v>
      </c>
      <c r="AP200">
        <v>999</v>
      </c>
      <c r="AQ200">
        <v>430</v>
      </c>
      <c r="AR200">
        <v>430999</v>
      </c>
      <c r="AT200">
        <v>1</v>
      </c>
      <c r="AU200" t="s">
        <v>57</v>
      </c>
      <c r="AV200">
        <v>101552.46</v>
      </c>
      <c r="AW200">
        <v>114647.6485</v>
      </c>
      <c r="AX200">
        <v>118167.008</v>
      </c>
      <c r="AY200">
        <v>123559.05899999999</v>
      </c>
      <c r="AZ200">
        <v>128796.368</v>
      </c>
      <c r="BA200">
        <v>130000</v>
      </c>
      <c r="BB200">
        <v>135819.11300000001</v>
      </c>
      <c r="BC200">
        <v>145008.255</v>
      </c>
      <c r="BD200">
        <v>146226.546</v>
      </c>
      <c r="BE200">
        <v>148171.67300000001</v>
      </c>
      <c r="BF200">
        <v>156533.16500000001</v>
      </c>
      <c r="BG200">
        <v>167340.8915</v>
      </c>
      <c r="BH200">
        <v>179808.78</v>
      </c>
      <c r="BI200">
        <v>187222.14799999999</v>
      </c>
      <c r="BJ200">
        <v>206328.26500000001</v>
      </c>
      <c r="BK200">
        <v>220390.6225</v>
      </c>
      <c r="BL200">
        <v>239280.00000000009</v>
      </c>
      <c r="BM200">
        <v>298738.61</v>
      </c>
      <c r="BN200">
        <v>365407.64500000002</v>
      </c>
      <c r="BO200">
        <v>399465.49400000001</v>
      </c>
      <c r="BP200">
        <v>515709.15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 x14ac:dyDescent="0.35">
      <c r="A201">
        <v>348289</v>
      </c>
      <c r="B201" t="s">
        <v>388</v>
      </c>
      <c r="C201" t="s">
        <v>389</v>
      </c>
      <c r="D201" s="1">
        <v>45801</v>
      </c>
      <c r="E201">
        <v>53850</v>
      </c>
      <c r="F201">
        <v>109</v>
      </c>
      <c r="G201" t="s">
        <v>68</v>
      </c>
      <c r="H201" t="s">
        <v>48</v>
      </c>
      <c r="I201" t="s">
        <v>49</v>
      </c>
      <c r="K201">
        <v>202505238006556</v>
      </c>
      <c r="L201">
        <v>1093306669450</v>
      </c>
      <c r="M201">
        <v>20250523</v>
      </c>
      <c r="N201" t="s">
        <v>400</v>
      </c>
      <c r="Q201" t="s">
        <v>58</v>
      </c>
      <c r="R201">
        <v>130000</v>
      </c>
      <c r="S201">
        <v>0</v>
      </c>
      <c r="T201">
        <v>4139883</v>
      </c>
      <c r="U201">
        <v>5699390729</v>
      </c>
      <c r="V201" t="s">
        <v>576</v>
      </c>
      <c r="W201" t="s">
        <v>64</v>
      </c>
      <c r="X201" t="s">
        <v>577</v>
      </c>
      <c r="Y201" t="s">
        <v>51</v>
      </c>
      <c r="Z201">
        <v>502</v>
      </c>
      <c r="AH201">
        <v>0</v>
      </c>
      <c r="AI201">
        <v>202505</v>
      </c>
      <c r="AJ201" t="s">
        <v>63</v>
      </c>
      <c r="AK201">
        <v>0</v>
      </c>
      <c r="AL201">
        <v>1</v>
      </c>
      <c r="AM201">
        <v>4139883</v>
      </c>
      <c r="AN201">
        <v>1</v>
      </c>
      <c r="AO201">
        <v>0</v>
      </c>
      <c r="AP201">
        <v>561</v>
      </c>
      <c r="AQ201">
        <v>492</v>
      </c>
      <c r="AR201">
        <v>492561</v>
      </c>
      <c r="AS201" t="s">
        <v>57</v>
      </c>
      <c r="AU201" t="s">
        <v>57</v>
      </c>
      <c r="AV201">
        <v>101552.46</v>
      </c>
      <c r="AW201">
        <v>114647.6485</v>
      </c>
      <c r="AX201">
        <v>118167.008</v>
      </c>
      <c r="AY201">
        <v>123559.05899999999</v>
      </c>
      <c r="AZ201">
        <v>128796.368</v>
      </c>
      <c r="BA201">
        <v>130000</v>
      </c>
      <c r="BB201">
        <v>135819.11300000001</v>
      </c>
      <c r="BC201">
        <v>145008.255</v>
      </c>
      <c r="BD201">
        <v>146226.546</v>
      </c>
      <c r="BE201">
        <v>148171.67300000001</v>
      </c>
      <c r="BF201">
        <v>156533.16500000001</v>
      </c>
      <c r="BG201">
        <v>167340.8915</v>
      </c>
      <c r="BH201">
        <v>179808.78</v>
      </c>
      <c r="BI201">
        <v>187222.14799999999</v>
      </c>
      <c r="BJ201">
        <v>206328.26500000001</v>
      </c>
      <c r="BK201">
        <v>220390.6225</v>
      </c>
      <c r="BL201">
        <v>239280.00000000009</v>
      </c>
      <c r="BM201">
        <v>298738.61</v>
      </c>
      <c r="BN201">
        <v>365407.64500000002</v>
      </c>
      <c r="BO201">
        <v>399465.49400000001</v>
      </c>
      <c r="BP201">
        <v>515709.15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 x14ac:dyDescent="0.35">
      <c r="A202">
        <v>348284</v>
      </c>
      <c r="B202" t="s">
        <v>388</v>
      </c>
      <c r="C202" t="s">
        <v>389</v>
      </c>
      <c r="D202" s="1">
        <v>45801</v>
      </c>
      <c r="E202">
        <v>53850</v>
      </c>
      <c r="F202">
        <v>171</v>
      </c>
      <c r="G202" t="s">
        <v>70</v>
      </c>
      <c r="H202" t="s">
        <v>48</v>
      </c>
      <c r="I202" t="s">
        <v>49</v>
      </c>
      <c r="K202">
        <v>202505238006731</v>
      </c>
      <c r="L202">
        <v>1713302217289</v>
      </c>
      <c r="M202">
        <v>20250523</v>
      </c>
      <c r="N202" t="s">
        <v>400</v>
      </c>
      <c r="Q202" t="s">
        <v>58</v>
      </c>
      <c r="R202">
        <v>416591</v>
      </c>
      <c r="S202">
        <v>0</v>
      </c>
      <c r="T202">
        <v>435630</v>
      </c>
      <c r="U202" t="s">
        <v>578</v>
      </c>
      <c r="V202" t="s">
        <v>579</v>
      </c>
      <c r="W202" t="s">
        <v>50</v>
      </c>
      <c r="Y202" t="s">
        <v>51</v>
      </c>
      <c r="Z202">
        <v>815</v>
      </c>
      <c r="AH202">
        <v>0</v>
      </c>
      <c r="AI202">
        <v>202505</v>
      </c>
      <c r="AJ202" t="s">
        <v>168</v>
      </c>
      <c r="AK202">
        <v>1</v>
      </c>
      <c r="AL202">
        <v>1</v>
      </c>
      <c r="AO202">
        <v>0</v>
      </c>
      <c r="AP202">
        <v>999</v>
      </c>
      <c r="AQ202">
        <v>600</v>
      </c>
      <c r="AR202">
        <v>600999</v>
      </c>
      <c r="AS202" t="s">
        <v>52</v>
      </c>
      <c r="AU202" t="s">
        <v>52</v>
      </c>
      <c r="AV202">
        <v>107500</v>
      </c>
      <c r="AW202">
        <v>109625</v>
      </c>
      <c r="AX202">
        <v>110000</v>
      </c>
      <c r="AY202">
        <v>112750</v>
      </c>
      <c r="AZ202">
        <v>120738</v>
      </c>
      <c r="BA202">
        <v>129508.75</v>
      </c>
      <c r="BB202">
        <v>130380</v>
      </c>
      <c r="BC202">
        <v>133610</v>
      </c>
      <c r="BD202">
        <v>133800</v>
      </c>
      <c r="BE202">
        <v>141080</v>
      </c>
      <c r="BF202">
        <v>147500</v>
      </c>
      <c r="BG202">
        <v>155382.03049999999</v>
      </c>
      <c r="BH202">
        <v>165585.11799999999</v>
      </c>
      <c r="BI202">
        <v>166416.67000000001</v>
      </c>
      <c r="BJ202">
        <v>166416.67000000001</v>
      </c>
      <c r="BK202">
        <v>173582.95749999999</v>
      </c>
      <c r="BL202">
        <v>190388.68799999999</v>
      </c>
      <c r="BM202">
        <v>212150</v>
      </c>
      <c r="BN202">
        <v>283513.16900000011</v>
      </c>
      <c r="BO202">
        <v>415377.23</v>
      </c>
      <c r="BP202">
        <v>415377.23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</row>
    <row r="203" spans="1:89" x14ac:dyDescent="0.35">
      <c r="A203">
        <v>348278</v>
      </c>
      <c r="B203" t="s">
        <v>388</v>
      </c>
      <c r="C203" t="s">
        <v>389</v>
      </c>
      <c r="D203" s="1">
        <v>45801</v>
      </c>
      <c r="E203">
        <v>53850</v>
      </c>
      <c r="F203">
        <v>128</v>
      </c>
      <c r="G203" t="s">
        <v>274</v>
      </c>
      <c r="H203" t="s">
        <v>48</v>
      </c>
      <c r="I203" t="s">
        <v>49</v>
      </c>
      <c r="K203" t="s">
        <v>330</v>
      </c>
      <c r="L203">
        <v>1093306674353</v>
      </c>
      <c r="M203">
        <v>20250523</v>
      </c>
      <c r="N203" t="s">
        <v>262</v>
      </c>
      <c r="Q203" t="s">
        <v>58</v>
      </c>
      <c r="R203">
        <v>102870</v>
      </c>
      <c r="S203">
        <v>20000</v>
      </c>
      <c r="T203">
        <v>4916449</v>
      </c>
      <c r="U203">
        <v>8176830720</v>
      </c>
      <c r="V203" t="s">
        <v>525</v>
      </c>
      <c r="W203" t="s">
        <v>56</v>
      </c>
      <c r="X203" t="s">
        <v>238</v>
      </c>
      <c r="Y203" t="s">
        <v>51</v>
      </c>
      <c r="Z203">
        <v>1903</v>
      </c>
      <c r="AH203">
        <v>0</v>
      </c>
      <c r="AI203">
        <v>202505</v>
      </c>
      <c r="AJ203" t="s">
        <v>63</v>
      </c>
      <c r="AK203">
        <v>0</v>
      </c>
      <c r="AL203">
        <v>1</v>
      </c>
      <c r="AM203">
        <v>4916449</v>
      </c>
      <c r="AN203">
        <v>1</v>
      </c>
      <c r="AO203">
        <v>1</v>
      </c>
      <c r="AP203">
        <v>451</v>
      </c>
      <c r="AQ203">
        <v>430</v>
      </c>
      <c r="AR203">
        <v>430451</v>
      </c>
      <c r="AS203" t="s">
        <v>61</v>
      </c>
      <c r="AU203" t="s">
        <v>61</v>
      </c>
      <c r="AV203">
        <v>85050</v>
      </c>
      <c r="AW203">
        <v>89030</v>
      </c>
      <c r="AX203">
        <v>91669.203999999998</v>
      </c>
      <c r="AY203">
        <v>93087.394</v>
      </c>
      <c r="AZ203">
        <v>94164.18</v>
      </c>
      <c r="BA203">
        <v>96798.05</v>
      </c>
      <c r="BB203">
        <v>100000</v>
      </c>
      <c r="BC203">
        <v>100000</v>
      </c>
      <c r="BD203">
        <v>101589.726</v>
      </c>
      <c r="BE203">
        <v>106295.712</v>
      </c>
      <c r="BF203">
        <v>110193.28</v>
      </c>
      <c r="BG203">
        <v>119645.424</v>
      </c>
      <c r="BH203">
        <v>127698</v>
      </c>
      <c r="BI203">
        <v>137713.79399999999</v>
      </c>
      <c r="BJ203">
        <v>139806</v>
      </c>
      <c r="BK203">
        <v>150000</v>
      </c>
      <c r="BL203">
        <v>161820.22</v>
      </c>
      <c r="BM203">
        <v>190199.99999999991</v>
      </c>
      <c r="BN203">
        <v>213800</v>
      </c>
      <c r="BO203">
        <v>259913.9999999998</v>
      </c>
      <c r="BP203">
        <v>440000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 x14ac:dyDescent="0.35">
      <c r="A204">
        <v>348260</v>
      </c>
      <c r="B204" t="s">
        <v>388</v>
      </c>
      <c r="C204" t="s">
        <v>389</v>
      </c>
      <c r="D204" s="1">
        <v>45800</v>
      </c>
      <c r="E204">
        <v>53850</v>
      </c>
      <c r="F204">
        <v>106</v>
      </c>
      <c r="G204" t="s">
        <v>346</v>
      </c>
      <c r="H204" t="s">
        <v>48</v>
      </c>
      <c r="I204" t="s">
        <v>49</v>
      </c>
      <c r="K204">
        <v>202505228003468</v>
      </c>
      <c r="L204">
        <v>1063302769017</v>
      </c>
      <c r="M204">
        <v>20250522</v>
      </c>
      <c r="N204" t="s">
        <v>400</v>
      </c>
      <c r="Q204" t="s">
        <v>58</v>
      </c>
      <c r="R204">
        <v>200000</v>
      </c>
      <c r="S204">
        <v>0</v>
      </c>
      <c r="T204">
        <v>4178244</v>
      </c>
      <c r="U204">
        <v>5966130725</v>
      </c>
      <c r="V204" t="s">
        <v>580</v>
      </c>
      <c r="W204" t="s">
        <v>56</v>
      </c>
      <c r="X204" t="s">
        <v>62</v>
      </c>
      <c r="Y204" t="s">
        <v>51</v>
      </c>
      <c r="Z204">
        <v>727</v>
      </c>
      <c r="AH204">
        <v>0</v>
      </c>
      <c r="AI204">
        <v>202505</v>
      </c>
      <c r="AJ204" t="s">
        <v>168</v>
      </c>
      <c r="AK204">
        <v>1</v>
      </c>
      <c r="AL204">
        <v>1</v>
      </c>
      <c r="AO204">
        <v>0</v>
      </c>
      <c r="AP204">
        <v>412</v>
      </c>
      <c r="AQ204">
        <v>430</v>
      </c>
      <c r="AR204">
        <v>430412</v>
      </c>
      <c r="AS204" t="s">
        <v>61</v>
      </c>
      <c r="AU204" t="s">
        <v>61</v>
      </c>
      <c r="AV204">
        <v>85050</v>
      </c>
      <c r="AW204">
        <v>89030</v>
      </c>
      <c r="AX204">
        <v>91669.203999999998</v>
      </c>
      <c r="AY204">
        <v>93087.394</v>
      </c>
      <c r="AZ204">
        <v>94164.18</v>
      </c>
      <c r="BA204">
        <v>96798.05</v>
      </c>
      <c r="BB204">
        <v>100000</v>
      </c>
      <c r="BC204">
        <v>100000</v>
      </c>
      <c r="BD204">
        <v>101589.726</v>
      </c>
      <c r="BE204">
        <v>106295.712</v>
      </c>
      <c r="BF204">
        <v>110193.28</v>
      </c>
      <c r="BG204">
        <v>119645.424</v>
      </c>
      <c r="BH204">
        <v>127698</v>
      </c>
      <c r="BI204">
        <v>137713.79399999999</v>
      </c>
      <c r="BJ204">
        <v>139806</v>
      </c>
      <c r="BK204">
        <v>150000</v>
      </c>
      <c r="BL204">
        <v>161820.22</v>
      </c>
      <c r="BM204">
        <v>190199.99999999991</v>
      </c>
      <c r="BN204">
        <v>213800</v>
      </c>
      <c r="BO204">
        <v>259913.9999999998</v>
      </c>
      <c r="BP204">
        <v>440000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0</v>
      </c>
      <c r="CJ204">
        <v>0</v>
      </c>
      <c r="CK204">
        <v>0</v>
      </c>
    </row>
    <row r="205" spans="1:89" x14ac:dyDescent="0.35">
      <c r="A205">
        <v>348243</v>
      </c>
      <c r="B205" t="s">
        <v>388</v>
      </c>
      <c r="C205" t="s">
        <v>389</v>
      </c>
      <c r="D205" s="1">
        <v>45800</v>
      </c>
      <c r="E205">
        <v>53850</v>
      </c>
      <c r="F205">
        <v>102</v>
      </c>
      <c r="G205" t="s">
        <v>55</v>
      </c>
      <c r="H205" t="s">
        <v>48</v>
      </c>
      <c r="I205" t="s">
        <v>49</v>
      </c>
      <c r="K205" t="s">
        <v>331</v>
      </c>
      <c r="L205">
        <v>1023308722503</v>
      </c>
      <c r="M205">
        <v>20250522</v>
      </c>
      <c r="N205" t="s">
        <v>253</v>
      </c>
      <c r="Q205" t="s">
        <v>58</v>
      </c>
      <c r="R205">
        <v>70570</v>
      </c>
      <c r="S205">
        <v>70570</v>
      </c>
      <c r="T205">
        <v>413650</v>
      </c>
      <c r="U205">
        <v>3657230722</v>
      </c>
      <c r="V205" t="s">
        <v>254</v>
      </c>
      <c r="W205" t="s">
        <v>64</v>
      </c>
      <c r="X205" t="s">
        <v>255</v>
      </c>
      <c r="Y205" t="s">
        <v>51</v>
      </c>
      <c r="Z205">
        <v>1306</v>
      </c>
      <c r="AH205">
        <v>0</v>
      </c>
      <c r="AI205">
        <v>202505</v>
      </c>
      <c r="AJ205" t="s">
        <v>63</v>
      </c>
      <c r="AK205">
        <v>0</v>
      </c>
      <c r="AL205">
        <v>1</v>
      </c>
      <c r="AM205">
        <v>413650</v>
      </c>
      <c r="AN205">
        <v>1</v>
      </c>
      <c r="AO205">
        <v>0</v>
      </c>
      <c r="AP205">
        <v>920</v>
      </c>
      <c r="AQ205">
        <v>492</v>
      </c>
      <c r="AR205">
        <v>492920</v>
      </c>
      <c r="AS205" t="s">
        <v>234</v>
      </c>
      <c r="AU205" t="s">
        <v>234</v>
      </c>
      <c r="AV205">
        <v>55650</v>
      </c>
      <c r="AW205">
        <v>56502</v>
      </c>
      <c r="AX205">
        <v>57354</v>
      </c>
      <c r="AY205">
        <v>58206</v>
      </c>
      <c r="AZ205">
        <v>59098</v>
      </c>
      <c r="BA205">
        <v>60010</v>
      </c>
      <c r="BB205">
        <v>60922</v>
      </c>
      <c r="BC205">
        <v>61827</v>
      </c>
      <c r="BD205">
        <v>62718</v>
      </c>
      <c r="BE205">
        <v>63609</v>
      </c>
      <c r="BF205">
        <v>64500</v>
      </c>
      <c r="BG205">
        <v>66288</v>
      </c>
      <c r="BH205">
        <v>68076</v>
      </c>
      <c r="BI205">
        <v>69864</v>
      </c>
      <c r="BJ205">
        <v>70482</v>
      </c>
      <c r="BK205">
        <v>70515</v>
      </c>
      <c r="BL205">
        <v>70548</v>
      </c>
      <c r="BM205">
        <v>70590</v>
      </c>
      <c r="BN205">
        <v>70650</v>
      </c>
      <c r="BO205">
        <v>70710</v>
      </c>
      <c r="BP205">
        <v>70770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0</v>
      </c>
      <c r="CI205">
        <v>0</v>
      </c>
      <c r="CJ205">
        <v>0</v>
      </c>
      <c r="CK205">
        <v>0</v>
      </c>
    </row>
    <row r="206" spans="1:89" x14ac:dyDescent="0.35">
      <c r="A206">
        <v>348231</v>
      </c>
      <c r="B206" t="s">
        <v>388</v>
      </c>
      <c r="C206" t="s">
        <v>389</v>
      </c>
      <c r="D206" s="1">
        <v>45799</v>
      </c>
      <c r="E206">
        <v>53850</v>
      </c>
      <c r="F206">
        <v>161</v>
      </c>
      <c r="G206" t="s">
        <v>95</v>
      </c>
      <c r="H206" t="s">
        <v>48</v>
      </c>
      <c r="I206" t="s">
        <v>49</v>
      </c>
      <c r="K206" t="s">
        <v>332</v>
      </c>
      <c r="L206">
        <v>1613300029653</v>
      </c>
      <c r="M206">
        <v>20250521</v>
      </c>
      <c r="N206" t="s">
        <v>262</v>
      </c>
      <c r="Q206" t="s">
        <v>58</v>
      </c>
      <c r="R206">
        <v>104738.68</v>
      </c>
      <c r="S206">
        <v>0</v>
      </c>
      <c r="T206">
        <v>4088769</v>
      </c>
      <c r="U206">
        <v>5150120722</v>
      </c>
      <c r="V206" t="s">
        <v>407</v>
      </c>
      <c r="W206" t="s">
        <v>56</v>
      </c>
      <c r="X206" t="s">
        <v>78</v>
      </c>
      <c r="Y206" t="s">
        <v>51</v>
      </c>
      <c r="Z206">
        <v>1903</v>
      </c>
      <c r="AH206">
        <v>0</v>
      </c>
      <c r="AI206">
        <v>202505</v>
      </c>
      <c r="AJ206" t="s">
        <v>63</v>
      </c>
      <c r="AK206">
        <v>0</v>
      </c>
      <c r="AL206">
        <v>1</v>
      </c>
      <c r="AM206">
        <v>4088769</v>
      </c>
      <c r="AN206">
        <v>1</v>
      </c>
      <c r="AO206">
        <v>1</v>
      </c>
      <c r="AP206">
        <v>464</v>
      </c>
      <c r="AQ206">
        <v>430</v>
      </c>
      <c r="AR206">
        <v>430464</v>
      </c>
      <c r="AS206" t="s">
        <v>79</v>
      </c>
      <c r="AU206" t="s">
        <v>79</v>
      </c>
      <c r="AV206">
        <v>76382.789999999994</v>
      </c>
      <c r="AW206">
        <v>79891.56</v>
      </c>
      <c r="AX206">
        <v>79937.08</v>
      </c>
      <c r="AY206">
        <v>88865.89</v>
      </c>
      <c r="AZ206">
        <v>94634.78</v>
      </c>
      <c r="BA206">
        <v>97229.53</v>
      </c>
      <c r="BB206">
        <v>98360.01</v>
      </c>
      <c r="BC206">
        <v>100000</v>
      </c>
      <c r="BD206">
        <v>104738.68</v>
      </c>
      <c r="BE206">
        <v>108176.82</v>
      </c>
      <c r="BF206">
        <v>110891.36</v>
      </c>
      <c r="BG206">
        <v>115427.47</v>
      </c>
      <c r="BH206">
        <v>118009.65</v>
      </c>
      <c r="BI206">
        <v>136718.03</v>
      </c>
      <c r="BJ206">
        <v>148758.49</v>
      </c>
      <c r="BK206">
        <v>182944.14</v>
      </c>
      <c r="BL206">
        <v>217448.27</v>
      </c>
      <c r="BM206">
        <v>222704.65</v>
      </c>
      <c r="BN206">
        <v>225130.1</v>
      </c>
      <c r="BO206">
        <v>259946.2</v>
      </c>
      <c r="BP206">
        <v>270019.89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 x14ac:dyDescent="0.35">
      <c r="A207">
        <v>348221</v>
      </c>
      <c r="B207" t="s">
        <v>388</v>
      </c>
      <c r="C207" t="s">
        <v>389</v>
      </c>
      <c r="D207" s="1">
        <v>45799</v>
      </c>
      <c r="E207">
        <v>53850</v>
      </c>
      <c r="F207">
        <v>108</v>
      </c>
      <c r="G207" t="s">
        <v>89</v>
      </c>
      <c r="H207" t="s">
        <v>48</v>
      </c>
      <c r="I207" t="s">
        <v>49</v>
      </c>
      <c r="K207">
        <v>202505218000783</v>
      </c>
      <c r="L207">
        <v>1083305068340</v>
      </c>
      <c r="M207">
        <v>20250521</v>
      </c>
      <c r="N207" t="s">
        <v>400</v>
      </c>
      <c r="Q207" t="s">
        <v>58</v>
      </c>
      <c r="R207">
        <v>100000</v>
      </c>
      <c r="S207">
        <v>0</v>
      </c>
      <c r="T207">
        <v>506834</v>
      </c>
      <c r="U207" t="s">
        <v>581</v>
      </c>
      <c r="V207" t="s">
        <v>582</v>
      </c>
      <c r="W207" t="s">
        <v>83</v>
      </c>
      <c r="X207" t="s">
        <v>62</v>
      </c>
      <c r="Y207" t="s">
        <v>51</v>
      </c>
      <c r="Z207">
        <v>1118</v>
      </c>
      <c r="AH207">
        <v>0</v>
      </c>
      <c r="AI207">
        <v>202505</v>
      </c>
      <c r="AJ207" t="s">
        <v>168</v>
      </c>
      <c r="AK207">
        <v>1</v>
      </c>
      <c r="AL207">
        <v>1</v>
      </c>
      <c r="AO207">
        <v>0</v>
      </c>
      <c r="AP207">
        <v>999</v>
      </c>
      <c r="AQ207">
        <v>614</v>
      </c>
      <c r="AR207">
        <v>614999</v>
      </c>
      <c r="AT207">
        <v>1</v>
      </c>
      <c r="AU207" t="s">
        <v>61</v>
      </c>
      <c r="AV207">
        <v>85050</v>
      </c>
      <c r="AW207">
        <v>89030</v>
      </c>
      <c r="AX207">
        <v>91669.203999999998</v>
      </c>
      <c r="AY207">
        <v>93087.394</v>
      </c>
      <c r="AZ207">
        <v>94164.18</v>
      </c>
      <c r="BA207">
        <v>96798.05</v>
      </c>
      <c r="BB207">
        <v>100000</v>
      </c>
      <c r="BC207">
        <v>100000</v>
      </c>
      <c r="BD207">
        <v>101589.726</v>
      </c>
      <c r="BE207">
        <v>106295.712</v>
      </c>
      <c r="BF207">
        <v>110193.28</v>
      </c>
      <c r="BG207">
        <v>119645.424</v>
      </c>
      <c r="BH207">
        <v>127698</v>
      </c>
      <c r="BI207">
        <v>137713.79399999999</v>
      </c>
      <c r="BJ207">
        <v>139806</v>
      </c>
      <c r="BK207">
        <v>150000</v>
      </c>
      <c r="BL207">
        <v>161820.22</v>
      </c>
      <c r="BM207">
        <v>190199.99999999991</v>
      </c>
      <c r="BN207">
        <v>213800</v>
      </c>
      <c r="BO207">
        <v>259913.9999999998</v>
      </c>
      <c r="BP207">
        <v>440000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 x14ac:dyDescent="0.35">
      <c r="A208">
        <v>348220</v>
      </c>
      <c r="B208" t="s">
        <v>388</v>
      </c>
      <c r="C208" t="s">
        <v>389</v>
      </c>
      <c r="D208" s="1">
        <v>45799</v>
      </c>
      <c r="E208">
        <v>53850</v>
      </c>
      <c r="F208">
        <v>171</v>
      </c>
      <c r="G208" t="s">
        <v>70</v>
      </c>
      <c r="H208" t="s">
        <v>48</v>
      </c>
      <c r="I208" t="s">
        <v>49</v>
      </c>
      <c r="K208" t="s">
        <v>332</v>
      </c>
      <c r="L208">
        <v>1713305728950</v>
      </c>
      <c r="M208">
        <v>20250521</v>
      </c>
      <c r="N208" t="s">
        <v>253</v>
      </c>
      <c r="Q208" t="s">
        <v>58</v>
      </c>
      <c r="R208">
        <v>411980.15</v>
      </c>
      <c r="S208">
        <v>411980.15</v>
      </c>
      <c r="T208">
        <v>572895</v>
      </c>
      <c r="U208">
        <v>4161600723</v>
      </c>
      <c r="V208" t="s">
        <v>257</v>
      </c>
      <c r="W208" t="s">
        <v>56</v>
      </c>
      <c r="X208" t="s">
        <v>258</v>
      </c>
      <c r="Y208" t="s">
        <v>51</v>
      </c>
      <c r="Z208">
        <v>1903</v>
      </c>
      <c r="AH208">
        <v>0</v>
      </c>
      <c r="AI208">
        <v>202505</v>
      </c>
      <c r="AJ208" t="s">
        <v>168</v>
      </c>
      <c r="AK208">
        <v>1</v>
      </c>
      <c r="AL208">
        <v>1</v>
      </c>
      <c r="AM208">
        <v>572895</v>
      </c>
      <c r="AN208">
        <v>1</v>
      </c>
      <c r="AO208">
        <v>0</v>
      </c>
      <c r="AP208">
        <v>999</v>
      </c>
      <c r="AQ208">
        <v>430</v>
      </c>
      <c r="AR208">
        <v>430999</v>
      </c>
      <c r="AT208">
        <v>1</v>
      </c>
      <c r="AU208" t="s">
        <v>57</v>
      </c>
      <c r="AV208">
        <v>101552.46</v>
      </c>
      <c r="AW208">
        <v>114647.6485</v>
      </c>
      <c r="AX208">
        <v>118167.008</v>
      </c>
      <c r="AY208">
        <v>123559.05899999999</v>
      </c>
      <c r="AZ208">
        <v>128796.368</v>
      </c>
      <c r="BA208">
        <v>130000</v>
      </c>
      <c r="BB208">
        <v>135819.11300000001</v>
      </c>
      <c r="BC208">
        <v>145008.255</v>
      </c>
      <c r="BD208">
        <v>146226.546</v>
      </c>
      <c r="BE208">
        <v>148171.67300000001</v>
      </c>
      <c r="BF208">
        <v>156533.16500000001</v>
      </c>
      <c r="BG208">
        <v>167340.8915</v>
      </c>
      <c r="BH208">
        <v>179808.78</v>
      </c>
      <c r="BI208">
        <v>187222.14799999999</v>
      </c>
      <c r="BJ208">
        <v>206328.26500000001</v>
      </c>
      <c r="BK208">
        <v>220390.6225</v>
      </c>
      <c r="BL208">
        <v>239280.00000000009</v>
      </c>
      <c r="BM208">
        <v>298738.61</v>
      </c>
      <c r="BN208">
        <v>365407.64500000002</v>
      </c>
      <c r="BO208">
        <v>399465.49400000001</v>
      </c>
      <c r="BP208">
        <v>515709.15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0</v>
      </c>
    </row>
    <row r="209" spans="1:89" x14ac:dyDescent="0.35">
      <c r="A209">
        <v>348218</v>
      </c>
      <c r="B209" t="s">
        <v>388</v>
      </c>
      <c r="C209" t="s">
        <v>389</v>
      </c>
      <c r="D209" s="1">
        <v>45799</v>
      </c>
      <c r="E209">
        <v>53850</v>
      </c>
      <c r="F209">
        <v>116</v>
      </c>
      <c r="G209" t="s">
        <v>259</v>
      </c>
      <c r="H209" t="s">
        <v>48</v>
      </c>
      <c r="I209" t="s">
        <v>49</v>
      </c>
      <c r="K209">
        <v>202505218000628</v>
      </c>
      <c r="L209">
        <v>2343300010453</v>
      </c>
      <c r="M209">
        <v>20250521</v>
      </c>
      <c r="N209" t="s">
        <v>253</v>
      </c>
      <c r="Q209" t="s">
        <v>58</v>
      </c>
      <c r="R209">
        <v>153410.79999999999</v>
      </c>
      <c r="S209">
        <v>153410.79999999999</v>
      </c>
      <c r="T209">
        <v>4247777</v>
      </c>
      <c r="U209">
        <v>233470236</v>
      </c>
      <c r="V209" t="s">
        <v>260</v>
      </c>
      <c r="W209" t="s">
        <v>56</v>
      </c>
      <c r="X209" t="s">
        <v>72</v>
      </c>
      <c r="Y209" t="s">
        <v>51</v>
      </c>
      <c r="Z209">
        <v>1696</v>
      </c>
      <c r="AH209">
        <v>0</v>
      </c>
      <c r="AI209">
        <v>202505</v>
      </c>
      <c r="AJ209" t="s">
        <v>177</v>
      </c>
      <c r="AK209">
        <v>1</v>
      </c>
      <c r="AL209">
        <v>1</v>
      </c>
      <c r="AM209">
        <v>4247777</v>
      </c>
      <c r="AN209">
        <v>1</v>
      </c>
      <c r="AO209">
        <v>0</v>
      </c>
      <c r="AP209">
        <v>463</v>
      </c>
      <c r="AQ209">
        <v>430</v>
      </c>
      <c r="AR209">
        <v>430463</v>
      </c>
      <c r="AS209" t="s">
        <v>61</v>
      </c>
      <c r="AU209" t="s">
        <v>61</v>
      </c>
      <c r="AV209">
        <v>85050</v>
      </c>
      <c r="AW209">
        <v>89030</v>
      </c>
      <c r="AX209">
        <v>91669.203999999998</v>
      </c>
      <c r="AY209">
        <v>93087.394</v>
      </c>
      <c r="AZ209">
        <v>94164.18</v>
      </c>
      <c r="BA209">
        <v>96798.05</v>
      </c>
      <c r="BB209">
        <v>100000</v>
      </c>
      <c r="BC209">
        <v>100000</v>
      </c>
      <c r="BD209">
        <v>101589.726</v>
      </c>
      <c r="BE209">
        <v>106295.712</v>
      </c>
      <c r="BF209">
        <v>110193.28</v>
      </c>
      <c r="BG209">
        <v>119645.424</v>
      </c>
      <c r="BH209">
        <v>127698</v>
      </c>
      <c r="BI209">
        <v>137713.79399999999</v>
      </c>
      <c r="BJ209">
        <v>139806</v>
      </c>
      <c r="BK209">
        <v>150000</v>
      </c>
      <c r="BL209">
        <v>161820.22</v>
      </c>
      <c r="BM209">
        <v>190199.99999999991</v>
      </c>
      <c r="BN209">
        <v>213800</v>
      </c>
      <c r="BO209">
        <v>259913.9999999998</v>
      </c>
      <c r="BP209">
        <v>440000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 x14ac:dyDescent="0.35">
      <c r="A210">
        <v>348216</v>
      </c>
      <c r="B210" t="s">
        <v>388</v>
      </c>
      <c r="C210" t="s">
        <v>389</v>
      </c>
      <c r="D210" s="1">
        <v>45799</v>
      </c>
      <c r="E210">
        <v>53850</v>
      </c>
      <c r="F210">
        <v>171</v>
      </c>
      <c r="G210" t="s">
        <v>70</v>
      </c>
      <c r="H210" t="s">
        <v>48</v>
      </c>
      <c r="I210" t="s">
        <v>49</v>
      </c>
      <c r="K210" t="s">
        <v>332</v>
      </c>
      <c r="L210">
        <v>1713302214147</v>
      </c>
      <c r="M210">
        <v>20250521</v>
      </c>
      <c r="N210" t="s">
        <v>253</v>
      </c>
      <c r="Q210" t="s">
        <v>58</v>
      </c>
      <c r="R210">
        <v>178460</v>
      </c>
      <c r="S210">
        <v>178460</v>
      </c>
      <c r="T210">
        <v>4199319</v>
      </c>
      <c r="U210">
        <v>6037810725</v>
      </c>
      <c r="V210" t="s">
        <v>317</v>
      </c>
      <c r="W210" t="s">
        <v>56</v>
      </c>
      <c r="X210" t="s">
        <v>258</v>
      </c>
      <c r="Y210" t="s">
        <v>51</v>
      </c>
      <c r="Z210">
        <v>1903</v>
      </c>
      <c r="AH210">
        <v>0</v>
      </c>
      <c r="AI210">
        <v>202505</v>
      </c>
      <c r="AJ210" t="s">
        <v>168</v>
      </c>
      <c r="AK210">
        <v>1</v>
      </c>
      <c r="AL210">
        <v>1</v>
      </c>
      <c r="AM210">
        <v>4199319</v>
      </c>
      <c r="AN210">
        <v>1</v>
      </c>
      <c r="AO210">
        <v>0</v>
      </c>
      <c r="AP210">
        <v>999</v>
      </c>
      <c r="AQ210">
        <v>430</v>
      </c>
      <c r="AR210">
        <v>430999</v>
      </c>
      <c r="AT210">
        <v>1</v>
      </c>
      <c r="AU210" t="s">
        <v>57</v>
      </c>
      <c r="AV210">
        <v>101552.46</v>
      </c>
      <c r="AW210">
        <v>114647.6485</v>
      </c>
      <c r="AX210">
        <v>118167.008</v>
      </c>
      <c r="AY210">
        <v>123559.05899999999</v>
      </c>
      <c r="AZ210">
        <v>128796.368</v>
      </c>
      <c r="BA210">
        <v>130000</v>
      </c>
      <c r="BB210">
        <v>135819.11300000001</v>
      </c>
      <c r="BC210">
        <v>145008.255</v>
      </c>
      <c r="BD210">
        <v>146226.546</v>
      </c>
      <c r="BE210">
        <v>148171.67300000001</v>
      </c>
      <c r="BF210">
        <v>156533.16500000001</v>
      </c>
      <c r="BG210">
        <v>167340.8915</v>
      </c>
      <c r="BH210">
        <v>179808.78</v>
      </c>
      <c r="BI210">
        <v>187222.14799999999</v>
      </c>
      <c r="BJ210">
        <v>206328.26500000001</v>
      </c>
      <c r="BK210">
        <v>220390.6225</v>
      </c>
      <c r="BL210">
        <v>239280.00000000009</v>
      </c>
      <c r="BM210">
        <v>298738.61</v>
      </c>
      <c r="BN210">
        <v>365407.64500000002</v>
      </c>
      <c r="BO210">
        <v>399465.49400000001</v>
      </c>
      <c r="BP210">
        <v>515709.15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 x14ac:dyDescent="0.35">
      <c r="A211">
        <v>348199</v>
      </c>
      <c r="B211" t="s">
        <v>388</v>
      </c>
      <c r="C211" t="s">
        <v>389</v>
      </c>
      <c r="D211" s="1">
        <v>45798</v>
      </c>
      <c r="E211">
        <v>53850</v>
      </c>
      <c r="F211">
        <v>131</v>
      </c>
      <c r="G211" t="s">
        <v>173</v>
      </c>
      <c r="H211" t="s">
        <v>48</v>
      </c>
      <c r="I211" t="s">
        <v>49</v>
      </c>
      <c r="K211">
        <v>202505207997996</v>
      </c>
      <c r="L211">
        <v>1313300001281</v>
      </c>
      <c r="M211">
        <v>20250520</v>
      </c>
      <c r="N211" t="s">
        <v>400</v>
      </c>
      <c r="Q211" t="s">
        <v>58</v>
      </c>
      <c r="R211">
        <v>130000</v>
      </c>
      <c r="S211">
        <v>0</v>
      </c>
      <c r="T211">
        <v>4053158</v>
      </c>
      <c r="U211" t="s">
        <v>583</v>
      </c>
      <c r="V211" t="s">
        <v>584</v>
      </c>
      <c r="W211" t="s">
        <v>50</v>
      </c>
      <c r="Y211" t="s">
        <v>51</v>
      </c>
      <c r="Z211">
        <v>826</v>
      </c>
      <c r="AH211">
        <v>0</v>
      </c>
      <c r="AI211">
        <v>202505</v>
      </c>
      <c r="AJ211" t="s">
        <v>168</v>
      </c>
      <c r="AK211">
        <v>1</v>
      </c>
      <c r="AL211">
        <v>1</v>
      </c>
      <c r="AO211">
        <v>0</v>
      </c>
      <c r="AP211">
        <v>999</v>
      </c>
      <c r="AQ211">
        <v>600</v>
      </c>
      <c r="AR211">
        <v>600999</v>
      </c>
      <c r="AS211" t="s">
        <v>52</v>
      </c>
      <c r="AU211" t="s">
        <v>52</v>
      </c>
      <c r="AV211">
        <v>107500</v>
      </c>
      <c r="AW211">
        <v>109625</v>
      </c>
      <c r="AX211">
        <v>110000</v>
      </c>
      <c r="AY211">
        <v>112750</v>
      </c>
      <c r="AZ211">
        <v>120738</v>
      </c>
      <c r="BA211">
        <v>129508.75</v>
      </c>
      <c r="BB211">
        <v>130380</v>
      </c>
      <c r="BC211">
        <v>133610</v>
      </c>
      <c r="BD211">
        <v>133800</v>
      </c>
      <c r="BE211">
        <v>141080</v>
      </c>
      <c r="BF211">
        <v>147500</v>
      </c>
      <c r="BG211">
        <v>155382.03049999999</v>
      </c>
      <c r="BH211">
        <v>165585.11799999999</v>
      </c>
      <c r="BI211">
        <v>166416.67000000001</v>
      </c>
      <c r="BJ211">
        <v>166416.67000000001</v>
      </c>
      <c r="BK211">
        <v>173582.95749999999</v>
      </c>
      <c r="BL211">
        <v>190388.68799999999</v>
      </c>
      <c r="BM211">
        <v>212150</v>
      </c>
      <c r="BN211">
        <v>283513.16900000011</v>
      </c>
      <c r="BO211">
        <v>415377.23</v>
      </c>
      <c r="BP211">
        <v>415377.23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 x14ac:dyDescent="0.35">
      <c r="A212">
        <v>348195</v>
      </c>
      <c r="B212" t="s">
        <v>388</v>
      </c>
      <c r="C212" t="s">
        <v>389</v>
      </c>
      <c r="D212" s="1">
        <v>45798</v>
      </c>
      <c r="E212">
        <v>53850</v>
      </c>
      <c r="F212">
        <v>108</v>
      </c>
      <c r="G212" t="s">
        <v>89</v>
      </c>
      <c r="H212" t="s">
        <v>48</v>
      </c>
      <c r="I212" t="s">
        <v>49</v>
      </c>
      <c r="K212" t="s">
        <v>333</v>
      </c>
      <c r="L212">
        <v>1083306291105</v>
      </c>
      <c r="M212">
        <v>20250520</v>
      </c>
      <c r="N212" t="s">
        <v>262</v>
      </c>
      <c r="Q212" t="s">
        <v>58</v>
      </c>
      <c r="R212">
        <v>147771.42000000001</v>
      </c>
      <c r="S212">
        <v>139798.04999999999</v>
      </c>
      <c r="T212">
        <v>4227057</v>
      </c>
      <c r="U212">
        <v>4874620729</v>
      </c>
      <c r="V212" t="s">
        <v>263</v>
      </c>
      <c r="W212" t="s">
        <v>56</v>
      </c>
      <c r="X212" t="s">
        <v>264</v>
      </c>
      <c r="Y212" t="s">
        <v>51</v>
      </c>
      <c r="Z212">
        <v>1058</v>
      </c>
      <c r="AH212">
        <v>0</v>
      </c>
      <c r="AI212">
        <v>202505</v>
      </c>
      <c r="AJ212" t="s">
        <v>63</v>
      </c>
      <c r="AK212">
        <v>0</v>
      </c>
      <c r="AL212">
        <v>1</v>
      </c>
      <c r="AM212">
        <v>4227057</v>
      </c>
      <c r="AN212">
        <v>1</v>
      </c>
      <c r="AO212">
        <v>1</v>
      </c>
      <c r="AP212">
        <v>999</v>
      </c>
      <c r="AQ212">
        <v>430</v>
      </c>
      <c r="AR212">
        <v>430999</v>
      </c>
      <c r="AT212">
        <v>1</v>
      </c>
      <c r="AU212" t="s">
        <v>57</v>
      </c>
      <c r="AV212">
        <v>101552.46</v>
      </c>
      <c r="AW212">
        <v>114647.6485</v>
      </c>
      <c r="AX212">
        <v>118167.008</v>
      </c>
      <c r="AY212">
        <v>123559.05899999999</v>
      </c>
      <c r="AZ212">
        <v>128796.368</v>
      </c>
      <c r="BA212">
        <v>130000</v>
      </c>
      <c r="BB212">
        <v>135819.11300000001</v>
      </c>
      <c r="BC212">
        <v>145008.255</v>
      </c>
      <c r="BD212">
        <v>146226.546</v>
      </c>
      <c r="BE212">
        <v>148171.67300000001</v>
      </c>
      <c r="BF212">
        <v>156533.16500000001</v>
      </c>
      <c r="BG212">
        <v>167340.8915</v>
      </c>
      <c r="BH212">
        <v>179808.78</v>
      </c>
      <c r="BI212">
        <v>187222.14799999999</v>
      </c>
      <c r="BJ212">
        <v>206328.26500000001</v>
      </c>
      <c r="BK212">
        <v>220390.6225</v>
      </c>
      <c r="BL212">
        <v>239280.00000000009</v>
      </c>
      <c r="BM212">
        <v>298738.61</v>
      </c>
      <c r="BN212">
        <v>365407.64500000002</v>
      </c>
      <c r="BO212">
        <v>399465.49400000001</v>
      </c>
      <c r="BP212">
        <v>515709.15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 x14ac:dyDescent="0.35">
      <c r="A213">
        <v>348189</v>
      </c>
      <c r="B213" t="s">
        <v>388</v>
      </c>
      <c r="C213" t="s">
        <v>389</v>
      </c>
      <c r="D213" s="1">
        <v>45798</v>
      </c>
      <c r="E213">
        <v>53850</v>
      </c>
      <c r="F213">
        <v>120</v>
      </c>
      <c r="G213" t="s">
        <v>181</v>
      </c>
      <c r="H213" t="s">
        <v>48</v>
      </c>
      <c r="I213" t="s">
        <v>49</v>
      </c>
      <c r="K213">
        <v>202505207997972</v>
      </c>
      <c r="L213">
        <v>1203300004095</v>
      </c>
      <c r="M213">
        <v>20250520</v>
      </c>
      <c r="N213" t="s">
        <v>400</v>
      </c>
      <c r="Q213" t="s">
        <v>58</v>
      </c>
      <c r="R213">
        <v>150000</v>
      </c>
      <c r="S213">
        <v>0</v>
      </c>
      <c r="T213">
        <v>3734272</v>
      </c>
      <c r="U213" t="s">
        <v>585</v>
      </c>
      <c r="V213" t="s">
        <v>586</v>
      </c>
      <c r="W213" t="s">
        <v>50</v>
      </c>
      <c r="Y213" t="s">
        <v>51</v>
      </c>
      <c r="AH213">
        <v>0</v>
      </c>
      <c r="AI213">
        <v>202505</v>
      </c>
      <c r="AJ213" t="s">
        <v>168</v>
      </c>
      <c r="AK213">
        <v>1</v>
      </c>
      <c r="AL213">
        <v>1</v>
      </c>
      <c r="AO213">
        <v>0</v>
      </c>
      <c r="AP213">
        <v>999</v>
      </c>
      <c r="AQ213">
        <v>600</v>
      </c>
      <c r="AR213">
        <v>600999</v>
      </c>
      <c r="AS213" t="s">
        <v>52</v>
      </c>
      <c r="AU213" t="s">
        <v>52</v>
      </c>
      <c r="AV213">
        <v>107500</v>
      </c>
      <c r="AW213">
        <v>109625</v>
      </c>
      <c r="AX213">
        <v>110000</v>
      </c>
      <c r="AY213">
        <v>112750</v>
      </c>
      <c r="AZ213">
        <v>120738</v>
      </c>
      <c r="BA213">
        <v>129508.75</v>
      </c>
      <c r="BB213">
        <v>130380</v>
      </c>
      <c r="BC213">
        <v>133610</v>
      </c>
      <c r="BD213">
        <v>133800</v>
      </c>
      <c r="BE213">
        <v>141080</v>
      </c>
      <c r="BF213">
        <v>147500</v>
      </c>
      <c r="BG213">
        <v>155382.03049999999</v>
      </c>
      <c r="BH213">
        <v>165585.11799999999</v>
      </c>
      <c r="BI213">
        <v>166416.67000000001</v>
      </c>
      <c r="BJ213">
        <v>166416.67000000001</v>
      </c>
      <c r="BK213">
        <v>173582.95749999999</v>
      </c>
      <c r="BL213">
        <v>190388.68799999999</v>
      </c>
      <c r="BM213">
        <v>212150</v>
      </c>
      <c r="BN213">
        <v>283513.16900000011</v>
      </c>
      <c r="BO213">
        <v>415377.23</v>
      </c>
      <c r="BP213">
        <v>415377.23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 x14ac:dyDescent="0.35">
      <c r="A214">
        <v>348186</v>
      </c>
      <c r="B214" t="s">
        <v>388</v>
      </c>
      <c r="C214" t="s">
        <v>389</v>
      </c>
      <c r="D214" s="1">
        <v>45798</v>
      </c>
      <c r="E214">
        <v>53850</v>
      </c>
      <c r="F214">
        <v>120</v>
      </c>
      <c r="G214" t="s">
        <v>181</v>
      </c>
      <c r="H214" t="s">
        <v>48</v>
      </c>
      <c r="I214" t="s">
        <v>49</v>
      </c>
      <c r="K214">
        <v>202505207997972</v>
      </c>
      <c r="L214">
        <v>1203300004095</v>
      </c>
      <c r="M214">
        <v>20250520</v>
      </c>
      <c r="N214" t="s">
        <v>400</v>
      </c>
      <c r="Q214" t="s">
        <v>58</v>
      </c>
      <c r="R214">
        <v>150000</v>
      </c>
      <c r="S214">
        <v>0</v>
      </c>
      <c r="T214">
        <v>4890472</v>
      </c>
      <c r="U214" t="s">
        <v>587</v>
      </c>
      <c r="V214" t="s">
        <v>588</v>
      </c>
      <c r="W214" t="s">
        <v>50</v>
      </c>
      <c r="Y214" t="s">
        <v>51</v>
      </c>
      <c r="Z214">
        <v>1640</v>
      </c>
      <c r="AH214">
        <v>0</v>
      </c>
      <c r="AI214">
        <v>202505</v>
      </c>
      <c r="AJ214" t="s">
        <v>168</v>
      </c>
      <c r="AK214">
        <v>1</v>
      </c>
      <c r="AL214">
        <v>1</v>
      </c>
      <c r="AO214">
        <v>0</v>
      </c>
      <c r="AP214">
        <v>999</v>
      </c>
      <c r="AQ214">
        <v>600</v>
      </c>
      <c r="AR214">
        <v>600999</v>
      </c>
      <c r="AS214" t="s">
        <v>52</v>
      </c>
      <c r="AU214" t="s">
        <v>52</v>
      </c>
      <c r="AV214">
        <v>107500</v>
      </c>
      <c r="AW214">
        <v>109625</v>
      </c>
      <c r="AX214">
        <v>110000</v>
      </c>
      <c r="AY214">
        <v>112750</v>
      </c>
      <c r="AZ214">
        <v>120738</v>
      </c>
      <c r="BA214">
        <v>129508.75</v>
      </c>
      <c r="BB214">
        <v>130380</v>
      </c>
      <c r="BC214">
        <v>133610</v>
      </c>
      <c r="BD214">
        <v>133800</v>
      </c>
      <c r="BE214">
        <v>141080</v>
      </c>
      <c r="BF214">
        <v>147500</v>
      </c>
      <c r="BG214">
        <v>155382.03049999999</v>
      </c>
      <c r="BH214">
        <v>165585.11799999999</v>
      </c>
      <c r="BI214">
        <v>166416.67000000001</v>
      </c>
      <c r="BJ214">
        <v>166416.67000000001</v>
      </c>
      <c r="BK214">
        <v>173582.95749999999</v>
      </c>
      <c r="BL214">
        <v>190388.68799999999</v>
      </c>
      <c r="BM214">
        <v>212150</v>
      </c>
      <c r="BN214">
        <v>283513.16900000011</v>
      </c>
      <c r="BO214">
        <v>415377.23</v>
      </c>
      <c r="BP214">
        <v>415377.23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 x14ac:dyDescent="0.35">
      <c r="A215">
        <v>348182</v>
      </c>
      <c r="B215" t="s">
        <v>388</v>
      </c>
      <c r="C215" t="s">
        <v>389</v>
      </c>
      <c r="D215" s="1">
        <v>45798</v>
      </c>
      <c r="E215">
        <v>53850</v>
      </c>
      <c r="F215">
        <v>108</v>
      </c>
      <c r="G215" t="s">
        <v>89</v>
      </c>
      <c r="H215" t="s">
        <v>48</v>
      </c>
      <c r="I215" t="s">
        <v>49</v>
      </c>
      <c r="K215">
        <v>202505207997906</v>
      </c>
      <c r="L215">
        <v>1083300011180</v>
      </c>
      <c r="M215">
        <v>20250520</v>
      </c>
      <c r="N215" t="s">
        <v>392</v>
      </c>
      <c r="Q215" t="s">
        <v>58</v>
      </c>
      <c r="R215">
        <v>122693.54</v>
      </c>
      <c r="S215">
        <v>0</v>
      </c>
      <c r="T215">
        <v>1118</v>
      </c>
      <c r="U215">
        <v>3246700722</v>
      </c>
      <c r="V215" t="s">
        <v>416</v>
      </c>
      <c r="W215" t="s">
        <v>56</v>
      </c>
      <c r="X215" t="s">
        <v>411</v>
      </c>
      <c r="Y215" t="s">
        <v>51</v>
      </c>
      <c r="Z215">
        <v>1058</v>
      </c>
      <c r="AH215">
        <v>0</v>
      </c>
      <c r="AI215">
        <v>202505</v>
      </c>
      <c r="AJ215" t="s">
        <v>54</v>
      </c>
      <c r="AK215">
        <v>0</v>
      </c>
      <c r="AL215">
        <v>1</v>
      </c>
      <c r="AO215">
        <v>0</v>
      </c>
      <c r="AP215">
        <v>999</v>
      </c>
      <c r="AQ215">
        <v>430</v>
      </c>
      <c r="AR215">
        <v>430999</v>
      </c>
      <c r="AT215">
        <v>1</v>
      </c>
      <c r="AU215" t="s">
        <v>57</v>
      </c>
      <c r="AV215">
        <v>101552.46</v>
      </c>
      <c r="AW215">
        <v>114647.6485</v>
      </c>
      <c r="AX215">
        <v>118167.008</v>
      </c>
      <c r="AY215">
        <v>123559.05899999999</v>
      </c>
      <c r="AZ215">
        <v>128796.368</v>
      </c>
      <c r="BA215">
        <v>130000</v>
      </c>
      <c r="BB215">
        <v>135819.11300000001</v>
      </c>
      <c r="BC215">
        <v>145008.255</v>
      </c>
      <c r="BD215">
        <v>146226.546</v>
      </c>
      <c r="BE215">
        <v>148171.67300000001</v>
      </c>
      <c r="BF215">
        <v>156533.16500000001</v>
      </c>
      <c r="BG215">
        <v>167340.8915</v>
      </c>
      <c r="BH215">
        <v>179808.78</v>
      </c>
      <c r="BI215">
        <v>187222.14799999999</v>
      </c>
      <c r="BJ215">
        <v>206328.26500000001</v>
      </c>
      <c r="BK215">
        <v>220390.6225</v>
      </c>
      <c r="BL215">
        <v>239280.00000000009</v>
      </c>
      <c r="BM215">
        <v>298738.61</v>
      </c>
      <c r="BN215">
        <v>365407.64500000002</v>
      </c>
      <c r="BO215">
        <v>399465.49400000001</v>
      </c>
      <c r="BP215">
        <v>515709.15</v>
      </c>
      <c r="BQ215">
        <v>1</v>
      </c>
      <c r="BR215">
        <v>1</v>
      </c>
      <c r="BS215">
        <v>1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 x14ac:dyDescent="0.35">
      <c r="A216">
        <v>348181</v>
      </c>
      <c r="B216" t="s">
        <v>388</v>
      </c>
      <c r="C216" t="s">
        <v>389</v>
      </c>
      <c r="D216" s="1">
        <v>45798</v>
      </c>
      <c r="E216">
        <v>53850</v>
      </c>
      <c r="F216">
        <v>171</v>
      </c>
      <c r="G216" t="s">
        <v>70</v>
      </c>
      <c r="H216" t="s">
        <v>48</v>
      </c>
      <c r="I216" t="s">
        <v>49</v>
      </c>
      <c r="K216" t="s">
        <v>333</v>
      </c>
      <c r="L216">
        <v>1713305728950</v>
      </c>
      <c r="M216">
        <v>20250520</v>
      </c>
      <c r="N216" t="s">
        <v>253</v>
      </c>
      <c r="Q216" t="s">
        <v>58</v>
      </c>
      <c r="R216">
        <v>188863.68</v>
      </c>
      <c r="S216">
        <v>188863.68</v>
      </c>
      <c r="T216">
        <v>572895</v>
      </c>
      <c r="U216">
        <v>4161600723</v>
      </c>
      <c r="V216" t="s">
        <v>257</v>
      </c>
      <c r="W216" t="s">
        <v>56</v>
      </c>
      <c r="X216" t="s">
        <v>258</v>
      </c>
      <c r="Y216" t="s">
        <v>51</v>
      </c>
      <c r="Z216">
        <v>1903</v>
      </c>
      <c r="AH216">
        <v>0</v>
      </c>
      <c r="AI216">
        <v>202505</v>
      </c>
      <c r="AJ216" t="s">
        <v>168</v>
      </c>
      <c r="AK216">
        <v>1</v>
      </c>
      <c r="AL216">
        <v>1</v>
      </c>
      <c r="AM216">
        <v>572895</v>
      </c>
      <c r="AN216">
        <v>1</v>
      </c>
      <c r="AO216">
        <v>0</v>
      </c>
      <c r="AP216">
        <v>999</v>
      </c>
      <c r="AQ216">
        <v>430</v>
      </c>
      <c r="AR216">
        <v>430999</v>
      </c>
      <c r="AT216">
        <v>1</v>
      </c>
      <c r="AU216" t="s">
        <v>57</v>
      </c>
      <c r="AV216">
        <v>101552.46</v>
      </c>
      <c r="AW216">
        <v>114647.6485</v>
      </c>
      <c r="AX216">
        <v>118167.008</v>
      </c>
      <c r="AY216">
        <v>123559.05899999999</v>
      </c>
      <c r="AZ216">
        <v>128796.368</v>
      </c>
      <c r="BA216">
        <v>130000</v>
      </c>
      <c r="BB216">
        <v>135819.11300000001</v>
      </c>
      <c r="BC216">
        <v>145008.255</v>
      </c>
      <c r="BD216">
        <v>146226.546</v>
      </c>
      <c r="BE216">
        <v>148171.67300000001</v>
      </c>
      <c r="BF216">
        <v>156533.16500000001</v>
      </c>
      <c r="BG216">
        <v>167340.8915</v>
      </c>
      <c r="BH216">
        <v>179808.78</v>
      </c>
      <c r="BI216">
        <v>187222.14799999999</v>
      </c>
      <c r="BJ216">
        <v>206328.26500000001</v>
      </c>
      <c r="BK216">
        <v>220390.6225</v>
      </c>
      <c r="BL216">
        <v>239280.00000000009</v>
      </c>
      <c r="BM216">
        <v>298738.61</v>
      </c>
      <c r="BN216">
        <v>365407.64500000002</v>
      </c>
      <c r="BO216">
        <v>399465.49400000001</v>
      </c>
      <c r="BP216">
        <v>515709.15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 x14ac:dyDescent="0.35">
      <c r="A217">
        <v>348177</v>
      </c>
      <c r="B217" t="s">
        <v>388</v>
      </c>
      <c r="C217" t="s">
        <v>389</v>
      </c>
      <c r="D217" s="1">
        <v>45798</v>
      </c>
      <c r="E217">
        <v>53850</v>
      </c>
      <c r="F217">
        <v>131</v>
      </c>
      <c r="G217" t="s">
        <v>173</v>
      </c>
      <c r="H217" t="s">
        <v>48</v>
      </c>
      <c r="I217" t="s">
        <v>49</v>
      </c>
      <c r="K217">
        <v>202505207997996</v>
      </c>
      <c r="L217">
        <v>1313300001281</v>
      </c>
      <c r="M217">
        <v>20250520</v>
      </c>
      <c r="N217" t="s">
        <v>400</v>
      </c>
      <c r="Q217" t="s">
        <v>58</v>
      </c>
      <c r="R217">
        <v>130000</v>
      </c>
      <c r="S217">
        <v>0</v>
      </c>
      <c r="T217">
        <v>4053792</v>
      </c>
      <c r="U217" t="s">
        <v>589</v>
      </c>
      <c r="V217" t="s">
        <v>590</v>
      </c>
      <c r="W217" t="s">
        <v>50</v>
      </c>
      <c r="Y217" t="s">
        <v>51</v>
      </c>
      <c r="Z217">
        <v>826</v>
      </c>
      <c r="AH217">
        <v>0</v>
      </c>
      <c r="AI217">
        <v>202505</v>
      </c>
      <c r="AJ217" t="s">
        <v>168</v>
      </c>
      <c r="AK217">
        <v>1</v>
      </c>
      <c r="AL217">
        <v>1</v>
      </c>
      <c r="AO217">
        <v>0</v>
      </c>
      <c r="AP217">
        <v>999</v>
      </c>
      <c r="AQ217">
        <v>600</v>
      </c>
      <c r="AR217">
        <v>600999</v>
      </c>
      <c r="AS217" t="s">
        <v>52</v>
      </c>
      <c r="AU217" t="s">
        <v>52</v>
      </c>
      <c r="AV217">
        <v>107500</v>
      </c>
      <c r="AW217">
        <v>109625</v>
      </c>
      <c r="AX217">
        <v>110000</v>
      </c>
      <c r="AY217">
        <v>112750</v>
      </c>
      <c r="AZ217">
        <v>120738</v>
      </c>
      <c r="BA217">
        <v>129508.75</v>
      </c>
      <c r="BB217">
        <v>130380</v>
      </c>
      <c r="BC217">
        <v>133610</v>
      </c>
      <c r="BD217">
        <v>133800</v>
      </c>
      <c r="BE217">
        <v>141080</v>
      </c>
      <c r="BF217">
        <v>147500</v>
      </c>
      <c r="BG217">
        <v>155382.03049999999</v>
      </c>
      <c r="BH217">
        <v>165585.11799999999</v>
      </c>
      <c r="BI217">
        <v>166416.67000000001</v>
      </c>
      <c r="BJ217">
        <v>166416.67000000001</v>
      </c>
      <c r="BK217">
        <v>173582.95749999999</v>
      </c>
      <c r="BL217">
        <v>190388.68799999999</v>
      </c>
      <c r="BM217">
        <v>212150</v>
      </c>
      <c r="BN217">
        <v>283513.16900000011</v>
      </c>
      <c r="BO217">
        <v>415377.23</v>
      </c>
      <c r="BP217">
        <v>415377.23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 x14ac:dyDescent="0.35">
      <c r="A218">
        <v>348167</v>
      </c>
      <c r="B218" t="s">
        <v>388</v>
      </c>
      <c r="C218" t="s">
        <v>389</v>
      </c>
      <c r="D218" s="1">
        <v>45797</v>
      </c>
      <c r="E218">
        <v>53850</v>
      </c>
      <c r="F218">
        <v>102</v>
      </c>
      <c r="G218" t="s">
        <v>55</v>
      </c>
      <c r="H218" t="s">
        <v>48</v>
      </c>
      <c r="I218" t="s">
        <v>49</v>
      </c>
      <c r="K218">
        <v>202505197994721</v>
      </c>
      <c r="L218">
        <v>1033306969732</v>
      </c>
      <c r="M218">
        <v>20250519</v>
      </c>
      <c r="N218" t="s">
        <v>505</v>
      </c>
      <c r="Q218" t="s">
        <v>58</v>
      </c>
      <c r="R218">
        <v>125000</v>
      </c>
      <c r="S218">
        <v>0</v>
      </c>
      <c r="T218">
        <v>461958</v>
      </c>
      <c r="U218" t="s">
        <v>591</v>
      </c>
      <c r="V218" t="s">
        <v>592</v>
      </c>
      <c r="W218" t="s">
        <v>50</v>
      </c>
      <c r="Y218" t="s">
        <v>51</v>
      </c>
      <c r="Z218">
        <v>1912</v>
      </c>
      <c r="AH218">
        <v>0</v>
      </c>
      <c r="AI218">
        <v>202505</v>
      </c>
      <c r="AJ218" t="s">
        <v>168</v>
      </c>
      <c r="AK218">
        <v>1</v>
      </c>
      <c r="AL218">
        <v>1</v>
      </c>
      <c r="AO218">
        <v>0</v>
      </c>
      <c r="AP218">
        <v>999</v>
      </c>
      <c r="AQ218">
        <v>600</v>
      </c>
      <c r="AR218">
        <v>600999</v>
      </c>
      <c r="AS218" t="s">
        <v>52</v>
      </c>
      <c r="AU218" t="s">
        <v>52</v>
      </c>
      <c r="AV218">
        <v>107500</v>
      </c>
      <c r="AW218">
        <v>109625</v>
      </c>
      <c r="AX218">
        <v>110000</v>
      </c>
      <c r="AY218">
        <v>112750</v>
      </c>
      <c r="AZ218">
        <v>120738</v>
      </c>
      <c r="BA218">
        <v>129508.75</v>
      </c>
      <c r="BB218">
        <v>130380</v>
      </c>
      <c r="BC218">
        <v>133610</v>
      </c>
      <c r="BD218">
        <v>133800</v>
      </c>
      <c r="BE218">
        <v>141080</v>
      </c>
      <c r="BF218">
        <v>147500</v>
      </c>
      <c r="BG218">
        <v>155382.03049999999</v>
      </c>
      <c r="BH218">
        <v>165585.11799999999</v>
      </c>
      <c r="BI218">
        <v>166416.67000000001</v>
      </c>
      <c r="BJ218">
        <v>166416.67000000001</v>
      </c>
      <c r="BK218">
        <v>173582.95749999999</v>
      </c>
      <c r="BL218">
        <v>190388.68799999999</v>
      </c>
      <c r="BM218">
        <v>212150</v>
      </c>
      <c r="BN218">
        <v>283513.16900000011</v>
      </c>
      <c r="BO218">
        <v>415377.23</v>
      </c>
      <c r="BP218">
        <v>415377.23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 x14ac:dyDescent="0.35">
      <c r="A219">
        <v>348164</v>
      </c>
      <c r="B219" t="s">
        <v>388</v>
      </c>
      <c r="C219" t="s">
        <v>389</v>
      </c>
      <c r="D219" s="1">
        <v>45797</v>
      </c>
      <c r="E219">
        <v>53850</v>
      </c>
      <c r="F219">
        <v>116</v>
      </c>
      <c r="G219" t="s">
        <v>259</v>
      </c>
      <c r="H219" t="s">
        <v>48</v>
      </c>
      <c r="I219" t="s">
        <v>49</v>
      </c>
      <c r="K219">
        <v>202505197994592</v>
      </c>
      <c r="L219">
        <v>2343300010453</v>
      </c>
      <c r="M219">
        <v>20250519</v>
      </c>
      <c r="N219" t="s">
        <v>253</v>
      </c>
      <c r="Q219" t="s">
        <v>58</v>
      </c>
      <c r="R219">
        <v>154339.85</v>
      </c>
      <c r="S219">
        <v>154339.85</v>
      </c>
      <c r="T219">
        <v>4247777</v>
      </c>
      <c r="U219">
        <v>233470236</v>
      </c>
      <c r="V219" t="s">
        <v>260</v>
      </c>
      <c r="W219" t="s">
        <v>56</v>
      </c>
      <c r="X219" t="s">
        <v>72</v>
      </c>
      <c r="Y219" t="s">
        <v>51</v>
      </c>
      <c r="Z219">
        <v>1696</v>
      </c>
      <c r="AH219">
        <v>0</v>
      </c>
      <c r="AI219">
        <v>202505</v>
      </c>
      <c r="AJ219" t="s">
        <v>177</v>
      </c>
      <c r="AK219">
        <v>1</v>
      </c>
      <c r="AL219">
        <v>1</v>
      </c>
      <c r="AM219">
        <v>4247777</v>
      </c>
      <c r="AN219">
        <v>1</v>
      </c>
      <c r="AO219">
        <v>0</v>
      </c>
      <c r="AP219">
        <v>463</v>
      </c>
      <c r="AQ219">
        <v>430</v>
      </c>
      <c r="AR219">
        <v>430463</v>
      </c>
      <c r="AS219" t="s">
        <v>61</v>
      </c>
      <c r="AU219" t="s">
        <v>61</v>
      </c>
      <c r="AV219">
        <v>85050</v>
      </c>
      <c r="AW219">
        <v>89030</v>
      </c>
      <c r="AX219">
        <v>91669.203999999998</v>
      </c>
      <c r="AY219">
        <v>93087.394</v>
      </c>
      <c r="AZ219">
        <v>94164.18</v>
      </c>
      <c r="BA219">
        <v>96798.05</v>
      </c>
      <c r="BB219">
        <v>100000</v>
      </c>
      <c r="BC219">
        <v>100000</v>
      </c>
      <c r="BD219">
        <v>101589.726</v>
      </c>
      <c r="BE219">
        <v>106295.712</v>
      </c>
      <c r="BF219">
        <v>110193.28</v>
      </c>
      <c r="BG219">
        <v>119645.424</v>
      </c>
      <c r="BH219">
        <v>127698</v>
      </c>
      <c r="BI219">
        <v>137713.79399999999</v>
      </c>
      <c r="BJ219">
        <v>139806</v>
      </c>
      <c r="BK219">
        <v>150000</v>
      </c>
      <c r="BL219">
        <v>161820.22</v>
      </c>
      <c r="BM219">
        <v>190199.99999999991</v>
      </c>
      <c r="BN219">
        <v>213800</v>
      </c>
      <c r="BO219">
        <v>259913.9999999998</v>
      </c>
      <c r="BP219">
        <v>440000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 x14ac:dyDescent="0.35">
      <c r="A220">
        <v>348161</v>
      </c>
      <c r="B220" t="s">
        <v>388</v>
      </c>
      <c r="C220" t="s">
        <v>389</v>
      </c>
      <c r="D220" s="1">
        <v>45797</v>
      </c>
      <c r="E220">
        <v>53850</v>
      </c>
      <c r="F220">
        <v>102</v>
      </c>
      <c r="G220" t="s">
        <v>55</v>
      </c>
      <c r="H220" t="s">
        <v>48</v>
      </c>
      <c r="I220" t="s">
        <v>49</v>
      </c>
      <c r="K220">
        <v>202505197994695</v>
      </c>
      <c r="L220">
        <v>1023308725968</v>
      </c>
      <c r="M220">
        <v>20250519</v>
      </c>
      <c r="N220" t="s">
        <v>417</v>
      </c>
      <c r="Q220" t="s">
        <v>58</v>
      </c>
      <c r="R220">
        <v>230000</v>
      </c>
      <c r="S220">
        <v>0</v>
      </c>
      <c r="T220">
        <v>171922</v>
      </c>
      <c r="U220" t="s">
        <v>593</v>
      </c>
      <c r="V220" t="s">
        <v>594</v>
      </c>
      <c r="W220" t="s">
        <v>50</v>
      </c>
      <c r="Y220" t="s">
        <v>51</v>
      </c>
      <c r="Z220">
        <v>1648</v>
      </c>
      <c r="AH220">
        <v>0</v>
      </c>
      <c r="AI220">
        <v>202505</v>
      </c>
      <c r="AJ220" t="s">
        <v>168</v>
      </c>
      <c r="AK220">
        <v>1</v>
      </c>
      <c r="AL220">
        <v>1</v>
      </c>
      <c r="AO220">
        <v>0</v>
      </c>
      <c r="AP220">
        <v>999</v>
      </c>
      <c r="AQ220">
        <v>600</v>
      </c>
      <c r="AR220">
        <v>600999</v>
      </c>
      <c r="AS220" t="s">
        <v>52</v>
      </c>
      <c r="AU220" t="s">
        <v>52</v>
      </c>
      <c r="AV220">
        <v>107500</v>
      </c>
      <c r="AW220">
        <v>109625</v>
      </c>
      <c r="AX220">
        <v>110000</v>
      </c>
      <c r="AY220">
        <v>112750</v>
      </c>
      <c r="AZ220">
        <v>120738</v>
      </c>
      <c r="BA220">
        <v>129508.75</v>
      </c>
      <c r="BB220">
        <v>130380</v>
      </c>
      <c r="BC220">
        <v>133610</v>
      </c>
      <c r="BD220">
        <v>133800</v>
      </c>
      <c r="BE220">
        <v>141080</v>
      </c>
      <c r="BF220">
        <v>147500</v>
      </c>
      <c r="BG220">
        <v>155382.03049999999</v>
      </c>
      <c r="BH220">
        <v>165585.11799999999</v>
      </c>
      <c r="BI220">
        <v>166416.67000000001</v>
      </c>
      <c r="BJ220">
        <v>166416.67000000001</v>
      </c>
      <c r="BK220">
        <v>173582.95749999999</v>
      </c>
      <c r="BL220">
        <v>190388.68799999999</v>
      </c>
      <c r="BM220">
        <v>212150</v>
      </c>
      <c r="BN220">
        <v>283513.16900000011</v>
      </c>
      <c r="BO220">
        <v>415377.23</v>
      </c>
      <c r="BP220">
        <v>415377.23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0</v>
      </c>
      <c r="CJ220">
        <v>0</v>
      </c>
      <c r="CK220">
        <v>0</v>
      </c>
    </row>
    <row r="221" spans="1:89" x14ac:dyDescent="0.35">
      <c r="A221">
        <v>348158</v>
      </c>
      <c r="B221" t="s">
        <v>388</v>
      </c>
      <c r="C221" t="s">
        <v>389</v>
      </c>
      <c r="D221" s="1">
        <v>45797</v>
      </c>
      <c r="E221">
        <v>53850</v>
      </c>
      <c r="F221">
        <v>196</v>
      </c>
      <c r="G221" t="s">
        <v>305</v>
      </c>
      <c r="H221" t="s">
        <v>48</v>
      </c>
      <c r="I221" t="s">
        <v>49</v>
      </c>
      <c r="K221">
        <v>202505197995160</v>
      </c>
      <c r="L221">
        <v>1963302354823</v>
      </c>
      <c r="M221">
        <v>20250519</v>
      </c>
      <c r="N221" t="s">
        <v>392</v>
      </c>
      <c r="Q221" t="s">
        <v>58</v>
      </c>
      <c r="R221">
        <v>170000</v>
      </c>
      <c r="S221">
        <v>0</v>
      </c>
      <c r="T221">
        <v>4988260</v>
      </c>
      <c r="U221" t="s">
        <v>595</v>
      </c>
      <c r="V221" t="s">
        <v>596</v>
      </c>
      <c r="W221" t="s">
        <v>66</v>
      </c>
      <c r="X221" t="s">
        <v>175</v>
      </c>
      <c r="Y221" t="s">
        <v>51</v>
      </c>
      <c r="Z221">
        <v>1453</v>
      </c>
      <c r="AH221">
        <v>0</v>
      </c>
      <c r="AI221">
        <v>202505</v>
      </c>
      <c r="AJ221" t="s">
        <v>168</v>
      </c>
      <c r="AK221">
        <v>1</v>
      </c>
      <c r="AL221">
        <v>1</v>
      </c>
      <c r="AO221">
        <v>0</v>
      </c>
      <c r="AP221">
        <v>999</v>
      </c>
      <c r="AQ221">
        <v>615</v>
      </c>
      <c r="AR221">
        <v>615999</v>
      </c>
      <c r="AT221">
        <v>1</v>
      </c>
      <c r="AU221" t="s">
        <v>61</v>
      </c>
      <c r="AV221">
        <v>85050</v>
      </c>
      <c r="AW221">
        <v>89030</v>
      </c>
      <c r="AX221">
        <v>91669.203999999998</v>
      </c>
      <c r="AY221">
        <v>93087.394</v>
      </c>
      <c r="AZ221">
        <v>94164.18</v>
      </c>
      <c r="BA221">
        <v>96798.05</v>
      </c>
      <c r="BB221">
        <v>100000</v>
      </c>
      <c r="BC221">
        <v>100000</v>
      </c>
      <c r="BD221">
        <v>101589.726</v>
      </c>
      <c r="BE221">
        <v>106295.712</v>
      </c>
      <c r="BF221">
        <v>110193.28</v>
      </c>
      <c r="BG221">
        <v>119645.424</v>
      </c>
      <c r="BH221">
        <v>127698</v>
      </c>
      <c r="BI221">
        <v>137713.79399999999</v>
      </c>
      <c r="BJ221">
        <v>139806</v>
      </c>
      <c r="BK221">
        <v>150000</v>
      </c>
      <c r="BL221">
        <v>161820.22</v>
      </c>
      <c r="BM221">
        <v>190199.99999999991</v>
      </c>
      <c r="BN221">
        <v>213800</v>
      </c>
      <c r="BO221">
        <v>259913.9999999998</v>
      </c>
      <c r="BP221">
        <v>440000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0</v>
      </c>
      <c r="CI221">
        <v>0</v>
      </c>
      <c r="CJ221">
        <v>0</v>
      </c>
      <c r="CK221">
        <v>0</v>
      </c>
    </row>
    <row r="222" spans="1:89" x14ac:dyDescent="0.35">
      <c r="A222">
        <v>348150</v>
      </c>
      <c r="B222" t="s">
        <v>388</v>
      </c>
      <c r="C222" t="s">
        <v>389</v>
      </c>
      <c r="D222" s="1">
        <v>45797</v>
      </c>
      <c r="E222">
        <v>53850</v>
      </c>
      <c r="F222">
        <v>167</v>
      </c>
      <c r="G222" t="s">
        <v>266</v>
      </c>
      <c r="H222" t="s">
        <v>48</v>
      </c>
      <c r="I222" t="s">
        <v>49</v>
      </c>
      <c r="K222">
        <v>202505197995026</v>
      </c>
      <c r="L222">
        <v>1033306971144</v>
      </c>
      <c r="M222">
        <v>20250519</v>
      </c>
      <c r="N222" t="s">
        <v>392</v>
      </c>
      <c r="Q222" t="s">
        <v>58</v>
      </c>
      <c r="R222">
        <v>103913.4</v>
      </c>
      <c r="S222">
        <v>0</v>
      </c>
      <c r="T222">
        <v>4216641</v>
      </c>
      <c r="U222">
        <v>6103450729</v>
      </c>
      <c r="V222" t="s">
        <v>597</v>
      </c>
      <c r="W222" t="s">
        <v>56</v>
      </c>
      <c r="X222" t="s">
        <v>411</v>
      </c>
      <c r="Y222" t="s">
        <v>51</v>
      </c>
      <c r="Z222">
        <v>1926</v>
      </c>
      <c r="AH222">
        <v>0</v>
      </c>
      <c r="AI222">
        <v>202505</v>
      </c>
      <c r="AJ222" t="s">
        <v>168</v>
      </c>
      <c r="AK222">
        <v>1</v>
      </c>
      <c r="AL222">
        <v>1</v>
      </c>
      <c r="AO222">
        <v>0</v>
      </c>
      <c r="AP222">
        <v>999</v>
      </c>
      <c r="AQ222">
        <v>430</v>
      </c>
      <c r="AR222">
        <v>430999</v>
      </c>
      <c r="AT222">
        <v>1</v>
      </c>
      <c r="AU222" t="s">
        <v>57</v>
      </c>
      <c r="AV222">
        <v>101552.46</v>
      </c>
      <c r="AW222">
        <v>114647.6485</v>
      </c>
      <c r="AX222">
        <v>118167.008</v>
      </c>
      <c r="AY222">
        <v>123559.05899999999</v>
      </c>
      <c r="AZ222">
        <v>128796.368</v>
      </c>
      <c r="BA222">
        <v>130000</v>
      </c>
      <c r="BB222">
        <v>135819.11300000001</v>
      </c>
      <c r="BC222">
        <v>145008.255</v>
      </c>
      <c r="BD222">
        <v>146226.546</v>
      </c>
      <c r="BE222">
        <v>148171.67300000001</v>
      </c>
      <c r="BF222">
        <v>156533.16500000001</v>
      </c>
      <c r="BG222">
        <v>167340.8915</v>
      </c>
      <c r="BH222">
        <v>179808.78</v>
      </c>
      <c r="BI222">
        <v>187222.14799999999</v>
      </c>
      <c r="BJ222">
        <v>206328.26500000001</v>
      </c>
      <c r="BK222">
        <v>220390.6225</v>
      </c>
      <c r="BL222">
        <v>239280.00000000009</v>
      </c>
      <c r="BM222">
        <v>298738.61</v>
      </c>
      <c r="BN222">
        <v>365407.64500000002</v>
      </c>
      <c r="BO222">
        <v>399465.49400000001</v>
      </c>
      <c r="BP222">
        <v>515709.15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 x14ac:dyDescent="0.35">
      <c r="A223">
        <v>348147</v>
      </c>
      <c r="B223" t="s">
        <v>388</v>
      </c>
      <c r="C223" t="s">
        <v>389</v>
      </c>
      <c r="D223" s="1">
        <v>45797</v>
      </c>
      <c r="E223">
        <v>53850</v>
      </c>
      <c r="F223">
        <v>182</v>
      </c>
      <c r="G223" t="s">
        <v>284</v>
      </c>
      <c r="H223" t="s">
        <v>48</v>
      </c>
      <c r="I223" t="s">
        <v>49</v>
      </c>
      <c r="K223" t="s">
        <v>334</v>
      </c>
      <c r="L223">
        <v>1823300169301</v>
      </c>
      <c r="M223">
        <v>20250519</v>
      </c>
      <c r="N223" t="s">
        <v>253</v>
      </c>
      <c r="Q223" t="s">
        <v>58</v>
      </c>
      <c r="R223">
        <v>39220</v>
      </c>
      <c r="S223">
        <v>39220</v>
      </c>
      <c r="T223">
        <v>4284957</v>
      </c>
      <c r="U223" t="s">
        <v>285</v>
      </c>
      <c r="V223" t="s">
        <v>286</v>
      </c>
      <c r="W223" t="s">
        <v>66</v>
      </c>
      <c r="X223" t="s">
        <v>255</v>
      </c>
      <c r="Y223" t="s">
        <v>51</v>
      </c>
      <c r="Z223">
        <v>1656</v>
      </c>
      <c r="AH223">
        <v>0</v>
      </c>
      <c r="AI223">
        <v>202505</v>
      </c>
      <c r="AJ223" t="s">
        <v>63</v>
      </c>
      <c r="AK223">
        <v>0</v>
      </c>
      <c r="AL223">
        <v>1</v>
      </c>
      <c r="AM223">
        <v>4284957</v>
      </c>
      <c r="AN223">
        <v>1</v>
      </c>
      <c r="AO223">
        <v>0</v>
      </c>
      <c r="AP223">
        <v>920</v>
      </c>
      <c r="AQ223">
        <v>615</v>
      </c>
      <c r="AR223">
        <v>615920</v>
      </c>
      <c r="AS223" t="s">
        <v>270</v>
      </c>
      <c r="AU223" t="s">
        <v>270</v>
      </c>
      <c r="AV223">
        <v>37615</v>
      </c>
      <c r="AW223">
        <v>38129.25</v>
      </c>
      <c r="AX223">
        <v>38617</v>
      </c>
      <c r="AY223">
        <v>38985.5</v>
      </c>
      <c r="AZ223">
        <v>39276</v>
      </c>
      <c r="BA223">
        <v>39430</v>
      </c>
      <c r="BB223">
        <v>39650</v>
      </c>
      <c r="BC223">
        <v>39925</v>
      </c>
      <c r="BD223">
        <v>40004</v>
      </c>
      <c r="BE223">
        <v>40009.5</v>
      </c>
      <c r="BF223">
        <v>40505</v>
      </c>
      <c r="BG223">
        <v>41243.25</v>
      </c>
      <c r="BH223">
        <v>43919</v>
      </c>
      <c r="BI223">
        <v>46035.25</v>
      </c>
      <c r="BJ223">
        <v>46659.5</v>
      </c>
      <c r="BK223">
        <v>48836.25</v>
      </c>
      <c r="BL223">
        <v>52876.000000000007</v>
      </c>
      <c r="BM223">
        <v>56324.25</v>
      </c>
      <c r="BN223">
        <v>59434.5</v>
      </c>
      <c r="BO223">
        <v>63675.005999999987</v>
      </c>
      <c r="BP223">
        <v>68166.679999999993</v>
      </c>
      <c r="BQ223">
        <v>1</v>
      </c>
      <c r="BR223">
        <v>1</v>
      </c>
      <c r="BS223">
        <v>1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 x14ac:dyDescent="0.35">
      <c r="A224">
        <v>348146</v>
      </c>
      <c r="B224" t="s">
        <v>388</v>
      </c>
      <c r="C224" t="s">
        <v>389</v>
      </c>
      <c r="D224" s="1">
        <v>45797</v>
      </c>
      <c r="E224">
        <v>53850</v>
      </c>
      <c r="F224">
        <v>128</v>
      </c>
      <c r="G224" t="s">
        <v>274</v>
      </c>
      <c r="H224" t="s">
        <v>48</v>
      </c>
      <c r="I224" t="s">
        <v>49</v>
      </c>
      <c r="K224" t="s">
        <v>334</v>
      </c>
      <c r="L224">
        <v>1283300001665</v>
      </c>
      <c r="M224">
        <v>20250519</v>
      </c>
      <c r="N224" t="s">
        <v>262</v>
      </c>
      <c r="Q224" t="s">
        <v>58</v>
      </c>
      <c r="R224">
        <v>114563.41</v>
      </c>
      <c r="S224">
        <v>7450</v>
      </c>
      <c r="T224">
        <v>4254896</v>
      </c>
      <c r="U224">
        <v>6234730726</v>
      </c>
      <c r="V224" t="s">
        <v>410</v>
      </c>
      <c r="W224" t="s">
        <v>56</v>
      </c>
      <c r="X224" t="s">
        <v>411</v>
      </c>
      <c r="Y224" t="s">
        <v>51</v>
      </c>
      <c r="Z224">
        <v>1919</v>
      </c>
      <c r="AH224">
        <v>0</v>
      </c>
      <c r="AI224">
        <v>202505</v>
      </c>
      <c r="AJ224" t="s">
        <v>63</v>
      </c>
      <c r="AK224">
        <v>0</v>
      </c>
      <c r="AL224">
        <v>1</v>
      </c>
      <c r="AO224">
        <v>1</v>
      </c>
      <c r="AP224">
        <v>999</v>
      </c>
      <c r="AQ224">
        <v>430</v>
      </c>
      <c r="AR224">
        <v>430999</v>
      </c>
      <c r="AT224">
        <v>1</v>
      </c>
      <c r="AU224" t="s">
        <v>57</v>
      </c>
      <c r="AV224">
        <v>101552.46</v>
      </c>
      <c r="AW224">
        <v>114647.6485</v>
      </c>
      <c r="AX224">
        <v>118167.008</v>
      </c>
      <c r="AY224">
        <v>123559.05899999999</v>
      </c>
      <c r="AZ224">
        <v>128796.368</v>
      </c>
      <c r="BA224">
        <v>130000</v>
      </c>
      <c r="BB224">
        <v>135819.11300000001</v>
      </c>
      <c r="BC224">
        <v>145008.255</v>
      </c>
      <c r="BD224">
        <v>146226.546</v>
      </c>
      <c r="BE224">
        <v>148171.67300000001</v>
      </c>
      <c r="BF224">
        <v>156533.16500000001</v>
      </c>
      <c r="BG224">
        <v>167340.8915</v>
      </c>
      <c r="BH224">
        <v>179808.78</v>
      </c>
      <c r="BI224">
        <v>187222.14799999999</v>
      </c>
      <c r="BJ224">
        <v>206328.26500000001</v>
      </c>
      <c r="BK224">
        <v>220390.6225</v>
      </c>
      <c r="BL224">
        <v>239280.00000000009</v>
      </c>
      <c r="BM224">
        <v>298738.61</v>
      </c>
      <c r="BN224">
        <v>365407.64500000002</v>
      </c>
      <c r="BO224">
        <v>399465.49400000001</v>
      </c>
      <c r="BP224">
        <v>515709.15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 x14ac:dyDescent="0.35">
      <c r="A225">
        <v>348141</v>
      </c>
      <c r="B225" t="s">
        <v>388</v>
      </c>
      <c r="C225" t="s">
        <v>389</v>
      </c>
      <c r="D225" s="1">
        <v>45797</v>
      </c>
      <c r="E225">
        <v>53850</v>
      </c>
      <c r="F225">
        <v>102</v>
      </c>
      <c r="G225" t="s">
        <v>55</v>
      </c>
      <c r="H225" t="s">
        <v>48</v>
      </c>
      <c r="I225" t="s">
        <v>49</v>
      </c>
      <c r="K225">
        <v>202505197994721</v>
      </c>
      <c r="L225">
        <v>1033306969732</v>
      </c>
      <c r="M225">
        <v>20250519</v>
      </c>
      <c r="N225" t="s">
        <v>505</v>
      </c>
      <c r="Q225" t="s">
        <v>58</v>
      </c>
      <c r="R225">
        <v>125000</v>
      </c>
      <c r="S225">
        <v>0</v>
      </c>
      <c r="T225">
        <v>480103</v>
      </c>
      <c r="U225" t="s">
        <v>598</v>
      </c>
      <c r="V225" t="s">
        <v>599</v>
      </c>
      <c r="W225" t="s">
        <v>83</v>
      </c>
      <c r="X225" t="s">
        <v>600</v>
      </c>
      <c r="Y225" t="s">
        <v>51</v>
      </c>
      <c r="Z225">
        <v>1912</v>
      </c>
      <c r="AH225">
        <v>0</v>
      </c>
      <c r="AI225">
        <v>202505</v>
      </c>
      <c r="AJ225" t="s">
        <v>168</v>
      </c>
      <c r="AK225">
        <v>1</v>
      </c>
      <c r="AL225">
        <v>1</v>
      </c>
      <c r="AO225">
        <v>0</v>
      </c>
      <c r="AP225">
        <v>999</v>
      </c>
      <c r="AQ225">
        <v>614</v>
      </c>
      <c r="AR225">
        <v>614999</v>
      </c>
      <c r="AT225">
        <v>1</v>
      </c>
      <c r="AU225" t="s">
        <v>61</v>
      </c>
      <c r="AV225">
        <v>85050</v>
      </c>
      <c r="AW225">
        <v>89030</v>
      </c>
      <c r="AX225">
        <v>91669.203999999998</v>
      </c>
      <c r="AY225">
        <v>93087.394</v>
      </c>
      <c r="AZ225">
        <v>94164.18</v>
      </c>
      <c r="BA225">
        <v>96798.05</v>
      </c>
      <c r="BB225">
        <v>100000</v>
      </c>
      <c r="BC225">
        <v>100000</v>
      </c>
      <c r="BD225">
        <v>101589.726</v>
      </c>
      <c r="BE225">
        <v>106295.712</v>
      </c>
      <c r="BF225">
        <v>110193.28</v>
      </c>
      <c r="BG225">
        <v>119645.424</v>
      </c>
      <c r="BH225">
        <v>127698</v>
      </c>
      <c r="BI225">
        <v>137713.79399999999</v>
      </c>
      <c r="BJ225">
        <v>139806</v>
      </c>
      <c r="BK225">
        <v>150000</v>
      </c>
      <c r="BL225">
        <v>161820.22</v>
      </c>
      <c r="BM225">
        <v>190199.99999999991</v>
      </c>
      <c r="BN225">
        <v>213800</v>
      </c>
      <c r="BO225">
        <v>259913.9999999998</v>
      </c>
      <c r="BP225">
        <v>440000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 x14ac:dyDescent="0.35">
      <c r="A226">
        <v>348139</v>
      </c>
      <c r="B226" t="s">
        <v>388</v>
      </c>
      <c r="C226" t="s">
        <v>389</v>
      </c>
      <c r="D226" s="1">
        <v>45797</v>
      </c>
      <c r="E226">
        <v>53850</v>
      </c>
      <c r="F226">
        <v>108</v>
      </c>
      <c r="G226" t="s">
        <v>89</v>
      </c>
      <c r="H226" t="s">
        <v>48</v>
      </c>
      <c r="I226" t="s">
        <v>49</v>
      </c>
      <c r="K226">
        <v>202505197994796</v>
      </c>
      <c r="L226">
        <v>1083306291316</v>
      </c>
      <c r="M226">
        <v>20250519</v>
      </c>
      <c r="N226" t="s">
        <v>400</v>
      </c>
      <c r="Q226" t="s">
        <v>58</v>
      </c>
      <c r="R226">
        <v>105298</v>
      </c>
      <c r="S226">
        <v>0</v>
      </c>
      <c r="T226">
        <v>4996910</v>
      </c>
      <c r="U226" t="s">
        <v>601</v>
      </c>
      <c r="V226" t="s">
        <v>602</v>
      </c>
      <c r="W226" t="s">
        <v>50</v>
      </c>
      <c r="Y226" t="s">
        <v>51</v>
      </c>
      <c r="Z226">
        <v>1276</v>
      </c>
      <c r="AH226">
        <v>0</v>
      </c>
      <c r="AI226">
        <v>202505</v>
      </c>
      <c r="AJ226" t="s">
        <v>168</v>
      </c>
      <c r="AK226">
        <v>1</v>
      </c>
      <c r="AL226">
        <v>1</v>
      </c>
      <c r="AO226">
        <v>0</v>
      </c>
      <c r="AP226">
        <v>999</v>
      </c>
      <c r="AQ226">
        <v>600</v>
      </c>
      <c r="AR226">
        <v>600999</v>
      </c>
      <c r="AS226" t="s">
        <v>52</v>
      </c>
      <c r="AU226" t="s">
        <v>52</v>
      </c>
      <c r="AV226">
        <v>107500</v>
      </c>
      <c r="AW226">
        <v>109625</v>
      </c>
      <c r="AX226">
        <v>110000</v>
      </c>
      <c r="AY226">
        <v>112750</v>
      </c>
      <c r="AZ226">
        <v>120738</v>
      </c>
      <c r="BA226">
        <v>129508.75</v>
      </c>
      <c r="BB226">
        <v>130380</v>
      </c>
      <c r="BC226">
        <v>133610</v>
      </c>
      <c r="BD226">
        <v>133800</v>
      </c>
      <c r="BE226">
        <v>141080</v>
      </c>
      <c r="BF226">
        <v>147500</v>
      </c>
      <c r="BG226">
        <v>155382.03049999999</v>
      </c>
      <c r="BH226">
        <v>165585.11799999999</v>
      </c>
      <c r="BI226">
        <v>166416.67000000001</v>
      </c>
      <c r="BJ226">
        <v>166416.67000000001</v>
      </c>
      <c r="BK226">
        <v>173582.95749999999</v>
      </c>
      <c r="BL226">
        <v>190388.68799999999</v>
      </c>
      <c r="BM226">
        <v>212150</v>
      </c>
      <c r="BN226">
        <v>283513.16900000011</v>
      </c>
      <c r="BO226">
        <v>415377.23</v>
      </c>
      <c r="BP226">
        <v>415377.23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 x14ac:dyDescent="0.35">
      <c r="A227">
        <v>348138</v>
      </c>
      <c r="B227" t="s">
        <v>388</v>
      </c>
      <c r="C227" t="s">
        <v>389</v>
      </c>
      <c r="D227" s="1">
        <v>45797</v>
      </c>
      <c r="E227">
        <v>53850</v>
      </c>
      <c r="F227">
        <v>102</v>
      </c>
      <c r="G227" t="s">
        <v>55</v>
      </c>
      <c r="H227" t="s">
        <v>48</v>
      </c>
      <c r="I227" t="s">
        <v>49</v>
      </c>
      <c r="K227">
        <v>202505197994695</v>
      </c>
      <c r="L227">
        <v>1023308725968</v>
      </c>
      <c r="M227">
        <v>20250519</v>
      </c>
      <c r="N227" t="s">
        <v>417</v>
      </c>
      <c r="Q227" t="s">
        <v>58</v>
      </c>
      <c r="R227">
        <v>230000</v>
      </c>
      <c r="S227">
        <v>0</v>
      </c>
      <c r="T227">
        <v>135562</v>
      </c>
      <c r="U227" t="s">
        <v>603</v>
      </c>
      <c r="V227" t="s">
        <v>604</v>
      </c>
      <c r="W227" t="s">
        <v>83</v>
      </c>
      <c r="X227" t="s">
        <v>605</v>
      </c>
      <c r="Y227" t="s">
        <v>51</v>
      </c>
      <c r="AH227">
        <v>0</v>
      </c>
      <c r="AI227">
        <v>202505</v>
      </c>
      <c r="AJ227" t="s">
        <v>168</v>
      </c>
      <c r="AK227">
        <v>1</v>
      </c>
      <c r="AL227">
        <v>1</v>
      </c>
      <c r="AO227">
        <v>0</v>
      </c>
      <c r="AP227">
        <v>999</v>
      </c>
      <c r="AQ227">
        <v>614</v>
      </c>
      <c r="AR227">
        <v>614999</v>
      </c>
      <c r="AT227">
        <v>1</v>
      </c>
      <c r="AU227" t="s">
        <v>61</v>
      </c>
      <c r="AV227">
        <v>85050</v>
      </c>
      <c r="AW227">
        <v>89030</v>
      </c>
      <c r="AX227">
        <v>91669.203999999998</v>
      </c>
      <c r="AY227">
        <v>93087.394</v>
      </c>
      <c r="AZ227">
        <v>94164.18</v>
      </c>
      <c r="BA227">
        <v>96798.05</v>
      </c>
      <c r="BB227">
        <v>100000</v>
      </c>
      <c r="BC227">
        <v>100000</v>
      </c>
      <c r="BD227">
        <v>101589.726</v>
      </c>
      <c r="BE227">
        <v>106295.712</v>
      </c>
      <c r="BF227">
        <v>110193.28</v>
      </c>
      <c r="BG227">
        <v>119645.424</v>
      </c>
      <c r="BH227">
        <v>127698</v>
      </c>
      <c r="BI227">
        <v>137713.79399999999</v>
      </c>
      <c r="BJ227">
        <v>139806</v>
      </c>
      <c r="BK227">
        <v>150000</v>
      </c>
      <c r="BL227">
        <v>161820.22</v>
      </c>
      <c r="BM227">
        <v>190199.99999999991</v>
      </c>
      <c r="BN227">
        <v>213800</v>
      </c>
      <c r="BO227">
        <v>259913.9999999998</v>
      </c>
      <c r="BP227">
        <v>440000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0</v>
      </c>
      <c r="CK227">
        <v>0</v>
      </c>
    </row>
    <row r="228" spans="1:89" x14ac:dyDescent="0.35">
      <c r="A228">
        <v>348121</v>
      </c>
      <c r="B228" t="s">
        <v>388</v>
      </c>
      <c r="C228" t="s">
        <v>389</v>
      </c>
      <c r="D228" s="1">
        <v>45794</v>
      </c>
      <c r="E228">
        <v>53850</v>
      </c>
      <c r="F228">
        <v>121</v>
      </c>
      <c r="G228" t="s">
        <v>71</v>
      </c>
      <c r="H228" t="s">
        <v>48</v>
      </c>
      <c r="I228" t="s">
        <v>49</v>
      </c>
      <c r="K228">
        <v>202505167986741</v>
      </c>
      <c r="L228">
        <v>1213300002971</v>
      </c>
      <c r="M228">
        <v>20250516</v>
      </c>
      <c r="N228" t="s">
        <v>392</v>
      </c>
      <c r="Q228" t="s">
        <v>58</v>
      </c>
      <c r="R228">
        <v>150000</v>
      </c>
      <c r="S228">
        <v>0</v>
      </c>
      <c r="T228">
        <v>4859756</v>
      </c>
      <c r="U228">
        <v>7229510727</v>
      </c>
      <c r="V228" t="s">
        <v>574</v>
      </c>
      <c r="W228" t="s">
        <v>56</v>
      </c>
      <c r="X228" t="s">
        <v>575</v>
      </c>
      <c r="Y228" t="s">
        <v>51</v>
      </c>
      <c r="Z228">
        <v>1058</v>
      </c>
      <c r="AH228">
        <v>0</v>
      </c>
      <c r="AI228">
        <v>202505</v>
      </c>
      <c r="AJ228" t="s">
        <v>54</v>
      </c>
      <c r="AK228">
        <v>0</v>
      </c>
      <c r="AL228">
        <v>1</v>
      </c>
      <c r="AO228">
        <v>0</v>
      </c>
      <c r="AP228">
        <v>999</v>
      </c>
      <c r="AQ228">
        <v>430</v>
      </c>
      <c r="AR228">
        <v>430999</v>
      </c>
      <c r="AT228">
        <v>1</v>
      </c>
      <c r="AU228" t="s">
        <v>57</v>
      </c>
      <c r="AV228">
        <v>101552.46</v>
      </c>
      <c r="AW228">
        <v>114647.6485</v>
      </c>
      <c r="AX228">
        <v>118167.008</v>
      </c>
      <c r="AY228">
        <v>123559.05899999999</v>
      </c>
      <c r="AZ228">
        <v>128796.368</v>
      </c>
      <c r="BA228">
        <v>130000</v>
      </c>
      <c r="BB228">
        <v>135819.11300000001</v>
      </c>
      <c r="BC228">
        <v>145008.255</v>
      </c>
      <c r="BD228">
        <v>146226.546</v>
      </c>
      <c r="BE228">
        <v>148171.67300000001</v>
      </c>
      <c r="BF228">
        <v>156533.16500000001</v>
      </c>
      <c r="BG228">
        <v>167340.8915</v>
      </c>
      <c r="BH228">
        <v>179808.78</v>
      </c>
      <c r="BI228">
        <v>187222.14799999999</v>
      </c>
      <c r="BJ228">
        <v>206328.26500000001</v>
      </c>
      <c r="BK228">
        <v>220390.6225</v>
      </c>
      <c r="BL228">
        <v>239280.00000000009</v>
      </c>
      <c r="BM228">
        <v>298738.61</v>
      </c>
      <c r="BN228">
        <v>365407.64500000002</v>
      </c>
      <c r="BO228">
        <v>399465.49400000001</v>
      </c>
      <c r="BP228">
        <v>515709.15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 x14ac:dyDescent="0.35">
      <c r="A229">
        <v>348114</v>
      </c>
      <c r="B229" t="s">
        <v>388</v>
      </c>
      <c r="C229" t="s">
        <v>389</v>
      </c>
      <c r="D229" s="1">
        <v>45794</v>
      </c>
      <c r="E229">
        <v>53850</v>
      </c>
      <c r="F229">
        <v>102</v>
      </c>
      <c r="G229" t="s">
        <v>55</v>
      </c>
      <c r="H229" t="s">
        <v>48</v>
      </c>
      <c r="I229" t="s">
        <v>49</v>
      </c>
      <c r="K229">
        <v>202505167986600</v>
      </c>
      <c r="L229">
        <v>1023302038620</v>
      </c>
      <c r="M229">
        <v>20250516</v>
      </c>
      <c r="N229" t="s">
        <v>265</v>
      </c>
      <c r="Q229" t="s">
        <v>58</v>
      </c>
      <c r="R229">
        <v>800000</v>
      </c>
      <c r="S229">
        <v>0</v>
      </c>
      <c r="T229">
        <v>42352</v>
      </c>
      <c r="U229" t="s">
        <v>606</v>
      </c>
      <c r="V229" t="s">
        <v>607</v>
      </c>
      <c r="W229" t="s">
        <v>66</v>
      </c>
      <c r="X229" t="s">
        <v>396</v>
      </c>
      <c r="Y229" t="s">
        <v>51</v>
      </c>
      <c r="Z229">
        <v>580</v>
      </c>
      <c r="AH229">
        <v>0</v>
      </c>
      <c r="AI229">
        <v>202505</v>
      </c>
      <c r="AJ229" t="s">
        <v>168</v>
      </c>
      <c r="AK229">
        <v>1</v>
      </c>
      <c r="AL229">
        <v>1</v>
      </c>
      <c r="AO229">
        <v>0</v>
      </c>
      <c r="AP229">
        <v>999</v>
      </c>
      <c r="AQ229">
        <v>615</v>
      </c>
      <c r="AR229">
        <v>615999</v>
      </c>
      <c r="AT229">
        <v>1</v>
      </c>
      <c r="AU229" t="s">
        <v>61</v>
      </c>
      <c r="AV229">
        <v>85050</v>
      </c>
      <c r="AW229">
        <v>89030</v>
      </c>
      <c r="AX229">
        <v>91669.203999999998</v>
      </c>
      <c r="AY229">
        <v>93087.394</v>
      </c>
      <c r="AZ229">
        <v>94164.18</v>
      </c>
      <c r="BA229">
        <v>96798.05</v>
      </c>
      <c r="BB229">
        <v>100000</v>
      </c>
      <c r="BC229">
        <v>100000</v>
      </c>
      <c r="BD229">
        <v>101589.726</v>
      </c>
      <c r="BE229">
        <v>106295.712</v>
      </c>
      <c r="BF229">
        <v>110193.28</v>
      </c>
      <c r="BG229">
        <v>119645.424</v>
      </c>
      <c r="BH229">
        <v>127698</v>
      </c>
      <c r="BI229">
        <v>137713.79399999999</v>
      </c>
      <c r="BJ229">
        <v>139806</v>
      </c>
      <c r="BK229">
        <v>150000</v>
      </c>
      <c r="BL229">
        <v>161820.22</v>
      </c>
      <c r="BM229">
        <v>190199.99999999991</v>
      </c>
      <c r="BN229">
        <v>213800</v>
      </c>
      <c r="BO229">
        <v>259913.9999999998</v>
      </c>
      <c r="BP229">
        <v>440000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</row>
    <row r="230" spans="1:89" x14ac:dyDescent="0.35">
      <c r="A230">
        <v>348108</v>
      </c>
      <c r="B230" t="s">
        <v>388</v>
      </c>
      <c r="C230" t="s">
        <v>389</v>
      </c>
      <c r="D230" s="1">
        <v>45794</v>
      </c>
      <c r="E230">
        <v>53850</v>
      </c>
      <c r="F230">
        <v>171</v>
      </c>
      <c r="G230" t="s">
        <v>70</v>
      </c>
      <c r="H230" t="s">
        <v>48</v>
      </c>
      <c r="I230" t="s">
        <v>49</v>
      </c>
      <c r="K230" t="s">
        <v>336</v>
      </c>
      <c r="L230">
        <v>1713305728950</v>
      </c>
      <c r="M230">
        <v>20250516</v>
      </c>
      <c r="N230" t="s">
        <v>253</v>
      </c>
      <c r="Q230" t="s">
        <v>58</v>
      </c>
      <c r="R230">
        <v>364852.12</v>
      </c>
      <c r="S230">
        <v>364852.12</v>
      </c>
      <c r="T230">
        <v>572895</v>
      </c>
      <c r="U230">
        <v>4161600723</v>
      </c>
      <c r="V230" t="s">
        <v>257</v>
      </c>
      <c r="W230" t="s">
        <v>56</v>
      </c>
      <c r="X230" t="s">
        <v>258</v>
      </c>
      <c r="Y230" t="s">
        <v>51</v>
      </c>
      <c r="Z230">
        <v>1903</v>
      </c>
      <c r="AH230">
        <v>0</v>
      </c>
      <c r="AI230">
        <v>202505</v>
      </c>
      <c r="AJ230" t="s">
        <v>168</v>
      </c>
      <c r="AK230">
        <v>1</v>
      </c>
      <c r="AL230">
        <v>1</v>
      </c>
      <c r="AM230">
        <v>572895</v>
      </c>
      <c r="AN230">
        <v>1</v>
      </c>
      <c r="AO230">
        <v>0</v>
      </c>
      <c r="AP230">
        <v>999</v>
      </c>
      <c r="AQ230">
        <v>430</v>
      </c>
      <c r="AR230">
        <v>430999</v>
      </c>
      <c r="AT230">
        <v>1</v>
      </c>
      <c r="AU230" t="s">
        <v>57</v>
      </c>
      <c r="AV230">
        <v>101552.46</v>
      </c>
      <c r="AW230">
        <v>114647.6485</v>
      </c>
      <c r="AX230">
        <v>118167.008</v>
      </c>
      <c r="AY230">
        <v>123559.05899999999</v>
      </c>
      <c r="AZ230">
        <v>128796.368</v>
      </c>
      <c r="BA230">
        <v>130000</v>
      </c>
      <c r="BB230">
        <v>135819.11300000001</v>
      </c>
      <c r="BC230">
        <v>145008.255</v>
      </c>
      <c r="BD230">
        <v>146226.546</v>
      </c>
      <c r="BE230">
        <v>148171.67300000001</v>
      </c>
      <c r="BF230">
        <v>156533.16500000001</v>
      </c>
      <c r="BG230">
        <v>167340.8915</v>
      </c>
      <c r="BH230">
        <v>179808.78</v>
      </c>
      <c r="BI230">
        <v>187222.14799999999</v>
      </c>
      <c r="BJ230">
        <v>206328.26500000001</v>
      </c>
      <c r="BK230">
        <v>220390.6225</v>
      </c>
      <c r="BL230">
        <v>239280.00000000009</v>
      </c>
      <c r="BM230">
        <v>298738.61</v>
      </c>
      <c r="BN230">
        <v>365407.64500000002</v>
      </c>
      <c r="BO230">
        <v>399465.49400000001</v>
      </c>
      <c r="BP230">
        <v>515709.15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0</v>
      </c>
      <c r="CJ230">
        <v>0</v>
      </c>
      <c r="CK230">
        <v>0</v>
      </c>
    </row>
    <row r="231" spans="1:89" x14ac:dyDescent="0.35">
      <c r="A231">
        <v>348099</v>
      </c>
      <c r="B231" t="s">
        <v>388</v>
      </c>
      <c r="C231" t="s">
        <v>389</v>
      </c>
      <c r="D231" s="1">
        <v>45794</v>
      </c>
      <c r="E231">
        <v>53850</v>
      </c>
      <c r="F231">
        <v>171</v>
      </c>
      <c r="G231" t="s">
        <v>70</v>
      </c>
      <c r="H231" t="s">
        <v>48</v>
      </c>
      <c r="I231" t="s">
        <v>49</v>
      </c>
      <c r="K231" t="s">
        <v>336</v>
      </c>
      <c r="L231">
        <v>1713302214147</v>
      </c>
      <c r="M231">
        <v>20250516</v>
      </c>
      <c r="N231" t="s">
        <v>253</v>
      </c>
      <c r="Q231" t="s">
        <v>58</v>
      </c>
      <c r="R231">
        <v>135105.82</v>
      </c>
      <c r="S231">
        <v>135105.82</v>
      </c>
      <c r="T231">
        <v>4199319</v>
      </c>
      <c r="U231">
        <v>6037810725</v>
      </c>
      <c r="V231" t="s">
        <v>317</v>
      </c>
      <c r="W231" t="s">
        <v>56</v>
      </c>
      <c r="X231" t="s">
        <v>258</v>
      </c>
      <c r="Y231" t="s">
        <v>51</v>
      </c>
      <c r="Z231">
        <v>1903</v>
      </c>
      <c r="AH231">
        <v>0</v>
      </c>
      <c r="AI231">
        <v>202505</v>
      </c>
      <c r="AJ231" t="s">
        <v>168</v>
      </c>
      <c r="AK231">
        <v>1</v>
      </c>
      <c r="AL231">
        <v>1</v>
      </c>
      <c r="AM231">
        <v>4199319</v>
      </c>
      <c r="AN231">
        <v>1</v>
      </c>
      <c r="AO231">
        <v>0</v>
      </c>
      <c r="AP231">
        <v>999</v>
      </c>
      <c r="AQ231">
        <v>430</v>
      </c>
      <c r="AR231">
        <v>430999</v>
      </c>
      <c r="AT231">
        <v>1</v>
      </c>
      <c r="AU231" t="s">
        <v>57</v>
      </c>
      <c r="AV231">
        <v>101552.46</v>
      </c>
      <c r="AW231">
        <v>114647.6485</v>
      </c>
      <c r="AX231">
        <v>118167.008</v>
      </c>
      <c r="AY231">
        <v>123559.05899999999</v>
      </c>
      <c r="AZ231">
        <v>128796.368</v>
      </c>
      <c r="BA231">
        <v>130000</v>
      </c>
      <c r="BB231">
        <v>135819.11300000001</v>
      </c>
      <c r="BC231">
        <v>145008.255</v>
      </c>
      <c r="BD231">
        <v>146226.546</v>
      </c>
      <c r="BE231">
        <v>148171.67300000001</v>
      </c>
      <c r="BF231">
        <v>156533.16500000001</v>
      </c>
      <c r="BG231">
        <v>167340.8915</v>
      </c>
      <c r="BH231">
        <v>179808.78</v>
      </c>
      <c r="BI231">
        <v>187222.14799999999</v>
      </c>
      <c r="BJ231">
        <v>206328.26500000001</v>
      </c>
      <c r="BK231">
        <v>220390.6225</v>
      </c>
      <c r="BL231">
        <v>239280.00000000009</v>
      </c>
      <c r="BM231">
        <v>298738.61</v>
      </c>
      <c r="BN231">
        <v>365407.64500000002</v>
      </c>
      <c r="BO231">
        <v>399465.49400000001</v>
      </c>
      <c r="BP231">
        <v>515709.15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 x14ac:dyDescent="0.35">
      <c r="A232">
        <v>348094</v>
      </c>
      <c r="B232" t="s">
        <v>388</v>
      </c>
      <c r="C232" t="s">
        <v>389</v>
      </c>
      <c r="D232" s="1">
        <v>45794</v>
      </c>
      <c r="E232">
        <v>53850</v>
      </c>
      <c r="F232">
        <v>104</v>
      </c>
      <c r="G232" t="s">
        <v>53</v>
      </c>
      <c r="H232" t="s">
        <v>48</v>
      </c>
      <c r="I232" t="s">
        <v>49</v>
      </c>
      <c r="K232">
        <v>202505167986651</v>
      </c>
      <c r="L232">
        <v>1043301448675</v>
      </c>
      <c r="M232">
        <v>20250516</v>
      </c>
      <c r="N232" t="s">
        <v>400</v>
      </c>
      <c r="Q232" t="s">
        <v>58</v>
      </c>
      <c r="R232">
        <v>183000</v>
      </c>
      <c r="S232">
        <v>0</v>
      </c>
      <c r="T232">
        <v>4139723</v>
      </c>
      <c r="U232" t="s">
        <v>608</v>
      </c>
      <c r="V232" t="s">
        <v>609</v>
      </c>
      <c r="W232" t="s">
        <v>50</v>
      </c>
      <c r="Y232" t="s">
        <v>51</v>
      </c>
      <c r="Z232">
        <v>1422</v>
      </c>
      <c r="AH232">
        <v>0</v>
      </c>
      <c r="AI232">
        <v>202505</v>
      </c>
      <c r="AJ232" t="s">
        <v>168</v>
      </c>
      <c r="AK232">
        <v>1</v>
      </c>
      <c r="AL232">
        <v>1</v>
      </c>
      <c r="AO232">
        <v>0</v>
      </c>
      <c r="AP232">
        <v>999</v>
      </c>
      <c r="AQ232">
        <v>600</v>
      </c>
      <c r="AR232">
        <v>600999</v>
      </c>
      <c r="AS232" t="s">
        <v>52</v>
      </c>
      <c r="AU232" t="s">
        <v>52</v>
      </c>
      <c r="AV232">
        <v>107500</v>
      </c>
      <c r="AW232">
        <v>109625</v>
      </c>
      <c r="AX232">
        <v>110000</v>
      </c>
      <c r="AY232">
        <v>112750</v>
      </c>
      <c r="AZ232">
        <v>120738</v>
      </c>
      <c r="BA232">
        <v>129508.75</v>
      </c>
      <c r="BB232">
        <v>130380</v>
      </c>
      <c r="BC232">
        <v>133610</v>
      </c>
      <c r="BD232">
        <v>133800</v>
      </c>
      <c r="BE232">
        <v>141080</v>
      </c>
      <c r="BF232">
        <v>147500</v>
      </c>
      <c r="BG232">
        <v>155382.03049999999</v>
      </c>
      <c r="BH232">
        <v>165585.11799999999</v>
      </c>
      <c r="BI232">
        <v>166416.67000000001</v>
      </c>
      <c r="BJ232">
        <v>166416.67000000001</v>
      </c>
      <c r="BK232">
        <v>173582.95749999999</v>
      </c>
      <c r="BL232">
        <v>190388.68799999999</v>
      </c>
      <c r="BM232">
        <v>212150</v>
      </c>
      <c r="BN232">
        <v>283513.16900000011</v>
      </c>
      <c r="BO232">
        <v>415377.23</v>
      </c>
      <c r="BP232">
        <v>415377.23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 x14ac:dyDescent="0.35">
      <c r="A233">
        <v>348080</v>
      </c>
      <c r="B233" t="s">
        <v>388</v>
      </c>
      <c r="C233" t="s">
        <v>389</v>
      </c>
      <c r="D233" s="1">
        <v>45793</v>
      </c>
      <c r="E233">
        <v>53850</v>
      </c>
      <c r="F233">
        <v>103</v>
      </c>
      <c r="G233" t="s">
        <v>59</v>
      </c>
      <c r="H233" t="s">
        <v>48</v>
      </c>
      <c r="I233" t="s">
        <v>49</v>
      </c>
      <c r="K233">
        <v>202505157983016</v>
      </c>
      <c r="L233">
        <v>1033306985959</v>
      </c>
      <c r="M233">
        <v>20250515</v>
      </c>
      <c r="N233" t="s">
        <v>417</v>
      </c>
      <c r="Q233" t="s">
        <v>58</v>
      </c>
      <c r="R233">
        <v>270000</v>
      </c>
      <c r="S233">
        <v>0</v>
      </c>
      <c r="T233">
        <v>3740317</v>
      </c>
      <c r="U233" t="s">
        <v>610</v>
      </c>
      <c r="V233" t="s">
        <v>611</v>
      </c>
      <c r="W233" t="s">
        <v>50</v>
      </c>
      <c r="Y233" t="s">
        <v>51</v>
      </c>
      <c r="AH233">
        <v>0</v>
      </c>
      <c r="AI233">
        <v>202505</v>
      </c>
      <c r="AJ233" t="s">
        <v>168</v>
      </c>
      <c r="AK233">
        <v>1</v>
      </c>
      <c r="AL233">
        <v>1</v>
      </c>
      <c r="AO233">
        <v>0</v>
      </c>
      <c r="AP233">
        <v>999</v>
      </c>
      <c r="AQ233">
        <v>600</v>
      </c>
      <c r="AR233">
        <v>600999</v>
      </c>
      <c r="AS233" t="s">
        <v>52</v>
      </c>
      <c r="AU233" t="s">
        <v>52</v>
      </c>
      <c r="AV233">
        <v>107500</v>
      </c>
      <c r="AW233">
        <v>109625</v>
      </c>
      <c r="AX233">
        <v>110000</v>
      </c>
      <c r="AY233">
        <v>112750</v>
      </c>
      <c r="AZ233">
        <v>120738</v>
      </c>
      <c r="BA233">
        <v>129508.75</v>
      </c>
      <c r="BB233">
        <v>130380</v>
      </c>
      <c r="BC233">
        <v>133610</v>
      </c>
      <c r="BD233">
        <v>133800</v>
      </c>
      <c r="BE233">
        <v>141080</v>
      </c>
      <c r="BF233">
        <v>147500</v>
      </c>
      <c r="BG233">
        <v>155382.03049999999</v>
      </c>
      <c r="BH233">
        <v>165585.11799999999</v>
      </c>
      <c r="BI233">
        <v>166416.67000000001</v>
      </c>
      <c r="BJ233">
        <v>166416.67000000001</v>
      </c>
      <c r="BK233">
        <v>173582.95749999999</v>
      </c>
      <c r="BL233">
        <v>190388.68799999999</v>
      </c>
      <c r="BM233">
        <v>212150</v>
      </c>
      <c r="BN233">
        <v>283513.16900000011</v>
      </c>
      <c r="BO233">
        <v>415377.23</v>
      </c>
      <c r="BP233">
        <v>415377.23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0</v>
      </c>
      <c r="CJ233">
        <v>0</v>
      </c>
      <c r="CK233">
        <v>0</v>
      </c>
    </row>
    <row r="234" spans="1:89" x14ac:dyDescent="0.35">
      <c r="A234">
        <v>348066</v>
      </c>
      <c r="B234" t="s">
        <v>388</v>
      </c>
      <c r="C234" t="s">
        <v>389</v>
      </c>
      <c r="D234" s="1">
        <v>45793</v>
      </c>
      <c r="E234">
        <v>53850</v>
      </c>
      <c r="F234">
        <v>109</v>
      </c>
      <c r="G234" t="s">
        <v>68</v>
      </c>
      <c r="H234" t="s">
        <v>48</v>
      </c>
      <c r="I234" t="s">
        <v>49</v>
      </c>
      <c r="K234">
        <v>202505157983074</v>
      </c>
      <c r="L234">
        <v>1093306674752</v>
      </c>
      <c r="M234">
        <v>20250515</v>
      </c>
      <c r="N234" t="s">
        <v>400</v>
      </c>
      <c r="Q234" t="s">
        <v>58</v>
      </c>
      <c r="R234">
        <v>196000</v>
      </c>
      <c r="S234">
        <v>0</v>
      </c>
      <c r="T234">
        <v>4945428</v>
      </c>
      <c r="U234" t="s">
        <v>612</v>
      </c>
      <c r="V234" t="s">
        <v>613</v>
      </c>
      <c r="W234" t="s">
        <v>50</v>
      </c>
      <c r="Y234" t="s">
        <v>51</v>
      </c>
      <c r="Z234">
        <v>1918</v>
      </c>
      <c r="AH234">
        <v>0</v>
      </c>
      <c r="AI234">
        <v>202505</v>
      </c>
      <c r="AJ234" t="s">
        <v>168</v>
      </c>
      <c r="AK234">
        <v>1</v>
      </c>
      <c r="AL234">
        <v>1</v>
      </c>
      <c r="AO234">
        <v>0</v>
      </c>
      <c r="AP234">
        <v>999</v>
      </c>
      <c r="AQ234">
        <v>600</v>
      </c>
      <c r="AR234">
        <v>600999</v>
      </c>
      <c r="AS234" t="s">
        <v>52</v>
      </c>
      <c r="AU234" t="s">
        <v>52</v>
      </c>
      <c r="AV234">
        <v>107500</v>
      </c>
      <c r="AW234">
        <v>109625</v>
      </c>
      <c r="AX234">
        <v>110000</v>
      </c>
      <c r="AY234">
        <v>112750</v>
      </c>
      <c r="AZ234">
        <v>120738</v>
      </c>
      <c r="BA234">
        <v>129508.75</v>
      </c>
      <c r="BB234">
        <v>130380</v>
      </c>
      <c r="BC234">
        <v>133610</v>
      </c>
      <c r="BD234">
        <v>133800</v>
      </c>
      <c r="BE234">
        <v>141080</v>
      </c>
      <c r="BF234">
        <v>147500</v>
      </c>
      <c r="BG234">
        <v>155382.03049999999</v>
      </c>
      <c r="BH234">
        <v>165585.11799999999</v>
      </c>
      <c r="BI234">
        <v>166416.67000000001</v>
      </c>
      <c r="BJ234">
        <v>166416.67000000001</v>
      </c>
      <c r="BK234">
        <v>173582.95749999999</v>
      </c>
      <c r="BL234">
        <v>190388.68799999999</v>
      </c>
      <c r="BM234">
        <v>212150</v>
      </c>
      <c r="BN234">
        <v>283513.16900000011</v>
      </c>
      <c r="BO234">
        <v>415377.23</v>
      </c>
      <c r="BP234">
        <v>415377.23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0</v>
      </c>
      <c r="CI234">
        <v>0</v>
      </c>
      <c r="CJ234">
        <v>0</v>
      </c>
      <c r="CK234">
        <v>0</v>
      </c>
    </row>
    <row r="235" spans="1:89" x14ac:dyDescent="0.35">
      <c r="A235">
        <v>348063</v>
      </c>
      <c r="B235" t="s">
        <v>388</v>
      </c>
      <c r="C235" t="s">
        <v>389</v>
      </c>
      <c r="D235" s="1">
        <v>45793</v>
      </c>
      <c r="E235">
        <v>53850</v>
      </c>
      <c r="F235">
        <v>153</v>
      </c>
      <c r="G235" t="s">
        <v>316</v>
      </c>
      <c r="H235" t="s">
        <v>48</v>
      </c>
      <c r="I235" t="s">
        <v>49</v>
      </c>
      <c r="K235">
        <v>202505157983208</v>
      </c>
      <c r="L235">
        <v>1533300662905</v>
      </c>
      <c r="M235">
        <v>20250515</v>
      </c>
      <c r="N235" t="s">
        <v>392</v>
      </c>
      <c r="Q235" t="s">
        <v>58</v>
      </c>
      <c r="R235">
        <v>92678.99</v>
      </c>
      <c r="S235">
        <v>0</v>
      </c>
      <c r="T235">
        <v>4165339</v>
      </c>
      <c r="U235">
        <v>5612950633</v>
      </c>
      <c r="V235" t="s">
        <v>502</v>
      </c>
      <c r="W235" t="s">
        <v>56</v>
      </c>
      <c r="X235" t="s">
        <v>503</v>
      </c>
      <c r="Y235" t="s">
        <v>51</v>
      </c>
      <c r="Z235">
        <v>982</v>
      </c>
      <c r="AH235">
        <v>0</v>
      </c>
      <c r="AI235">
        <v>202505</v>
      </c>
      <c r="AJ235" t="s">
        <v>63</v>
      </c>
      <c r="AK235">
        <v>0</v>
      </c>
      <c r="AL235">
        <v>1</v>
      </c>
      <c r="AO235">
        <v>0</v>
      </c>
      <c r="AP235">
        <v>236</v>
      </c>
      <c r="AQ235">
        <v>430</v>
      </c>
      <c r="AR235">
        <v>430236</v>
      </c>
      <c r="AS235" t="s">
        <v>61</v>
      </c>
      <c r="AU235" t="s">
        <v>61</v>
      </c>
      <c r="AV235">
        <v>85050</v>
      </c>
      <c r="AW235">
        <v>89030</v>
      </c>
      <c r="AX235">
        <v>91669.203999999998</v>
      </c>
      <c r="AY235">
        <v>93087.394</v>
      </c>
      <c r="AZ235">
        <v>94164.18</v>
      </c>
      <c r="BA235">
        <v>96798.05</v>
      </c>
      <c r="BB235">
        <v>100000</v>
      </c>
      <c r="BC235">
        <v>100000</v>
      </c>
      <c r="BD235">
        <v>101589.726</v>
      </c>
      <c r="BE235">
        <v>106295.712</v>
      </c>
      <c r="BF235">
        <v>110193.28</v>
      </c>
      <c r="BG235">
        <v>119645.424</v>
      </c>
      <c r="BH235">
        <v>127698</v>
      </c>
      <c r="BI235">
        <v>137713.79399999999</v>
      </c>
      <c r="BJ235">
        <v>139806</v>
      </c>
      <c r="BK235">
        <v>150000</v>
      </c>
      <c r="BL235">
        <v>161820.22</v>
      </c>
      <c r="BM235">
        <v>190199.99999999991</v>
      </c>
      <c r="BN235">
        <v>213800</v>
      </c>
      <c r="BO235">
        <v>259913.9999999998</v>
      </c>
      <c r="BP235">
        <v>440000</v>
      </c>
      <c r="BQ235">
        <v>1</v>
      </c>
      <c r="BR235">
        <v>1</v>
      </c>
      <c r="BS235">
        <v>1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 x14ac:dyDescent="0.35">
      <c r="A236">
        <v>348059</v>
      </c>
      <c r="B236" t="s">
        <v>388</v>
      </c>
      <c r="C236" t="s">
        <v>389</v>
      </c>
      <c r="D236" s="1">
        <v>45793</v>
      </c>
      <c r="E236">
        <v>53850</v>
      </c>
      <c r="F236">
        <v>161</v>
      </c>
      <c r="G236" t="s">
        <v>95</v>
      </c>
      <c r="H236" t="s">
        <v>48</v>
      </c>
      <c r="I236" t="s">
        <v>49</v>
      </c>
      <c r="K236">
        <v>202505157983234</v>
      </c>
      <c r="L236">
        <v>1613300032598</v>
      </c>
      <c r="M236">
        <v>20250515</v>
      </c>
      <c r="N236" t="s">
        <v>392</v>
      </c>
      <c r="Q236" t="s">
        <v>58</v>
      </c>
      <c r="R236">
        <v>153569.38</v>
      </c>
      <c r="S236">
        <v>0</v>
      </c>
      <c r="T236">
        <v>4103078</v>
      </c>
      <c r="U236">
        <v>272810722</v>
      </c>
      <c r="V236" t="s">
        <v>614</v>
      </c>
      <c r="W236" t="s">
        <v>56</v>
      </c>
      <c r="X236" t="s">
        <v>294</v>
      </c>
      <c r="Y236" t="s">
        <v>51</v>
      </c>
      <c r="Z236">
        <v>1903</v>
      </c>
      <c r="AH236">
        <v>0</v>
      </c>
      <c r="AI236">
        <v>202505</v>
      </c>
      <c r="AJ236" t="s">
        <v>177</v>
      </c>
      <c r="AK236">
        <v>1</v>
      </c>
      <c r="AL236">
        <v>1</v>
      </c>
      <c r="AO236">
        <v>0</v>
      </c>
      <c r="AP236">
        <v>999</v>
      </c>
      <c r="AQ236">
        <v>430</v>
      </c>
      <c r="AR236">
        <v>430999</v>
      </c>
      <c r="AT236">
        <v>1</v>
      </c>
      <c r="AU236" t="s">
        <v>57</v>
      </c>
      <c r="AV236">
        <v>101552.46</v>
      </c>
      <c r="AW236">
        <v>114647.6485</v>
      </c>
      <c r="AX236">
        <v>118167.008</v>
      </c>
      <c r="AY236">
        <v>123559.05899999999</v>
      </c>
      <c r="AZ236">
        <v>128796.368</v>
      </c>
      <c r="BA236">
        <v>130000</v>
      </c>
      <c r="BB236">
        <v>135819.11300000001</v>
      </c>
      <c r="BC236">
        <v>145008.255</v>
      </c>
      <c r="BD236">
        <v>146226.546</v>
      </c>
      <c r="BE236">
        <v>148171.67300000001</v>
      </c>
      <c r="BF236">
        <v>156533.16500000001</v>
      </c>
      <c r="BG236">
        <v>167340.8915</v>
      </c>
      <c r="BH236">
        <v>179808.78</v>
      </c>
      <c r="BI236">
        <v>187222.14799999999</v>
      </c>
      <c r="BJ236">
        <v>206328.26500000001</v>
      </c>
      <c r="BK236">
        <v>220390.6225</v>
      </c>
      <c r="BL236">
        <v>239280.00000000009</v>
      </c>
      <c r="BM236">
        <v>298738.61</v>
      </c>
      <c r="BN236">
        <v>365407.64500000002</v>
      </c>
      <c r="BO236">
        <v>399465.49400000001</v>
      </c>
      <c r="BP236">
        <v>515709.15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 x14ac:dyDescent="0.35">
      <c r="A237">
        <v>348045</v>
      </c>
      <c r="B237" t="s">
        <v>388</v>
      </c>
      <c r="C237" t="s">
        <v>389</v>
      </c>
      <c r="D237" s="1">
        <v>45793</v>
      </c>
      <c r="E237">
        <v>53850</v>
      </c>
      <c r="F237">
        <v>161</v>
      </c>
      <c r="G237" t="s">
        <v>95</v>
      </c>
      <c r="H237" t="s">
        <v>48</v>
      </c>
      <c r="I237" t="s">
        <v>49</v>
      </c>
      <c r="K237" t="s">
        <v>337</v>
      </c>
      <c r="L237">
        <v>1613300029653</v>
      </c>
      <c r="M237">
        <v>20250515</v>
      </c>
      <c r="N237" t="s">
        <v>262</v>
      </c>
      <c r="Q237" t="s">
        <v>58</v>
      </c>
      <c r="R237">
        <v>225130.1</v>
      </c>
      <c r="S237">
        <v>9400</v>
      </c>
      <c r="T237">
        <v>4088769</v>
      </c>
      <c r="U237">
        <v>5150120722</v>
      </c>
      <c r="V237" t="s">
        <v>407</v>
      </c>
      <c r="W237" t="s">
        <v>56</v>
      </c>
      <c r="X237" t="s">
        <v>78</v>
      </c>
      <c r="Y237" t="s">
        <v>51</v>
      </c>
      <c r="Z237">
        <v>1903</v>
      </c>
      <c r="AH237">
        <v>0</v>
      </c>
      <c r="AI237">
        <v>202505</v>
      </c>
      <c r="AJ237" t="s">
        <v>63</v>
      </c>
      <c r="AK237">
        <v>0</v>
      </c>
      <c r="AL237">
        <v>1</v>
      </c>
      <c r="AM237">
        <v>4088769</v>
      </c>
      <c r="AN237">
        <v>1</v>
      </c>
      <c r="AO237">
        <v>1</v>
      </c>
      <c r="AP237">
        <v>464</v>
      </c>
      <c r="AQ237">
        <v>430</v>
      </c>
      <c r="AR237">
        <v>430464</v>
      </c>
      <c r="AS237" t="s">
        <v>79</v>
      </c>
      <c r="AU237" t="s">
        <v>79</v>
      </c>
      <c r="AV237">
        <v>76382.789999999994</v>
      </c>
      <c r="AW237">
        <v>79891.56</v>
      </c>
      <c r="AX237">
        <v>79937.08</v>
      </c>
      <c r="AY237">
        <v>88865.89</v>
      </c>
      <c r="AZ237">
        <v>94634.78</v>
      </c>
      <c r="BA237">
        <v>97229.53</v>
      </c>
      <c r="BB237">
        <v>98360.01</v>
      </c>
      <c r="BC237">
        <v>100000</v>
      </c>
      <c r="BD237">
        <v>104738.68</v>
      </c>
      <c r="BE237">
        <v>108176.82</v>
      </c>
      <c r="BF237">
        <v>110891.36</v>
      </c>
      <c r="BG237">
        <v>115427.47</v>
      </c>
      <c r="BH237">
        <v>118009.65</v>
      </c>
      <c r="BI237">
        <v>136718.03</v>
      </c>
      <c r="BJ237">
        <v>148758.49</v>
      </c>
      <c r="BK237">
        <v>182944.14</v>
      </c>
      <c r="BL237">
        <v>217448.27</v>
      </c>
      <c r="BM237">
        <v>222704.65</v>
      </c>
      <c r="BN237">
        <v>225130.1</v>
      </c>
      <c r="BO237">
        <v>259946.2</v>
      </c>
      <c r="BP237">
        <v>270019.89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0</v>
      </c>
      <c r="CK237">
        <v>0</v>
      </c>
    </row>
    <row r="238" spans="1:89" x14ac:dyDescent="0.35">
      <c r="A238">
        <v>348043</v>
      </c>
      <c r="B238" t="s">
        <v>388</v>
      </c>
      <c r="C238" t="s">
        <v>389</v>
      </c>
      <c r="D238" s="1">
        <v>45793</v>
      </c>
      <c r="E238">
        <v>53850</v>
      </c>
      <c r="F238">
        <v>128</v>
      </c>
      <c r="G238" t="s">
        <v>274</v>
      </c>
      <c r="H238" t="s">
        <v>48</v>
      </c>
      <c r="I238" t="s">
        <v>49</v>
      </c>
      <c r="K238" t="s">
        <v>337</v>
      </c>
      <c r="L238">
        <v>1283300001665</v>
      </c>
      <c r="M238">
        <v>20250515</v>
      </c>
      <c r="N238" t="s">
        <v>262</v>
      </c>
      <c r="Q238" t="s">
        <v>58</v>
      </c>
      <c r="R238">
        <v>160952.84</v>
      </c>
      <c r="S238">
        <v>2030</v>
      </c>
      <c r="T238">
        <v>4254896</v>
      </c>
      <c r="U238">
        <v>6234730726</v>
      </c>
      <c r="V238" t="s">
        <v>410</v>
      </c>
      <c r="W238" t="s">
        <v>56</v>
      </c>
      <c r="X238" t="s">
        <v>411</v>
      </c>
      <c r="Y238" t="s">
        <v>51</v>
      </c>
      <c r="Z238">
        <v>1919</v>
      </c>
      <c r="AH238">
        <v>0</v>
      </c>
      <c r="AI238">
        <v>202505</v>
      </c>
      <c r="AJ238" t="s">
        <v>63</v>
      </c>
      <c r="AK238">
        <v>0</v>
      </c>
      <c r="AL238">
        <v>1</v>
      </c>
      <c r="AO238">
        <v>1</v>
      </c>
      <c r="AP238">
        <v>999</v>
      </c>
      <c r="AQ238">
        <v>430</v>
      </c>
      <c r="AR238">
        <v>430999</v>
      </c>
      <c r="AT238">
        <v>1</v>
      </c>
      <c r="AU238" t="s">
        <v>57</v>
      </c>
      <c r="AV238">
        <v>101552.46</v>
      </c>
      <c r="AW238">
        <v>114647.6485</v>
      </c>
      <c r="AX238">
        <v>118167.008</v>
      </c>
      <c r="AY238">
        <v>123559.05899999999</v>
      </c>
      <c r="AZ238">
        <v>128796.368</v>
      </c>
      <c r="BA238">
        <v>130000</v>
      </c>
      <c r="BB238">
        <v>135819.11300000001</v>
      </c>
      <c r="BC238">
        <v>145008.255</v>
      </c>
      <c r="BD238">
        <v>146226.546</v>
      </c>
      <c r="BE238">
        <v>148171.67300000001</v>
      </c>
      <c r="BF238">
        <v>156533.16500000001</v>
      </c>
      <c r="BG238">
        <v>167340.8915</v>
      </c>
      <c r="BH238">
        <v>179808.78</v>
      </c>
      <c r="BI238">
        <v>187222.14799999999</v>
      </c>
      <c r="BJ238">
        <v>206328.26500000001</v>
      </c>
      <c r="BK238">
        <v>220390.6225</v>
      </c>
      <c r="BL238">
        <v>239280.00000000009</v>
      </c>
      <c r="BM238">
        <v>298738.61</v>
      </c>
      <c r="BN238">
        <v>365407.64500000002</v>
      </c>
      <c r="BO238">
        <v>399465.49400000001</v>
      </c>
      <c r="BP238">
        <v>515709.15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 x14ac:dyDescent="0.35">
      <c r="A239">
        <v>348032</v>
      </c>
      <c r="B239" t="s">
        <v>388</v>
      </c>
      <c r="C239" t="s">
        <v>389</v>
      </c>
      <c r="D239" s="1">
        <v>45792</v>
      </c>
      <c r="E239">
        <v>53850</v>
      </c>
      <c r="F239">
        <v>116</v>
      </c>
      <c r="G239" t="s">
        <v>259</v>
      </c>
      <c r="H239" t="s">
        <v>48</v>
      </c>
      <c r="I239" t="s">
        <v>49</v>
      </c>
      <c r="K239">
        <v>202505147980033</v>
      </c>
      <c r="L239">
        <v>1163307620997</v>
      </c>
      <c r="M239">
        <v>20250514</v>
      </c>
      <c r="N239" t="s">
        <v>400</v>
      </c>
      <c r="Q239" t="s">
        <v>58</v>
      </c>
      <c r="R239">
        <v>150000</v>
      </c>
      <c r="S239">
        <v>0</v>
      </c>
      <c r="T239">
        <v>4925993</v>
      </c>
      <c r="U239" t="s">
        <v>615</v>
      </c>
      <c r="V239" t="s">
        <v>616</v>
      </c>
      <c r="W239" t="s">
        <v>50</v>
      </c>
      <c r="Y239" t="s">
        <v>51</v>
      </c>
      <c r="Z239">
        <v>808</v>
      </c>
      <c r="AH239">
        <v>0</v>
      </c>
      <c r="AI239">
        <v>202505</v>
      </c>
      <c r="AJ239" t="s">
        <v>168</v>
      </c>
      <c r="AK239">
        <v>1</v>
      </c>
      <c r="AL239">
        <v>1</v>
      </c>
      <c r="AO239">
        <v>0</v>
      </c>
      <c r="AP239">
        <v>999</v>
      </c>
      <c r="AQ239">
        <v>600</v>
      </c>
      <c r="AR239">
        <v>600999</v>
      </c>
      <c r="AS239" t="s">
        <v>52</v>
      </c>
      <c r="AU239" t="s">
        <v>52</v>
      </c>
      <c r="AV239">
        <v>107500</v>
      </c>
      <c r="AW239">
        <v>109625</v>
      </c>
      <c r="AX239">
        <v>110000</v>
      </c>
      <c r="AY239">
        <v>112750</v>
      </c>
      <c r="AZ239">
        <v>120738</v>
      </c>
      <c r="BA239">
        <v>129508.75</v>
      </c>
      <c r="BB239">
        <v>130380</v>
      </c>
      <c r="BC239">
        <v>133610</v>
      </c>
      <c r="BD239">
        <v>133800</v>
      </c>
      <c r="BE239">
        <v>141080</v>
      </c>
      <c r="BF239">
        <v>147500</v>
      </c>
      <c r="BG239">
        <v>155382.03049999999</v>
      </c>
      <c r="BH239">
        <v>165585.11799999999</v>
      </c>
      <c r="BI239">
        <v>166416.67000000001</v>
      </c>
      <c r="BJ239">
        <v>166416.67000000001</v>
      </c>
      <c r="BK239">
        <v>173582.95749999999</v>
      </c>
      <c r="BL239">
        <v>190388.68799999999</v>
      </c>
      <c r="BM239">
        <v>212150</v>
      </c>
      <c r="BN239">
        <v>283513.16900000011</v>
      </c>
      <c r="BO239">
        <v>415377.23</v>
      </c>
      <c r="BP239">
        <v>415377.23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 x14ac:dyDescent="0.35">
      <c r="A240">
        <v>348029</v>
      </c>
      <c r="B240" t="s">
        <v>388</v>
      </c>
      <c r="C240" t="s">
        <v>389</v>
      </c>
      <c r="D240" s="1">
        <v>45792</v>
      </c>
      <c r="E240">
        <v>53850</v>
      </c>
      <c r="F240">
        <v>116</v>
      </c>
      <c r="G240" t="s">
        <v>259</v>
      </c>
      <c r="H240" t="s">
        <v>48</v>
      </c>
      <c r="I240" t="s">
        <v>49</v>
      </c>
      <c r="K240">
        <v>202505147980033</v>
      </c>
      <c r="L240">
        <v>1163307620997</v>
      </c>
      <c r="M240">
        <v>20250514</v>
      </c>
      <c r="N240" t="s">
        <v>400</v>
      </c>
      <c r="Q240" t="s">
        <v>58</v>
      </c>
      <c r="R240">
        <v>150000</v>
      </c>
      <c r="S240">
        <v>0</v>
      </c>
      <c r="T240">
        <v>4996140</v>
      </c>
      <c r="U240" t="s">
        <v>617</v>
      </c>
      <c r="V240" t="s">
        <v>618</v>
      </c>
      <c r="W240" t="s">
        <v>50</v>
      </c>
      <c r="Y240" t="s">
        <v>51</v>
      </c>
      <c r="Z240">
        <v>733</v>
      </c>
      <c r="AH240">
        <v>0</v>
      </c>
      <c r="AI240">
        <v>202505</v>
      </c>
      <c r="AJ240" t="s">
        <v>168</v>
      </c>
      <c r="AK240">
        <v>1</v>
      </c>
      <c r="AL240">
        <v>1</v>
      </c>
      <c r="AO240">
        <v>0</v>
      </c>
      <c r="AP240">
        <v>999</v>
      </c>
      <c r="AQ240">
        <v>600</v>
      </c>
      <c r="AR240">
        <v>600999</v>
      </c>
      <c r="AS240" t="s">
        <v>52</v>
      </c>
      <c r="AU240" t="s">
        <v>52</v>
      </c>
      <c r="AV240">
        <v>107500</v>
      </c>
      <c r="AW240">
        <v>109625</v>
      </c>
      <c r="AX240">
        <v>110000</v>
      </c>
      <c r="AY240">
        <v>112750</v>
      </c>
      <c r="AZ240">
        <v>120738</v>
      </c>
      <c r="BA240">
        <v>129508.75</v>
      </c>
      <c r="BB240">
        <v>130380</v>
      </c>
      <c r="BC240">
        <v>133610</v>
      </c>
      <c r="BD240">
        <v>133800</v>
      </c>
      <c r="BE240">
        <v>141080</v>
      </c>
      <c r="BF240">
        <v>147500</v>
      </c>
      <c r="BG240">
        <v>155382.03049999999</v>
      </c>
      <c r="BH240">
        <v>165585.11799999999</v>
      </c>
      <c r="BI240">
        <v>166416.67000000001</v>
      </c>
      <c r="BJ240">
        <v>166416.67000000001</v>
      </c>
      <c r="BK240">
        <v>173582.95749999999</v>
      </c>
      <c r="BL240">
        <v>190388.68799999999</v>
      </c>
      <c r="BM240">
        <v>212150</v>
      </c>
      <c r="BN240">
        <v>283513.16900000011</v>
      </c>
      <c r="BO240">
        <v>415377.23</v>
      </c>
      <c r="BP240">
        <v>415377.23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 x14ac:dyDescent="0.35">
      <c r="A241">
        <v>348028</v>
      </c>
      <c r="B241" t="s">
        <v>388</v>
      </c>
      <c r="C241" t="s">
        <v>389</v>
      </c>
      <c r="D241" s="1">
        <v>45792</v>
      </c>
      <c r="E241">
        <v>53850</v>
      </c>
      <c r="F241">
        <v>116</v>
      </c>
      <c r="G241" t="s">
        <v>259</v>
      </c>
      <c r="H241" t="s">
        <v>48</v>
      </c>
      <c r="I241" t="s">
        <v>49</v>
      </c>
      <c r="K241">
        <v>202505147980033</v>
      </c>
      <c r="L241">
        <v>1163307620997</v>
      </c>
      <c r="M241">
        <v>20250514</v>
      </c>
      <c r="N241" t="s">
        <v>400</v>
      </c>
      <c r="Q241" t="s">
        <v>58</v>
      </c>
      <c r="R241">
        <v>150000</v>
      </c>
      <c r="S241">
        <v>0</v>
      </c>
      <c r="T241">
        <v>523257</v>
      </c>
      <c r="U241" t="s">
        <v>619</v>
      </c>
      <c r="V241" t="s">
        <v>620</v>
      </c>
      <c r="W241" t="s">
        <v>66</v>
      </c>
      <c r="X241" t="s">
        <v>621</v>
      </c>
      <c r="Y241" t="s">
        <v>51</v>
      </c>
      <c r="Z241">
        <v>1612</v>
      </c>
      <c r="AH241">
        <v>0</v>
      </c>
      <c r="AI241">
        <v>202505</v>
      </c>
      <c r="AJ241" t="s">
        <v>63</v>
      </c>
      <c r="AK241">
        <v>0</v>
      </c>
      <c r="AL241">
        <v>1</v>
      </c>
      <c r="AO241">
        <v>0</v>
      </c>
      <c r="AP241">
        <v>999</v>
      </c>
      <c r="AQ241">
        <v>615</v>
      </c>
      <c r="AR241">
        <v>615999</v>
      </c>
      <c r="AT241">
        <v>1</v>
      </c>
      <c r="AU241" t="s">
        <v>61</v>
      </c>
      <c r="AV241">
        <v>85050</v>
      </c>
      <c r="AW241">
        <v>89030</v>
      </c>
      <c r="AX241">
        <v>91669.203999999998</v>
      </c>
      <c r="AY241">
        <v>93087.394</v>
      </c>
      <c r="AZ241">
        <v>94164.18</v>
      </c>
      <c r="BA241">
        <v>96798.05</v>
      </c>
      <c r="BB241">
        <v>100000</v>
      </c>
      <c r="BC241">
        <v>100000</v>
      </c>
      <c r="BD241">
        <v>101589.726</v>
      </c>
      <c r="BE241">
        <v>106295.712</v>
      </c>
      <c r="BF241">
        <v>110193.28</v>
      </c>
      <c r="BG241">
        <v>119645.424</v>
      </c>
      <c r="BH241">
        <v>127698</v>
      </c>
      <c r="BI241">
        <v>137713.79399999999</v>
      </c>
      <c r="BJ241">
        <v>139806</v>
      </c>
      <c r="BK241">
        <v>150000</v>
      </c>
      <c r="BL241">
        <v>161820.22</v>
      </c>
      <c r="BM241">
        <v>190199.99999999991</v>
      </c>
      <c r="BN241">
        <v>213800</v>
      </c>
      <c r="BO241">
        <v>259913.9999999998</v>
      </c>
      <c r="BP241">
        <v>440000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 x14ac:dyDescent="0.35">
      <c r="A242">
        <v>348027</v>
      </c>
      <c r="B242" t="s">
        <v>388</v>
      </c>
      <c r="C242" t="s">
        <v>389</v>
      </c>
      <c r="D242" s="1">
        <v>45792</v>
      </c>
      <c r="E242">
        <v>53850</v>
      </c>
      <c r="F242">
        <v>108</v>
      </c>
      <c r="G242" t="s">
        <v>89</v>
      </c>
      <c r="H242" t="s">
        <v>48</v>
      </c>
      <c r="I242" t="s">
        <v>49</v>
      </c>
      <c r="K242" t="s">
        <v>338</v>
      </c>
      <c r="L242">
        <v>1083306291105</v>
      </c>
      <c r="M242">
        <v>20250514</v>
      </c>
      <c r="N242" t="s">
        <v>262</v>
      </c>
      <c r="Q242" t="s">
        <v>58</v>
      </c>
      <c r="R242">
        <v>187262.31</v>
      </c>
      <c r="S242">
        <v>112449.60000000001</v>
      </c>
      <c r="T242">
        <v>4227057</v>
      </c>
      <c r="U242">
        <v>4874620729</v>
      </c>
      <c r="V242" t="s">
        <v>263</v>
      </c>
      <c r="W242" t="s">
        <v>56</v>
      </c>
      <c r="X242" t="s">
        <v>264</v>
      </c>
      <c r="Y242" t="s">
        <v>51</v>
      </c>
      <c r="Z242">
        <v>1058</v>
      </c>
      <c r="AH242">
        <v>0</v>
      </c>
      <c r="AI242">
        <v>202505</v>
      </c>
      <c r="AJ242" t="s">
        <v>63</v>
      </c>
      <c r="AK242">
        <v>0</v>
      </c>
      <c r="AL242">
        <v>1</v>
      </c>
      <c r="AM242">
        <v>4227057</v>
      </c>
      <c r="AN242">
        <v>1</v>
      </c>
      <c r="AO242">
        <v>1</v>
      </c>
      <c r="AP242">
        <v>999</v>
      </c>
      <c r="AQ242">
        <v>430</v>
      </c>
      <c r="AR242">
        <v>430999</v>
      </c>
      <c r="AT242">
        <v>1</v>
      </c>
      <c r="AU242" t="s">
        <v>57</v>
      </c>
      <c r="AV242">
        <v>101552.46</v>
      </c>
      <c r="AW242">
        <v>114647.6485</v>
      </c>
      <c r="AX242">
        <v>118167.008</v>
      </c>
      <c r="AY242">
        <v>123559.05899999999</v>
      </c>
      <c r="AZ242">
        <v>128796.368</v>
      </c>
      <c r="BA242">
        <v>130000</v>
      </c>
      <c r="BB242">
        <v>135819.11300000001</v>
      </c>
      <c r="BC242">
        <v>145008.255</v>
      </c>
      <c r="BD242">
        <v>146226.546</v>
      </c>
      <c r="BE242">
        <v>148171.67300000001</v>
      </c>
      <c r="BF242">
        <v>156533.16500000001</v>
      </c>
      <c r="BG242">
        <v>167340.8915</v>
      </c>
      <c r="BH242">
        <v>179808.78</v>
      </c>
      <c r="BI242">
        <v>187222.14799999999</v>
      </c>
      <c r="BJ242">
        <v>206328.26500000001</v>
      </c>
      <c r="BK242">
        <v>220390.6225</v>
      </c>
      <c r="BL242">
        <v>239280.00000000009</v>
      </c>
      <c r="BM242">
        <v>298738.61</v>
      </c>
      <c r="BN242">
        <v>365407.64500000002</v>
      </c>
      <c r="BO242">
        <v>399465.49400000001</v>
      </c>
      <c r="BP242">
        <v>515709.15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 x14ac:dyDescent="0.35">
      <c r="A243">
        <v>348026</v>
      </c>
      <c r="B243" t="s">
        <v>388</v>
      </c>
      <c r="C243" t="s">
        <v>389</v>
      </c>
      <c r="D243" s="1">
        <v>45792</v>
      </c>
      <c r="E243">
        <v>53850</v>
      </c>
      <c r="F243">
        <v>116</v>
      </c>
      <c r="G243" t="s">
        <v>259</v>
      </c>
      <c r="H243" t="s">
        <v>48</v>
      </c>
      <c r="I243" t="s">
        <v>49</v>
      </c>
      <c r="K243">
        <v>202505147979800</v>
      </c>
      <c r="L243">
        <v>2343300010453</v>
      </c>
      <c r="M243">
        <v>20250514</v>
      </c>
      <c r="N243" t="s">
        <v>253</v>
      </c>
      <c r="Q243" t="s">
        <v>58</v>
      </c>
      <c r="R243">
        <v>157456.45000000001</v>
      </c>
      <c r="S243">
        <v>157456.45000000001</v>
      </c>
      <c r="T243">
        <v>4247777</v>
      </c>
      <c r="U243">
        <v>233470236</v>
      </c>
      <c r="V243" t="s">
        <v>260</v>
      </c>
      <c r="W243" t="s">
        <v>56</v>
      </c>
      <c r="X243" t="s">
        <v>72</v>
      </c>
      <c r="Y243" t="s">
        <v>51</v>
      </c>
      <c r="Z243">
        <v>1696</v>
      </c>
      <c r="AH243">
        <v>0</v>
      </c>
      <c r="AI243">
        <v>202505</v>
      </c>
      <c r="AJ243" t="s">
        <v>177</v>
      </c>
      <c r="AK243">
        <v>1</v>
      </c>
      <c r="AL243">
        <v>1</v>
      </c>
      <c r="AM243">
        <v>4247777</v>
      </c>
      <c r="AN243">
        <v>1</v>
      </c>
      <c r="AO243">
        <v>0</v>
      </c>
      <c r="AP243">
        <v>463</v>
      </c>
      <c r="AQ243">
        <v>430</v>
      </c>
      <c r="AR243">
        <v>430463</v>
      </c>
      <c r="AS243" t="s">
        <v>61</v>
      </c>
      <c r="AU243" t="s">
        <v>61</v>
      </c>
      <c r="AV243">
        <v>85050</v>
      </c>
      <c r="AW243">
        <v>89030</v>
      </c>
      <c r="AX243">
        <v>91669.203999999998</v>
      </c>
      <c r="AY243">
        <v>93087.394</v>
      </c>
      <c r="AZ243">
        <v>94164.18</v>
      </c>
      <c r="BA243">
        <v>96798.05</v>
      </c>
      <c r="BB243">
        <v>100000</v>
      </c>
      <c r="BC243">
        <v>100000</v>
      </c>
      <c r="BD243">
        <v>101589.726</v>
      </c>
      <c r="BE243">
        <v>106295.712</v>
      </c>
      <c r="BF243">
        <v>110193.28</v>
      </c>
      <c r="BG243">
        <v>119645.424</v>
      </c>
      <c r="BH243">
        <v>127698</v>
      </c>
      <c r="BI243">
        <v>137713.79399999999</v>
      </c>
      <c r="BJ243">
        <v>139806</v>
      </c>
      <c r="BK243">
        <v>150000</v>
      </c>
      <c r="BL243">
        <v>161820.22</v>
      </c>
      <c r="BM243">
        <v>190199.99999999991</v>
      </c>
      <c r="BN243">
        <v>213800</v>
      </c>
      <c r="BO243">
        <v>259913.9999999998</v>
      </c>
      <c r="BP243">
        <v>440000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 x14ac:dyDescent="0.35">
      <c r="A244">
        <v>348021</v>
      </c>
      <c r="B244" t="s">
        <v>388</v>
      </c>
      <c r="C244" t="s">
        <v>389</v>
      </c>
      <c r="D244" s="1">
        <v>45792</v>
      </c>
      <c r="E244">
        <v>53850</v>
      </c>
      <c r="F244">
        <v>284</v>
      </c>
      <c r="G244" t="s">
        <v>293</v>
      </c>
      <c r="H244" t="s">
        <v>48</v>
      </c>
      <c r="I244" t="s">
        <v>49</v>
      </c>
      <c r="K244">
        <v>202505147980387</v>
      </c>
      <c r="L244">
        <v>2843300000683</v>
      </c>
      <c r="M244">
        <v>20250514</v>
      </c>
      <c r="N244" t="s">
        <v>400</v>
      </c>
      <c r="Q244" t="s">
        <v>58</v>
      </c>
      <c r="R244">
        <v>110000</v>
      </c>
      <c r="S244">
        <v>0</v>
      </c>
      <c r="T244">
        <v>1669887</v>
      </c>
      <c r="U244" t="s">
        <v>622</v>
      </c>
      <c r="V244" t="s">
        <v>623</v>
      </c>
      <c r="W244" t="s">
        <v>50</v>
      </c>
      <c r="Y244" t="s">
        <v>51</v>
      </c>
      <c r="AH244">
        <v>0</v>
      </c>
      <c r="AI244">
        <v>202505</v>
      </c>
      <c r="AJ244" t="s">
        <v>54</v>
      </c>
      <c r="AK244">
        <v>0</v>
      </c>
      <c r="AL244">
        <v>1</v>
      </c>
      <c r="AO244">
        <v>0</v>
      </c>
      <c r="AP244">
        <v>999</v>
      </c>
      <c r="AQ244">
        <v>600</v>
      </c>
      <c r="AR244">
        <v>600999</v>
      </c>
      <c r="AS244" t="s">
        <v>52</v>
      </c>
      <c r="AU244" t="s">
        <v>52</v>
      </c>
      <c r="AV244">
        <v>107500</v>
      </c>
      <c r="AW244">
        <v>109625</v>
      </c>
      <c r="AX244">
        <v>110000</v>
      </c>
      <c r="AY244">
        <v>112750</v>
      </c>
      <c r="AZ244">
        <v>120738</v>
      </c>
      <c r="BA244">
        <v>129508.75</v>
      </c>
      <c r="BB244">
        <v>130380</v>
      </c>
      <c r="BC244">
        <v>133610</v>
      </c>
      <c r="BD244">
        <v>133800</v>
      </c>
      <c r="BE244">
        <v>141080</v>
      </c>
      <c r="BF244">
        <v>147500</v>
      </c>
      <c r="BG244">
        <v>155382.03049999999</v>
      </c>
      <c r="BH244">
        <v>165585.11799999999</v>
      </c>
      <c r="BI244">
        <v>166416.67000000001</v>
      </c>
      <c r="BJ244">
        <v>166416.67000000001</v>
      </c>
      <c r="BK244">
        <v>173582.95749999999</v>
      </c>
      <c r="BL244">
        <v>190388.68799999999</v>
      </c>
      <c r="BM244">
        <v>212150</v>
      </c>
      <c r="BN244">
        <v>283513.16900000011</v>
      </c>
      <c r="BO244">
        <v>415377.23</v>
      </c>
      <c r="BP244">
        <v>415377.23</v>
      </c>
      <c r="BQ244">
        <v>1</v>
      </c>
      <c r="BR244">
        <v>1</v>
      </c>
      <c r="BS244">
        <v>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 x14ac:dyDescent="0.35">
      <c r="A245">
        <v>348017</v>
      </c>
      <c r="B245" t="s">
        <v>388</v>
      </c>
      <c r="C245" t="s">
        <v>389</v>
      </c>
      <c r="D245" s="1">
        <v>45792</v>
      </c>
      <c r="E245">
        <v>53850</v>
      </c>
      <c r="F245">
        <v>266</v>
      </c>
      <c r="G245" t="s">
        <v>321</v>
      </c>
      <c r="H245" t="s">
        <v>48</v>
      </c>
      <c r="I245" t="s">
        <v>49</v>
      </c>
      <c r="K245" t="s">
        <v>338</v>
      </c>
      <c r="L245">
        <v>2663300000556</v>
      </c>
      <c r="M245">
        <v>20250514</v>
      </c>
      <c r="N245" t="s">
        <v>262</v>
      </c>
      <c r="Q245" t="s">
        <v>58</v>
      </c>
      <c r="R245">
        <v>226958.14</v>
      </c>
      <c r="S245">
        <v>0</v>
      </c>
      <c r="T245">
        <v>1633047</v>
      </c>
      <c r="U245" t="s">
        <v>624</v>
      </c>
      <c r="V245" t="s">
        <v>625</v>
      </c>
      <c r="W245" t="s">
        <v>50</v>
      </c>
      <c r="Y245" t="s">
        <v>51</v>
      </c>
      <c r="Z245">
        <v>1799</v>
      </c>
      <c r="AH245">
        <v>0</v>
      </c>
      <c r="AI245">
        <v>202505</v>
      </c>
      <c r="AJ245" t="s">
        <v>168</v>
      </c>
      <c r="AK245">
        <v>1</v>
      </c>
      <c r="AL245">
        <v>1</v>
      </c>
      <c r="AO245">
        <v>1</v>
      </c>
      <c r="AP245">
        <v>999</v>
      </c>
      <c r="AQ245">
        <v>600</v>
      </c>
      <c r="AR245">
        <v>600999</v>
      </c>
      <c r="AS245" t="s">
        <v>52</v>
      </c>
      <c r="AU245" t="s">
        <v>52</v>
      </c>
      <c r="AV245">
        <v>107500</v>
      </c>
      <c r="AW245">
        <v>109625</v>
      </c>
      <c r="AX245">
        <v>110000</v>
      </c>
      <c r="AY245">
        <v>112750</v>
      </c>
      <c r="AZ245">
        <v>120738</v>
      </c>
      <c r="BA245">
        <v>129508.75</v>
      </c>
      <c r="BB245">
        <v>130380</v>
      </c>
      <c r="BC245">
        <v>133610</v>
      </c>
      <c r="BD245">
        <v>133800</v>
      </c>
      <c r="BE245">
        <v>141080</v>
      </c>
      <c r="BF245">
        <v>147500</v>
      </c>
      <c r="BG245">
        <v>155382.03049999999</v>
      </c>
      <c r="BH245">
        <v>165585.11799999999</v>
      </c>
      <c r="BI245">
        <v>166416.67000000001</v>
      </c>
      <c r="BJ245">
        <v>166416.67000000001</v>
      </c>
      <c r="BK245">
        <v>173582.95749999999</v>
      </c>
      <c r="BL245">
        <v>190388.68799999999</v>
      </c>
      <c r="BM245">
        <v>212150</v>
      </c>
      <c r="BN245">
        <v>283513.16900000011</v>
      </c>
      <c r="BO245">
        <v>415377.23</v>
      </c>
      <c r="BP245">
        <v>415377.23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0</v>
      </c>
      <c r="CJ245">
        <v>0</v>
      </c>
      <c r="CK245">
        <v>0</v>
      </c>
    </row>
    <row r="246" spans="1:89" x14ac:dyDescent="0.35">
      <c r="A246">
        <v>348014</v>
      </c>
      <c r="B246" t="s">
        <v>388</v>
      </c>
      <c r="C246" t="s">
        <v>389</v>
      </c>
      <c r="D246" s="1">
        <v>45792</v>
      </c>
      <c r="E246">
        <v>53850</v>
      </c>
      <c r="F246">
        <v>171</v>
      </c>
      <c r="G246" t="s">
        <v>70</v>
      </c>
      <c r="H246" t="s">
        <v>48</v>
      </c>
      <c r="I246" t="s">
        <v>49</v>
      </c>
      <c r="K246" t="s">
        <v>338</v>
      </c>
      <c r="L246">
        <v>1713302214147</v>
      </c>
      <c r="M246">
        <v>20250514</v>
      </c>
      <c r="N246" t="s">
        <v>253</v>
      </c>
      <c r="Q246" t="s">
        <v>58</v>
      </c>
      <c r="R246">
        <v>164995</v>
      </c>
      <c r="S246">
        <v>164995</v>
      </c>
      <c r="T246">
        <v>4199319</v>
      </c>
      <c r="U246">
        <v>6037810725</v>
      </c>
      <c r="V246" t="s">
        <v>317</v>
      </c>
      <c r="W246" t="s">
        <v>56</v>
      </c>
      <c r="X246" t="s">
        <v>258</v>
      </c>
      <c r="Y246" t="s">
        <v>51</v>
      </c>
      <c r="Z246">
        <v>1903</v>
      </c>
      <c r="AH246">
        <v>0</v>
      </c>
      <c r="AI246">
        <v>202505</v>
      </c>
      <c r="AJ246" t="s">
        <v>168</v>
      </c>
      <c r="AK246">
        <v>1</v>
      </c>
      <c r="AL246">
        <v>1</v>
      </c>
      <c r="AM246">
        <v>4199319</v>
      </c>
      <c r="AN246">
        <v>1</v>
      </c>
      <c r="AO246">
        <v>0</v>
      </c>
      <c r="AP246">
        <v>999</v>
      </c>
      <c r="AQ246">
        <v>430</v>
      </c>
      <c r="AR246">
        <v>430999</v>
      </c>
      <c r="AT246">
        <v>1</v>
      </c>
      <c r="AU246" t="s">
        <v>57</v>
      </c>
      <c r="AV246">
        <v>101552.46</v>
      </c>
      <c r="AW246">
        <v>114647.6485</v>
      </c>
      <c r="AX246">
        <v>118167.008</v>
      </c>
      <c r="AY246">
        <v>123559.05899999999</v>
      </c>
      <c r="AZ246">
        <v>128796.368</v>
      </c>
      <c r="BA246">
        <v>130000</v>
      </c>
      <c r="BB246">
        <v>135819.11300000001</v>
      </c>
      <c r="BC246">
        <v>145008.255</v>
      </c>
      <c r="BD246">
        <v>146226.546</v>
      </c>
      <c r="BE246">
        <v>148171.67300000001</v>
      </c>
      <c r="BF246">
        <v>156533.16500000001</v>
      </c>
      <c r="BG246">
        <v>167340.8915</v>
      </c>
      <c r="BH246">
        <v>179808.78</v>
      </c>
      <c r="BI246">
        <v>187222.14799999999</v>
      </c>
      <c r="BJ246">
        <v>206328.26500000001</v>
      </c>
      <c r="BK246">
        <v>220390.6225</v>
      </c>
      <c r="BL246">
        <v>239280.00000000009</v>
      </c>
      <c r="BM246">
        <v>298738.61</v>
      </c>
      <c r="BN246">
        <v>365407.64500000002</v>
      </c>
      <c r="BO246">
        <v>399465.49400000001</v>
      </c>
      <c r="BP246">
        <v>515709.15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 x14ac:dyDescent="0.35">
      <c r="A247">
        <v>348009</v>
      </c>
      <c r="B247" t="s">
        <v>388</v>
      </c>
      <c r="C247" t="s">
        <v>389</v>
      </c>
      <c r="D247" s="1">
        <v>45792</v>
      </c>
      <c r="E247">
        <v>53850</v>
      </c>
      <c r="F247">
        <v>266</v>
      </c>
      <c r="G247" t="s">
        <v>321</v>
      </c>
      <c r="H247" t="s">
        <v>48</v>
      </c>
      <c r="I247" t="s">
        <v>49</v>
      </c>
      <c r="K247" t="s">
        <v>338</v>
      </c>
      <c r="L247">
        <v>2663300000556</v>
      </c>
      <c r="M247">
        <v>20250514</v>
      </c>
      <c r="N247" t="s">
        <v>262</v>
      </c>
      <c r="Q247" t="s">
        <v>58</v>
      </c>
      <c r="R247">
        <v>226958.14</v>
      </c>
      <c r="S247">
        <v>0</v>
      </c>
      <c r="T247">
        <v>1633772</v>
      </c>
      <c r="U247" t="s">
        <v>626</v>
      </c>
      <c r="V247" t="s">
        <v>627</v>
      </c>
      <c r="W247" t="s">
        <v>50</v>
      </c>
      <c r="Y247" t="s">
        <v>51</v>
      </c>
      <c r="Z247">
        <v>1799</v>
      </c>
      <c r="AH247">
        <v>0</v>
      </c>
      <c r="AI247">
        <v>202505</v>
      </c>
      <c r="AJ247" t="s">
        <v>169</v>
      </c>
      <c r="AK247">
        <v>1</v>
      </c>
      <c r="AL247">
        <v>1</v>
      </c>
      <c r="AO247">
        <v>1</v>
      </c>
      <c r="AP247">
        <v>999</v>
      </c>
      <c r="AQ247">
        <v>600</v>
      </c>
      <c r="AR247">
        <v>600999</v>
      </c>
      <c r="AS247" t="s">
        <v>52</v>
      </c>
      <c r="AU247" t="s">
        <v>52</v>
      </c>
      <c r="AV247">
        <v>107500</v>
      </c>
      <c r="AW247">
        <v>109625</v>
      </c>
      <c r="AX247">
        <v>110000</v>
      </c>
      <c r="AY247">
        <v>112750</v>
      </c>
      <c r="AZ247">
        <v>120738</v>
      </c>
      <c r="BA247">
        <v>129508.75</v>
      </c>
      <c r="BB247">
        <v>130380</v>
      </c>
      <c r="BC247">
        <v>133610</v>
      </c>
      <c r="BD247">
        <v>133800</v>
      </c>
      <c r="BE247">
        <v>141080</v>
      </c>
      <c r="BF247">
        <v>147500</v>
      </c>
      <c r="BG247">
        <v>155382.03049999999</v>
      </c>
      <c r="BH247">
        <v>165585.11799999999</v>
      </c>
      <c r="BI247">
        <v>166416.67000000001</v>
      </c>
      <c r="BJ247">
        <v>166416.67000000001</v>
      </c>
      <c r="BK247">
        <v>173582.95749999999</v>
      </c>
      <c r="BL247">
        <v>190388.68799999999</v>
      </c>
      <c r="BM247">
        <v>212150</v>
      </c>
      <c r="BN247">
        <v>283513.16900000011</v>
      </c>
      <c r="BO247">
        <v>415377.23</v>
      </c>
      <c r="BP247">
        <v>415377.23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0</v>
      </c>
      <c r="CJ247">
        <v>0</v>
      </c>
      <c r="CK247">
        <v>0</v>
      </c>
    </row>
    <row r="248" spans="1:89" x14ac:dyDescent="0.35">
      <c r="A248">
        <v>348007</v>
      </c>
      <c r="B248" t="s">
        <v>388</v>
      </c>
      <c r="C248" t="s">
        <v>389</v>
      </c>
      <c r="D248" s="1">
        <v>45792</v>
      </c>
      <c r="E248">
        <v>53850</v>
      </c>
      <c r="F248">
        <v>129</v>
      </c>
      <c r="G248" t="s">
        <v>283</v>
      </c>
      <c r="H248" t="s">
        <v>48</v>
      </c>
      <c r="I248" t="s">
        <v>49</v>
      </c>
      <c r="K248">
        <v>202505147980062</v>
      </c>
      <c r="L248">
        <v>1293300003071</v>
      </c>
      <c r="M248">
        <v>20250514</v>
      </c>
      <c r="N248" t="s">
        <v>417</v>
      </c>
      <c r="Q248" t="s">
        <v>58</v>
      </c>
      <c r="R248">
        <v>185000</v>
      </c>
      <c r="S248">
        <v>0</v>
      </c>
      <c r="T248">
        <v>4400202</v>
      </c>
      <c r="U248" t="s">
        <v>628</v>
      </c>
      <c r="V248" t="s">
        <v>629</v>
      </c>
      <c r="W248" t="s">
        <v>50</v>
      </c>
      <c r="Y248" t="s">
        <v>51</v>
      </c>
      <c r="Z248">
        <v>1355</v>
      </c>
      <c r="AH248">
        <v>0</v>
      </c>
      <c r="AI248">
        <v>202505</v>
      </c>
      <c r="AJ248" t="s">
        <v>169</v>
      </c>
      <c r="AK248">
        <v>1</v>
      </c>
      <c r="AL248">
        <v>1</v>
      </c>
      <c r="AO248">
        <v>0</v>
      </c>
      <c r="AP248">
        <v>999</v>
      </c>
      <c r="AQ248">
        <v>600</v>
      </c>
      <c r="AR248">
        <v>600999</v>
      </c>
      <c r="AS248" t="s">
        <v>52</v>
      </c>
      <c r="AU248" t="s">
        <v>52</v>
      </c>
      <c r="AV248">
        <v>107500</v>
      </c>
      <c r="AW248">
        <v>109625</v>
      </c>
      <c r="AX248">
        <v>110000</v>
      </c>
      <c r="AY248">
        <v>112750</v>
      </c>
      <c r="AZ248">
        <v>120738</v>
      </c>
      <c r="BA248">
        <v>129508.75</v>
      </c>
      <c r="BB248">
        <v>130380</v>
      </c>
      <c r="BC248">
        <v>133610</v>
      </c>
      <c r="BD248">
        <v>133800</v>
      </c>
      <c r="BE248">
        <v>141080</v>
      </c>
      <c r="BF248">
        <v>147500</v>
      </c>
      <c r="BG248">
        <v>155382.03049999999</v>
      </c>
      <c r="BH248">
        <v>165585.11799999999</v>
      </c>
      <c r="BI248">
        <v>166416.67000000001</v>
      </c>
      <c r="BJ248">
        <v>166416.67000000001</v>
      </c>
      <c r="BK248">
        <v>173582.95749999999</v>
      </c>
      <c r="BL248">
        <v>190388.68799999999</v>
      </c>
      <c r="BM248">
        <v>212150</v>
      </c>
      <c r="BN248">
        <v>283513.16900000011</v>
      </c>
      <c r="BO248">
        <v>415377.23</v>
      </c>
      <c r="BP248">
        <v>415377.23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 x14ac:dyDescent="0.35">
      <c r="A249">
        <v>348005</v>
      </c>
      <c r="B249" t="s">
        <v>388</v>
      </c>
      <c r="C249" t="s">
        <v>389</v>
      </c>
      <c r="D249" s="1">
        <v>45792</v>
      </c>
      <c r="E249">
        <v>53850</v>
      </c>
      <c r="F249">
        <v>284</v>
      </c>
      <c r="G249" t="s">
        <v>293</v>
      </c>
      <c r="H249" t="s">
        <v>48</v>
      </c>
      <c r="I249" t="s">
        <v>49</v>
      </c>
      <c r="K249">
        <v>202505147980387</v>
      </c>
      <c r="L249">
        <v>2843300000683</v>
      </c>
      <c r="M249">
        <v>20250514</v>
      </c>
      <c r="N249" t="s">
        <v>400</v>
      </c>
      <c r="Q249" t="s">
        <v>58</v>
      </c>
      <c r="R249">
        <v>110000</v>
      </c>
      <c r="S249">
        <v>0</v>
      </c>
      <c r="T249">
        <v>1669888</v>
      </c>
      <c r="U249" t="s">
        <v>630</v>
      </c>
      <c r="V249" t="s">
        <v>631</v>
      </c>
      <c r="W249" t="s">
        <v>50</v>
      </c>
      <c r="Y249" t="s">
        <v>51</v>
      </c>
      <c r="Z249">
        <v>1858</v>
      </c>
      <c r="AH249">
        <v>0</v>
      </c>
      <c r="AI249">
        <v>202505</v>
      </c>
      <c r="AJ249" t="s">
        <v>54</v>
      </c>
      <c r="AK249">
        <v>0</v>
      </c>
      <c r="AL249">
        <v>1</v>
      </c>
      <c r="AO249">
        <v>0</v>
      </c>
      <c r="AP249">
        <v>999</v>
      </c>
      <c r="AQ249">
        <v>600</v>
      </c>
      <c r="AR249">
        <v>600999</v>
      </c>
      <c r="AS249" t="s">
        <v>52</v>
      </c>
      <c r="AU249" t="s">
        <v>52</v>
      </c>
      <c r="AV249">
        <v>107500</v>
      </c>
      <c r="AW249">
        <v>109625</v>
      </c>
      <c r="AX249">
        <v>110000</v>
      </c>
      <c r="AY249">
        <v>112750</v>
      </c>
      <c r="AZ249">
        <v>120738</v>
      </c>
      <c r="BA249">
        <v>129508.75</v>
      </c>
      <c r="BB249">
        <v>130380</v>
      </c>
      <c r="BC249">
        <v>133610</v>
      </c>
      <c r="BD249">
        <v>133800</v>
      </c>
      <c r="BE249">
        <v>141080</v>
      </c>
      <c r="BF249">
        <v>147500</v>
      </c>
      <c r="BG249">
        <v>155382.03049999999</v>
      </c>
      <c r="BH249">
        <v>165585.11799999999</v>
      </c>
      <c r="BI249">
        <v>166416.67000000001</v>
      </c>
      <c r="BJ249">
        <v>166416.67000000001</v>
      </c>
      <c r="BK249">
        <v>173582.95749999999</v>
      </c>
      <c r="BL249">
        <v>190388.68799999999</v>
      </c>
      <c r="BM249">
        <v>212150</v>
      </c>
      <c r="BN249">
        <v>283513.16900000011</v>
      </c>
      <c r="BO249">
        <v>415377.23</v>
      </c>
      <c r="BP249">
        <v>415377.23</v>
      </c>
      <c r="BQ249">
        <v>1</v>
      </c>
      <c r="BR249">
        <v>1</v>
      </c>
      <c r="BS249">
        <v>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 x14ac:dyDescent="0.35">
      <c r="A250">
        <v>347996</v>
      </c>
      <c r="B250" t="s">
        <v>388</v>
      </c>
      <c r="C250" t="s">
        <v>389</v>
      </c>
      <c r="D250" s="1">
        <v>45792</v>
      </c>
      <c r="E250">
        <v>53850</v>
      </c>
      <c r="F250">
        <v>116</v>
      </c>
      <c r="G250" t="s">
        <v>259</v>
      </c>
      <c r="H250" t="s">
        <v>48</v>
      </c>
      <c r="I250" t="s">
        <v>49</v>
      </c>
      <c r="K250">
        <v>202505147980033</v>
      </c>
      <c r="L250">
        <v>1163307620997</v>
      </c>
      <c r="M250">
        <v>20250514</v>
      </c>
      <c r="N250" t="s">
        <v>400</v>
      </c>
      <c r="Q250" t="s">
        <v>58</v>
      </c>
      <c r="R250">
        <v>150000</v>
      </c>
      <c r="S250">
        <v>0</v>
      </c>
      <c r="T250">
        <v>4925190</v>
      </c>
      <c r="U250" t="s">
        <v>632</v>
      </c>
      <c r="V250" t="s">
        <v>633</v>
      </c>
      <c r="W250" t="s">
        <v>50</v>
      </c>
      <c r="Y250" t="s">
        <v>51</v>
      </c>
      <c r="Z250">
        <v>808</v>
      </c>
      <c r="AH250">
        <v>0</v>
      </c>
      <c r="AI250">
        <v>202505</v>
      </c>
      <c r="AJ250" t="s">
        <v>168</v>
      </c>
      <c r="AK250">
        <v>1</v>
      </c>
      <c r="AL250">
        <v>1</v>
      </c>
      <c r="AO250">
        <v>0</v>
      </c>
      <c r="AP250">
        <v>999</v>
      </c>
      <c r="AQ250">
        <v>600</v>
      </c>
      <c r="AR250">
        <v>600999</v>
      </c>
      <c r="AS250" t="s">
        <v>52</v>
      </c>
      <c r="AU250" t="s">
        <v>52</v>
      </c>
      <c r="AV250">
        <v>107500</v>
      </c>
      <c r="AW250">
        <v>109625</v>
      </c>
      <c r="AX250">
        <v>110000</v>
      </c>
      <c r="AY250">
        <v>112750</v>
      </c>
      <c r="AZ250">
        <v>120738</v>
      </c>
      <c r="BA250">
        <v>129508.75</v>
      </c>
      <c r="BB250">
        <v>130380</v>
      </c>
      <c r="BC250">
        <v>133610</v>
      </c>
      <c r="BD250">
        <v>133800</v>
      </c>
      <c r="BE250">
        <v>141080</v>
      </c>
      <c r="BF250">
        <v>147500</v>
      </c>
      <c r="BG250">
        <v>155382.03049999999</v>
      </c>
      <c r="BH250">
        <v>165585.11799999999</v>
      </c>
      <c r="BI250">
        <v>166416.67000000001</v>
      </c>
      <c r="BJ250">
        <v>166416.67000000001</v>
      </c>
      <c r="BK250">
        <v>173582.95749999999</v>
      </c>
      <c r="BL250">
        <v>190388.68799999999</v>
      </c>
      <c r="BM250">
        <v>212150</v>
      </c>
      <c r="BN250">
        <v>283513.16900000011</v>
      </c>
      <c r="BO250">
        <v>415377.23</v>
      </c>
      <c r="BP250">
        <v>415377.23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 x14ac:dyDescent="0.35">
      <c r="A251">
        <v>347994</v>
      </c>
      <c r="B251" t="s">
        <v>388</v>
      </c>
      <c r="C251" t="s">
        <v>389</v>
      </c>
      <c r="D251" s="1">
        <v>45792</v>
      </c>
      <c r="E251">
        <v>53850</v>
      </c>
      <c r="F251">
        <v>171</v>
      </c>
      <c r="G251" t="s">
        <v>70</v>
      </c>
      <c r="H251" t="s">
        <v>48</v>
      </c>
      <c r="I251" t="s">
        <v>49</v>
      </c>
      <c r="K251" t="s">
        <v>338</v>
      </c>
      <c r="L251">
        <v>1713305728950</v>
      </c>
      <c r="M251">
        <v>20250514</v>
      </c>
      <c r="N251" t="s">
        <v>253</v>
      </c>
      <c r="Q251" t="s">
        <v>58</v>
      </c>
      <c r="R251">
        <v>386588.7</v>
      </c>
      <c r="S251">
        <v>386588.7</v>
      </c>
      <c r="T251">
        <v>572895</v>
      </c>
      <c r="U251">
        <v>4161600723</v>
      </c>
      <c r="V251" t="s">
        <v>257</v>
      </c>
      <c r="W251" t="s">
        <v>56</v>
      </c>
      <c r="X251" t="s">
        <v>258</v>
      </c>
      <c r="Y251" t="s">
        <v>51</v>
      </c>
      <c r="Z251">
        <v>1903</v>
      </c>
      <c r="AH251">
        <v>0</v>
      </c>
      <c r="AI251">
        <v>202505</v>
      </c>
      <c r="AJ251" t="s">
        <v>168</v>
      </c>
      <c r="AK251">
        <v>1</v>
      </c>
      <c r="AL251">
        <v>1</v>
      </c>
      <c r="AM251">
        <v>572895</v>
      </c>
      <c r="AN251">
        <v>1</v>
      </c>
      <c r="AO251">
        <v>0</v>
      </c>
      <c r="AP251">
        <v>999</v>
      </c>
      <c r="AQ251">
        <v>430</v>
      </c>
      <c r="AR251">
        <v>430999</v>
      </c>
      <c r="AT251">
        <v>1</v>
      </c>
      <c r="AU251" t="s">
        <v>57</v>
      </c>
      <c r="AV251">
        <v>101552.46</v>
      </c>
      <c r="AW251">
        <v>114647.6485</v>
      </c>
      <c r="AX251">
        <v>118167.008</v>
      </c>
      <c r="AY251">
        <v>123559.05899999999</v>
      </c>
      <c r="AZ251">
        <v>128796.368</v>
      </c>
      <c r="BA251">
        <v>130000</v>
      </c>
      <c r="BB251">
        <v>135819.11300000001</v>
      </c>
      <c r="BC251">
        <v>145008.255</v>
      </c>
      <c r="BD251">
        <v>146226.546</v>
      </c>
      <c r="BE251">
        <v>148171.67300000001</v>
      </c>
      <c r="BF251">
        <v>156533.16500000001</v>
      </c>
      <c r="BG251">
        <v>167340.8915</v>
      </c>
      <c r="BH251">
        <v>179808.78</v>
      </c>
      <c r="BI251">
        <v>187222.14799999999</v>
      </c>
      <c r="BJ251">
        <v>206328.26500000001</v>
      </c>
      <c r="BK251">
        <v>220390.6225</v>
      </c>
      <c r="BL251">
        <v>239280.00000000009</v>
      </c>
      <c r="BM251">
        <v>298738.61</v>
      </c>
      <c r="BN251">
        <v>365407.64500000002</v>
      </c>
      <c r="BO251">
        <v>399465.49400000001</v>
      </c>
      <c r="BP251">
        <v>515709.15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0</v>
      </c>
      <c r="CK251">
        <v>0</v>
      </c>
    </row>
    <row r="252" spans="1:89" x14ac:dyDescent="0.35">
      <c r="A252">
        <v>347986</v>
      </c>
      <c r="B252" t="s">
        <v>388</v>
      </c>
      <c r="C252" t="s">
        <v>389</v>
      </c>
      <c r="D252" s="1">
        <v>45791</v>
      </c>
      <c r="E252">
        <v>53850</v>
      </c>
      <c r="F252">
        <v>171</v>
      </c>
      <c r="G252" t="s">
        <v>70</v>
      </c>
      <c r="H252" t="s">
        <v>48</v>
      </c>
      <c r="I252" t="s">
        <v>49</v>
      </c>
      <c r="K252" t="s">
        <v>339</v>
      </c>
      <c r="L252">
        <v>1713305728950</v>
      </c>
      <c r="M252">
        <v>20250513</v>
      </c>
      <c r="N252" t="s">
        <v>253</v>
      </c>
      <c r="Q252" t="s">
        <v>58</v>
      </c>
      <c r="R252">
        <v>201900</v>
      </c>
      <c r="S252">
        <v>201900</v>
      </c>
      <c r="T252">
        <v>572895</v>
      </c>
      <c r="U252">
        <v>4161600723</v>
      </c>
      <c r="V252" t="s">
        <v>257</v>
      </c>
      <c r="W252" t="s">
        <v>56</v>
      </c>
      <c r="X252" t="s">
        <v>258</v>
      </c>
      <c r="Y252" t="s">
        <v>51</v>
      </c>
      <c r="Z252">
        <v>1903</v>
      </c>
      <c r="AH252">
        <v>0</v>
      </c>
      <c r="AI252">
        <v>202505</v>
      </c>
      <c r="AJ252" t="s">
        <v>168</v>
      </c>
      <c r="AK252">
        <v>1</v>
      </c>
      <c r="AL252">
        <v>1</v>
      </c>
      <c r="AM252">
        <v>572895</v>
      </c>
      <c r="AN252">
        <v>1</v>
      </c>
      <c r="AO252">
        <v>0</v>
      </c>
      <c r="AP252">
        <v>999</v>
      </c>
      <c r="AQ252">
        <v>430</v>
      </c>
      <c r="AR252">
        <v>430999</v>
      </c>
      <c r="AT252">
        <v>1</v>
      </c>
      <c r="AU252" t="s">
        <v>57</v>
      </c>
      <c r="AV252">
        <v>101552.46</v>
      </c>
      <c r="AW252">
        <v>114647.6485</v>
      </c>
      <c r="AX252">
        <v>118167.008</v>
      </c>
      <c r="AY252">
        <v>123559.05899999999</v>
      </c>
      <c r="AZ252">
        <v>128796.368</v>
      </c>
      <c r="BA252">
        <v>130000</v>
      </c>
      <c r="BB252">
        <v>135819.11300000001</v>
      </c>
      <c r="BC252">
        <v>145008.255</v>
      </c>
      <c r="BD252">
        <v>146226.546</v>
      </c>
      <c r="BE252">
        <v>148171.67300000001</v>
      </c>
      <c r="BF252">
        <v>156533.16500000001</v>
      </c>
      <c r="BG252">
        <v>167340.8915</v>
      </c>
      <c r="BH252">
        <v>179808.78</v>
      </c>
      <c r="BI252">
        <v>187222.14799999999</v>
      </c>
      <c r="BJ252">
        <v>206328.26500000001</v>
      </c>
      <c r="BK252">
        <v>220390.6225</v>
      </c>
      <c r="BL252">
        <v>239280.00000000009</v>
      </c>
      <c r="BM252">
        <v>298738.61</v>
      </c>
      <c r="BN252">
        <v>365407.64500000002</v>
      </c>
      <c r="BO252">
        <v>399465.49400000001</v>
      </c>
      <c r="BP252">
        <v>515709.15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 x14ac:dyDescent="0.35">
      <c r="A253">
        <v>347976</v>
      </c>
      <c r="B253" t="s">
        <v>388</v>
      </c>
      <c r="C253" t="s">
        <v>389</v>
      </c>
      <c r="D253" s="1">
        <v>45791</v>
      </c>
      <c r="E253">
        <v>53850</v>
      </c>
      <c r="F253">
        <v>196</v>
      </c>
      <c r="G253" t="s">
        <v>305</v>
      </c>
      <c r="H253" t="s">
        <v>48</v>
      </c>
      <c r="I253" t="s">
        <v>49</v>
      </c>
      <c r="K253">
        <v>202505137977147</v>
      </c>
      <c r="L253">
        <v>1963302351731</v>
      </c>
      <c r="M253">
        <v>20250513</v>
      </c>
      <c r="N253" t="s">
        <v>392</v>
      </c>
      <c r="Q253" t="s">
        <v>58</v>
      </c>
      <c r="R253">
        <v>200000</v>
      </c>
      <c r="S253">
        <v>0</v>
      </c>
      <c r="T253">
        <v>4284661</v>
      </c>
      <c r="U253" t="s">
        <v>634</v>
      </c>
      <c r="V253" t="s">
        <v>635</v>
      </c>
      <c r="W253" t="s">
        <v>66</v>
      </c>
      <c r="X253" t="s">
        <v>175</v>
      </c>
      <c r="Y253" t="s">
        <v>51</v>
      </c>
      <c r="Z253">
        <v>1945</v>
      </c>
      <c r="AH253">
        <v>0</v>
      </c>
      <c r="AI253">
        <v>202505</v>
      </c>
      <c r="AJ253" t="s">
        <v>168</v>
      </c>
      <c r="AK253">
        <v>1</v>
      </c>
      <c r="AL253">
        <v>1</v>
      </c>
      <c r="AO253">
        <v>0</v>
      </c>
      <c r="AP253">
        <v>999</v>
      </c>
      <c r="AQ253">
        <v>615</v>
      </c>
      <c r="AR253">
        <v>615999</v>
      </c>
      <c r="AT253">
        <v>1</v>
      </c>
      <c r="AU253" t="s">
        <v>61</v>
      </c>
      <c r="AV253">
        <v>85050</v>
      </c>
      <c r="AW253">
        <v>89030</v>
      </c>
      <c r="AX253">
        <v>91669.203999999998</v>
      </c>
      <c r="AY253">
        <v>93087.394</v>
      </c>
      <c r="AZ253">
        <v>94164.18</v>
      </c>
      <c r="BA253">
        <v>96798.05</v>
      </c>
      <c r="BB253">
        <v>100000</v>
      </c>
      <c r="BC253">
        <v>100000</v>
      </c>
      <c r="BD253">
        <v>101589.726</v>
      </c>
      <c r="BE253">
        <v>106295.712</v>
      </c>
      <c r="BF253">
        <v>110193.28</v>
      </c>
      <c r="BG253">
        <v>119645.424</v>
      </c>
      <c r="BH253">
        <v>127698</v>
      </c>
      <c r="BI253">
        <v>137713.79399999999</v>
      </c>
      <c r="BJ253">
        <v>139806</v>
      </c>
      <c r="BK253">
        <v>150000</v>
      </c>
      <c r="BL253">
        <v>161820.22</v>
      </c>
      <c r="BM253">
        <v>190199.99999999991</v>
      </c>
      <c r="BN253">
        <v>213800</v>
      </c>
      <c r="BO253">
        <v>259913.9999999998</v>
      </c>
      <c r="BP253">
        <v>440000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0</v>
      </c>
      <c r="CJ253">
        <v>0</v>
      </c>
      <c r="CK253">
        <v>0</v>
      </c>
    </row>
    <row r="254" spans="1:89" x14ac:dyDescent="0.35">
      <c r="A254">
        <v>347967</v>
      </c>
      <c r="B254" t="s">
        <v>388</v>
      </c>
      <c r="C254" t="s">
        <v>389</v>
      </c>
      <c r="D254" s="1">
        <v>45791</v>
      </c>
      <c r="E254">
        <v>53850</v>
      </c>
      <c r="F254">
        <v>286</v>
      </c>
      <c r="G254" t="s">
        <v>282</v>
      </c>
      <c r="H254" t="s">
        <v>48</v>
      </c>
      <c r="I254" t="s">
        <v>49</v>
      </c>
      <c r="K254">
        <v>202505137977259</v>
      </c>
      <c r="L254">
        <v>2863300013639</v>
      </c>
      <c r="M254">
        <v>20250513</v>
      </c>
      <c r="N254" t="s">
        <v>417</v>
      </c>
      <c r="Q254" t="s">
        <v>58</v>
      </c>
      <c r="R254">
        <v>331000</v>
      </c>
      <c r="S254">
        <v>0</v>
      </c>
      <c r="T254">
        <v>3730622</v>
      </c>
      <c r="U254">
        <v>2540520695</v>
      </c>
      <c r="V254" t="s">
        <v>636</v>
      </c>
      <c r="W254" t="s">
        <v>637</v>
      </c>
      <c r="X254" t="s">
        <v>638</v>
      </c>
      <c r="Y254" t="s">
        <v>51</v>
      </c>
      <c r="Z254">
        <v>1877</v>
      </c>
      <c r="AH254">
        <v>0</v>
      </c>
      <c r="AI254">
        <v>202505</v>
      </c>
      <c r="AJ254" t="s">
        <v>63</v>
      </c>
      <c r="AK254">
        <v>0</v>
      </c>
      <c r="AL254">
        <v>1</v>
      </c>
      <c r="AO254">
        <v>0</v>
      </c>
      <c r="AP254">
        <v>999</v>
      </c>
      <c r="AQ254">
        <v>290</v>
      </c>
      <c r="AR254">
        <v>290999</v>
      </c>
      <c r="AT254">
        <v>1</v>
      </c>
      <c r="AU254" t="s">
        <v>639</v>
      </c>
      <c r="AV254">
        <v>331000</v>
      </c>
      <c r="AW254">
        <v>331000</v>
      </c>
      <c r="AX254">
        <v>331000</v>
      </c>
      <c r="AY254">
        <v>331000</v>
      </c>
      <c r="AZ254">
        <v>331000</v>
      </c>
      <c r="BA254">
        <v>331000</v>
      </c>
      <c r="BB254">
        <v>331000</v>
      </c>
      <c r="BC254">
        <v>331000</v>
      </c>
      <c r="BD254">
        <v>331000</v>
      </c>
      <c r="BE254">
        <v>331000</v>
      </c>
      <c r="BF254">
        <v>331000</v>
      </c>
      <c r="BG254">
        <v>331000</v>
      </c>
      <c r="BH254">
        <v>331000</v>
      </c>
      <c r="BI254">
        <v>331000</v>
      </c>
      <c r="BJ254">
        <v>331000</v>
      </c>
      <c r="BK254">
        <v>331000</v>
      </c>
      <c r="BL254">
        <v>331000</v>
      </c>
      <c r="BM254">
        <v>331000</v>
      </c>
      <c r="BN254">
        <v>331000</v>
      </c>
      <c r="BO254">
        <v>331000</v>
      </c>
      <c r="BP254">
        <v>331000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</row>
    <row r="255" spans="1:89" x14ac:dyDescent="0.35">
      <c r="A255">
        <v>347957</v>
      </c>
      <c r="B255" t="s">
        <v>388</v>
      </c>
      <c r="C255" t="s">
        <v>389</v>
      </c>
      <c r="D255" s="1">
        <v>45791</v>
      </c>
      <c r="E255">
        <v>53850</v>
      </c>
      <c r="F255">
        <v>108</v>
      </c>
      <c r="G255" t="s">
        <v>89</v>
      </c>
      <c r="H255" t="s">
        <v>48</v>
      </c>
      <c r="I255" t="s">
        <v>49</v>
      </c>
      <c r="K255" t="s">
        <v>339</v>
      </c>
      <c r="L255">
        <v>1083300011180</v>
      </c>
      <c r="M255">
        <v>20250513</v>
      </c>
      <c r="N255" t="s">
        <v>262</v>
      </c>
      <c r="Q255" t="s">
        <v>58</v>
      </c>
      <c r="R255">
        <v>133274.48000000001</v>
      </c>
      <c r="S255">
        <v>0</v>
      </c>
      <c r="T255">
        <v>1118</v>
      </c>
      <c r="U255">
        <v>3246700722</v>
      </c>
      <c r="V255" t="s">
        <v>416</v>
      </c>
      <c r="W255" t="s">
        <v>56</v>
      </c>
      <c r="X255" t="s">
        <v>411</v>
      </c>
      <c r="Y255" t="s">
        <v>51</v>
      </c>
      <c r="Z255">
        <v>1058</v>
      </c>
      <c r="AH255">
        <v>0</v>
      </c>
      <c r="AI255">
        <v>202505</v>
      </c>
      <c r="AJ255" t="s">
        <v>54</v>
      </c>
      <c r="AK255">
        <v>0</v>
      </c>
      <c r="AL255">
        <v>1</v>
      </c>
      <c r="AO255">
        <v>1</v>
      </c>
      <c r="AP255">
        <v>999</v>
      </c>
      <c r="AQ255">
        <v>430</v>
      </c>
      <c r="AR255">
        <v>430999</v>
      </c>
      <c r="AT255">
        <v>1</v>
      </c>
      <c r="AU255" t="s">
        <v>57</v>
      </c>
      <c r="AV255">
        <v>101552.46</v>
      </c>
      <c r="AW255">
        <v>114647.6485</v>
      </c>
      <c r="AX255">
        <v>118167.008</v>
      </c>
      <c r="AY255">
        <v>123559.05899999999</v>
      </c>
      <c r="AZ255">
        <v>128796.368</v>
      </c>
      <c r="BA255">
        <v>130000</v>
      </c>
      <c r="BB255">
        <v>135819.11300000001</v>
      </c>
      <c r="BC255">
        <v>145008.255</v>
      </c>
      <c r="BD255">
        <v>146226.546</v>
      </c>
      <c r="BE255">
        <v>148171.67300000001</v>
      </c>
      <c r="BF255">
        <v>156533.16500000001</v>
      </c>
      <c r="BG255">
        <v>167340.8915</v>
      </c>
      <c r="BH255">
        <v>179808.78</v>
      </c>
      <c r="BI255">
        <v>187222.14799999999</v>
      </c>
      <c r="BJ255">
        <v>206328.26500000001</v>
      </c>
      <c r="BK255">
        <v>220390.6225</v>
      </c>
      <c r="BL255">
        <v>239280.00000000009</v>
      </c>
      <c r="BM255">
        <v>298738.61</v>
      </c>
      <c r="BN255">
        <v>365407.64500000002</v>
      </c>
      <c r="BO255">
        <v>399465.49400000001</v>
      </c>
      <c r="BP255">
        <v>515709.15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 x14ac:dyDescent="0.35">
      <c r="A256">
        <v>347952</v>
      </c>
      <c r="B256" t="s">
        <v>388</v>
      </c>
      <c r="C256" t="s">
        <v>389</v>
      </c>
      <c r="D256" s="1">
        <v>45791</v>
      </c>
      <c r="E256">
        <v>53850</v>
      </c>
      <c r="F256">
        <v>136</v>
      </c>
      <c r="G256" t="s">
        <v>69</v>
      </c>
      <c r="H256" t="s">
        <v>48</v>
      </c>
      <c r="I256" t="s">
        <v>49</v>
      </c>
      <c r="K256">
        <v>202505137976951</v>
      </c>
      <c r="L256">
        <v>1363300004078</v>
      </c>
      <c r="M256">
        <v>20250513</v>
      </c>
      <c r="N256" t="s">
        <v>265</v>
      </c>
      <c r="Q256" t="s">
        <v>58</v>
      </c>
      <c r="R256">
        <v>143030</v>
      </c>
      <c r="S256">
        <v>143030</v>
      </c>
      <c r="T256">
        <v>4952440</v>
      </c>
      <c r="U256" t="s">
        <v>340</v>
      </c>
      <c r="V256" t="s">
        <v>341</v>
      </c>
      <c r="W256" t="s">
        <v>66</v>
      </c>
      <c r="X256" t="s">
        <v>315</v>
      </c>
      <c r="Y256" t="s">
        <v>51</v>
      </c>
      <c r="Z256">
        <v>1552</v>
      </c>
      <c r="AH256">
        <v>0</v>
      </c>
      <c r="AI256">
        <v>202505</v>
      </c>
      <c r="AJ256" t="s">
        <v>63</v>
      </c>
      <c r="AK256">
        <v>0</v>
      </c>
      <c r="AL256">
        <v>1</v>
      </c>
      <c r="AM256">
        <v>4952440</v>
      </c>
      <c r="AN256">
        <v>1</v>
      </c>
      <c r="AO256">
        <v>0</v>
      </c>
      <c r="AP256">
        <v>999</v>
      </c>
      <c r="AQ256">
        <v>615</v>
      </c>
      <c r="AR256">
        <v>615999</v>
      </c>
      <c r="AT256">
        <v>1</v>
      </c>
      <c r="AU256" t="s">
        <v>61</v>
      </c>
      <c r="AV256">
        <v>85050</v>
      </c>
      <c r="AW256">
        <v>89030</v>
      </c>
      <c r="AX256">
        <v>91669.203999999998</v>
      </c>
      <c r="AY256">
        <v>93087.394</v>
      </c>
      <c r="AZ256">
        <v>94164.18</v>
      </c>
      <c r="BA256">
        <v>96798.05</v>
      </c>
      <c r="BB256">
        <v>100000</v>
      </c>
      <c r="BC256">
        <v>100000</v>
      </c>
      <c r="BD256">
        <v>101589.726</v>
      </c>
      <c r="BE256">
        <v>106295.712</v>
      </c>
      <c r="BF256">
        <v>110193.28</v>
      </c>
      <c r="BG256">
        <v>119645.424</v>
      </c>
      <c r="BH256">
        <v>127698</v>
      </c>
      <c r="BI256">
        <v>137713.79399999999</v>
      </c>
      <c r="BJ256">
        <v>139806</v>
      </c>
      <c r="BK256">
        <v>150000</v>
      </c>
      <c r="BL256">
        <v>161820.22</v>
      </c>
      <c r="BM256">
        <v>190199.99999999991</v>
      </c>
      <c r="BN256">
        <v>213800</v>
      </c>
      <c r="BO256">
        <v>259913.9999999998</v>
      </c>
      <c r="BP256">
        <v>440000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 x14ac:dyDescent="0.35">
      <c r="A257">
        <v>347937</v>
      </c>
      <c r="B257" t="s">
        <v>388</v>
      </c>
      <c r="C257" t="s">
        <v>389</v>
      </c>
      <c r="D257" s="1">
        <v>45790</v>
      </c>
      <c r="E257">
        <v>53850</v>
      </c>
      <c r="F257">
        <v>104</v>
      </c>
      <c r="G257" t="s">
        <v>53</v>
      </c>
      <c r="H257" t="s">
        <v>48</v>
      </c>
      <c r="I257" t="s">
        <v>49</v>
      </c>
      <c r="K257" t="s">
        <v>342</v>
      </c>
      <c r="L257">
        <v>1043304173550</v>
      </c>
      <c r="M257">
        <v>20250512</v>
      </c>
      <c r="N257" t="s">
        <v>262</v>
      </c>
      <c r="Q257" t="s">
        <v>58</v>
      </c>
      <c r="R257">
        <v>108176.82</v>
      </c>
      <c r="S257">
        <v>9200</v>
      </c>
      <c r="T257">
        <v>417355</v>
      </c>
      <c r="U257">
        <v>374690725</v>
      </c>
      <c r="V257" t="s">
        <v>397</v>
      </c>
      <c r="W257" t="s">
        <v>56</v>
      </c>
      <c r="X257" t="s">
        <v>78</v>
      </c>
      <c r="Y257" t="s">
        <v>51</v>
      </c>
      <c r="Z257">
        <v>1919</v>
      </c>
      <c r="AH257">
        <v>0</v>
      </c>
      <c r="AI257">
        <v>202505</v>
      </c>
      <c r="AJ257" t="s">
        <v>54</v>
      </c>
      <c r="AK257">
        <v>0</v>
      </c>
      <c r="AL257">
        <v>1</v>
      </c>
      <c r="AM257">
        <v>417355</v>
      </c>
      <c r="AN257">
        <v>1</v>
      </c>
      <c r="AO257">
        <v>1</v>
      </c>
      <c r="AP257">
        <v>464</v>
      </c>
      <c r="AQ257">
        <v>430</v>
      </c>
      <c r="AR257">
        <v>430464</v>
      </c>
      <c r="AS257" t="s">
        <v>79</v>
      </c>
      <c r="AU257" t="s">
        <v>79</v>
      </c>
      <c r="AV257">
        <v>76382.789999999994</v>
      </c>
      <c r="AW257">
        <v>79891.56</v>
      </c>
      <c r="AX257">
        <v>79937.08</v>
      </c>
      <c r="AY257">
        <v>88865.89</v>
      </c>
      <c r="AZ257">
        <v>94634.78</v>
      </c>
      <c r="BA257">
        <v>97229.53</v>
      </c>
      <c r="BB257">
        <v>98360.01</v>
      </c>
      <c r="BC257">
        <v>100000</v>
      </c>
      <c r="BD257">
        <v>104738.68</v>
      </c>
      <c r="BE257">
        <v>108176.82</v>
      </c>
      <c r="BF257">
        <v>110891.36</v>
      </c>
      <c r="BG257">
        <v>115427.47</v>
      </c>
      <c r="BH257">
        <v>118009.65</v>
      </c>
      <c r="BI257">
        <v>136718.03</v>
      </c>
      <c r="BJ257">
        <v>148758.49</v>
      </c>
      <c r="BK257">
        <v>182944.14</v>
      </c>
      <c r="BL257">
        <v>217448.27</v>
      </c>
      <c r="BM257">
        <v>222704.65</v>
      </c>
      <c r="BN257">
        <v>225130.1</v>
      </c>
      <c r="BO257">
        <v>259946.2</v>
      </c>
      <c r="BP257">
        <v>270019.89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 x14ac:dyDescent="0.35">
      <c r="A258">
        <v>347936</v>
      </c>
      <c r="B258" t="s">
        <v>388</v>
      </c>
      <c r="C258" t="s">
        <v>389</v>
      </c>
      <c r="D258" s="1">
        <v>45790</v>
      </c>
      <c r="E258">
        <v>53850</v>
      </c>
      <c r="F258">
        <v>102</v>
      </c>
      <c r="G258" t="s">
        <v>55</v>
      </c>
      <c r="H258" t="s">
        <v>48</v>
      </c>
      <c r="I258" t="s">
        <v>49</v>
      </c>
      <c r="K258" t="s">
        <v>342</v>
      </c>
      <c r="L258">
        <v>1023300660520</v>
      </c>
      <c r="M258">
        <v>20250512</v>
      </c>
      <c r="N258" t="s">
        <v>262</v>
      </c>
      <c r="Q258" t="s">
        <v>58</v>
      </c>
      <c r="R258">
        <v>197178.41</v>
      </c>
      <c r="S258">
        <v>9835</v>
      </c>
      <c r="T258">
        <v>66052</v>
      </c>
      <c r="U258">
        <v>398110726</v>
      </c>
      <c r="V258" t="s">
        <v>287</v>
      </c>
      <c r="W258" t="s">
        <v>56</v>
      </c>
      <c r="X258" t="s">
        <v>235</v>
      </c>
      <c r="Y258" t="s">
        <v>51</v>
      </c>
      <c r="Z258">
        <v>1203</v>
      </c>
      <c r="AH258">
        <v>0</v>
      </c>
      <c r="AI258">
        <v>202505</v>
      </c>
      <c r="AJ258" t="s">
        <v>169</v>
      </c>
      <c r="AK258">
        <v>1</v>
      </c>
      <c r="AL258">
        <v>1</v>
      </c>
      <c r="AM258">
        <v>66052</v>
      </c>
      <c r="AN258">
        <v>1</v>
      </c>
      <c r="AO258">
        <v>1</v>
      </c>
      <c r="AP258">
        <v>999</v>
      </c>
      <c r="AQ258">
        <v>430</v>
      </c>
      <c r="AR258">
        <v>430999</v>
      </c>
      <c r="AT258">
        <v>1</v>
      </c>
      <c r="AU258" t="s">
        <v>57</v>
      </c>
      <c r="AV258">
        <v>101552.46</v>
      </c>
      <c r="AW258">
        <v>114647.6485</v>
      </c>
      <c r="AX258">
        <v>118167.008</v>
      </c>
      <c r="AY258">
        <v>123559.05899999999</v>
      </c>
      <c r="AZ258">
        <v>128796.368</v>
      </c>
      <c r="BA258">
        <v>130000</v>
      </c>
      <c r="BB258">
        <v>135819.11300000001</v>
      </c>
      <c r="BC258">
        <v>145008.255</v>
      </c>
      <c r="BD258">
        <v>146226.546</v>
      </c>
      <c r="BE258">
        <v>148171.67300000001</v>
      </c>
      <c r="BF258">
        <v>156533.16500000001</v>
      </c>
      <c r="BG258">
        <v>167340.8915</v>
      </c>
      <c r="BH258">
        <v>179808.78</v>
      </c>
      <c r="BI258">
        <v>187222.14799999999</v>
      </c>
      <c r="BJ258">
        <v>206328.26500000001</v>
      </c>
      <c r="BK258">
        <v>220390.6225</v>
      </c>
      <c r="BL258">
        <v>239280.00000000009</v>
      </c>
      <c r="BM258">
        <v>298738.61</v>
      </c>
      <c r="BN258">
        <v>365407.64500000002</v>
      </c>
      <c r="BO258">
        <v>399465.49400000001</v>
      </c>
      <c r="BP258">
        <v>515709.15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 x14ac:dyDescent="0.35">
      <c r="A259">
        <v>347931</v>
      </c>
      <c r="B259" t="s">
        <v>388</v>
      </c>
      <c r="C259" t="s">
        <v>389</v>
      </c>
      <c r="D259" s="1">
        <v>45790</v>
      </c>
      <c r="E259">
        <v>53850</v>
      </c>
      <c r="F259">
        <v>182</v>
      </c>
      <c r="G259" t="s">
        <v>284</v>
      </c>
      <c r="H259" t="s">
        <v>48</v>
      </c>
      <c r="I259" t="s">
        <v>49</v>
      </c>
      <c r="K259" t="s">
        <v>342</v>
      </c>
      <c r="L259">
        <v>1823300169301</v>
      </c>
      <c r="M259">
        <v>20250512</v>
      </c>
      <c r="N259" t="s">
        <v>253</v>
      </c>
      <c r="Q259" t="s">
        <v>58</v>
      </c>
      <c r="R259">
        <v>39500</v>
      </c>
      <c r="S259">
        <v>39500</v>
      </c>
      <c r="T259">
        <v>4284957</v>
      </c>
      <c r="U259" t="s">
        <v>285</v>
      </c>
      <c r="V259" t="s">
        <v>286</v>
      </c>
      <c r="W259" t="s">
        <v>66</v>
      </c>
      <c r="X259" t="s">
        <v>255</v>
      </c>
      <c r="Y259" t="s">
        <v>51</v>
      </c>
      <c r="Z259">
        <v>1656</v>
      </c>
      <c r="AH259">
        <v>0</v>
      </c>
      <c r="AI259">
        <v>202505</v>
      </c>
      <c r="AJ259" t="s">
        <v>63</v>
      </c>
      <c r="AK259">
        <v>0</v>
      </c>
      <c r="AL259">
        <v>1</v>
      </c>
      <c r="AM259">
        <v>4284957</v>
      </c>
      <c r="AN259">
        <v>1</v>
      </c>
      <c r="AO259">
        <v>0</v>
      </c>
      <c r="AP259">
        <v>920</v>
      </c>
      <c r="AQ259">
        <v>615</v>
      </c>
      <c r="AR259">
        <v>615920</v>
      </c>
      <c r="AS259" t="s">
        <v>270</v>
      </c>
      <c r="AU259" t="s">
        <v>270</v>
      </c>
      <c r="AV259">
        <v>37615</v>
      </c>
      <c r="AW259">
        <v>38129.25</v>
      </c>
      <c r="AX259">
        <v>38617</v>
      </c>
      <c r="AY259">
        <v>38985.5</v>
      </c>
      <c r="AZ259">
        <v>39276</v>
      </c>
      <c r="BA259">
        <v>39430</v>
      </c>
      <c r="BB259">
        <v>39650</v>
      </c>
      <c r="BC259">
        <v>39925</v>
      </c>
      <c r="BD259">
        <v>40004</v>
      </c>
      <c r="BE259">
        <v>40009.5</v>
      </c>
      <c r="BF259">
        <v>40505</v>
      </c>
      <c r="BG259">
        <v>41243.25</v>
      </c>
      <c r="BH259">
        <v>43919</v>
      </c>
      <c r="BI259">
        <v>46035.25</v>
      </c>
      <c r="BJ259">
        <v>46659.5</v>
      </c>
      <c r="BK259">
        <v>48836.25</v>
      </c>
      <c r="BL259">
        <v>52876.000000000007</v>
      </c>
      <c r="BM259">
        <v>56324.25</v>
      </c>
      <c r="BN259">
        <v>59434.5</v>
      </c>
      <c r="BO259">
        <v>63675.005999999987</v>
      </c>
      <c r="BP259">
        <v>68166.679999999993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 x14ac:dyDescent="0.35">
      <c r="A260">
        <v>347910</v>
      </c>
      <c r="B260" t="s">
        <v>388</v>
      </c>
      <c r="C260" t="s">
        <v>389</v>
      </c>
      <c r="D260" s="1">
        <v>45790</v>
      </c>
      <c r="E260">
        <v>53850</v>
      </c>
      <c r="F260">
        <v>116</v>
      </c>
      <c r="G260" t="s">
        <v>259</v>
      </c>
      <c r="H260" t="s">
        <v>48</v>
      </c>
      <c r="I260" t="s">
        <v>49</v>
      </c>
      <c r="K260">
        <v>202505127972864</v>
      </c>
      <c r="L260">
        <v>2343300010453</v>
      </c>
      <c r="M260">
        <v>20250512</v>
      </c>
      <c r="N260" t="s">
        <v>253</v>
      </c>
      <c r="Q260" t="s">
        <v>58</v>
      </c>
      <c r="R260">
        <v>191268.3</v>
      </c>
      <c r="S260">
        <v>191268.3</v>
      </c>
      <c r="T260">
        <v>4247777</v>
      </c>
      <c r="U260">
        <v>233470236</v>
      </c>
      <c r="V260" t="s">
        <v>260</v>
      </c>
      <c r="W260" t="s">
        <v>56</v>
      </c>
      <c r="X260" t="s">
        <v>72</v>
      </c>
      <c r="Y260" t="s">
        <v>51</v>
      </c>
      <c r="Z260">
        <v>1696</v>
      </c>
      <c r="AH260">
        <v>0</v>
      </c>
      <c r="AI260">
        <v>202505</v>
      </c>
      <c r="AJ260" t="s">
        <v>177</v>
      </c>
      <c r="AK260">
        <v>1</v>
      </c>
      <c r="AL260">
        <v>1</v>
      </c>
      <c r="AM260">
        <v>4247777</v>
      </c>
      <c r="AN260">
        <v>1</v>
      </c>
      <c r="AO260">
        <v>0</v>
      </c>
      <c r="AP260">
        <v>463</v>
      </c>
      <c r="AQ260">
        <v>430</v>
      </c>
      <c r="AR260">
        <v>430463</v>
      </c>
      <c r="AS260" t="s">
        <v>61</v>
      </c>
      <c r="AU260" t="s">
        <v>61</v>
      </c>
      <c r="AV260">
        <v>85050</v>
      </c>
      <c r="AW260">
        <v>89030</v>
      </c>
      <c r="AX260">
        <v>91669.203999999998</v>
      </c>
      <c r="AY260">
        <v>93087.394</v>
      </c>
      <c r="AZ260">
        <v>94164.18</v>
      </c>
      <c r="BA260">
        <v>96798.05</v>
      </c>
      <c r="BB260">
        <v>100000</v>
      </c>
      <c r="BC260">
        <v>100000</v>
      </c>
      <c r="BD260">
        <v>101589.726</v>
      </c>
      <c r="BE260">
        <v>106295.712</v>
      </c>
      <c r="BF260">
        <v>110193.28</v>
      </c>
      <c r="BG260">
        <v>119645.424</v>
      </c>
      <c r="BH260">
        <v>127698</v>
      </c>
      <c r="BI260">
        <v>137713.79399999999</v>
      </c>
      <c r="BJ260">
        <v>139806</v>
      </c>
      <c r="BK260">
        <v>150000</v>
      </c>
      <c r="BL260">
        <v>161820.22</v>
      </c>
      <c r="BM260">
        <v>190199.99999999991</v>
      </c>
      <c r="BN260">
        <v>213800</v>
      </c>
      <c r="BO260">
        <v>259913.9999999998</v>
      </c>
      <c r="BP260">
        <v>440000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0</v>
      </c>
      <c r="CJ260">
        <v>0</v>
      </c>
      <c r="CK260">
        <v>0</v>
      </c>
    </row>
    <row r="261" spans="1:89" x14ac:dyDescent="0.35">
      <c r="A261">
        <v>347907</v>
      </c>
      <c r="B261" t="s">
        <v>388</v>
      </c>
      <c r="C261" t="s">
        <v>389</v>
      </c>
      <c r="D261" s="1">
        <v>45790</v>
      </c>
      <c r="E261">
        <v>53850</v>
      </c>
      <c r="F261">
        <v>287</v>
      </c>
      <c r="G261" t="s">
        <v>301</v>
      </c>
      <c r="H261" t="s">
        <v>48</v>
      </c>
      <c r="I261" t="s">
        <v>49</v>
      </c>
      <c r="K261" t="s">
        <v>342</v>
      </c>
      <c r="L261">
        <v>2873300001853</v>
      </c>
      <c r="M261">
        <v>20250512</v>
      </c>
      <c r="N261" t="s">
        <v>262</v>
      </c>
      <c r="Q261" t="s">
        <v>58</v>
      </c>
      <c r="R261">
        <v>105369.64</v>
      </c>
      <c r="S261">
        <v>0</v>
      </c>
      <c r="T261">
        <v>3722213</v>
      </c>
      <c r="U261">
        <v>2021570698</v>
      </c>
      <c r="V261" t="s">
        <v>302</v>
      </c>
      <c r="W261" t="s">
        <v>56</v>
      </c>
      <c r="X261" t="s">
        <v>72</v>
      </c>
      <c r="Y261" t="s">
        <v>51</v>
      </c>
      <c r="Z261">
        <v>1877</v>
      </c>
      <c r="AH261">
        <v>0</v>
      </c>
      <c r="AI261">
        <v>202505</v>
      </c>
      <c r="AJ261" t="s">
        <v>54</v>
      </c>
      <c r="AK261">
        <v>0</v>
      </c>
      <c r="AL261">
        <v>1</v>
      </c>
      <c r="AM261">
        <v>3722213</v>
      </c>
      <c r="AN261">
        <v>1</v>
      </c>
      <c r="AO261">
        <v>1</v>
      </c>
      <c r="AP261">
        <v>463</v>
      </c>
      <c r="AQ261">
        <v>430</v>
      </c>
      <c r="AR261">
        <v>430463</v>
      </c>
      <c r="AS261" t="s">
        <v>61</v>
      </c>
      <c r="AU261" t="s">
        <v>61</v>
      </c>
      <c r="AV261">
        <v>85050</v>
      </c>
      <c r="AW261">
        <v>89030</v>
      </c>
      <c r="AX261">
        <v>91669.203999999998</v>
      </c>
      <c r="AY261">
        <v>93087.394</v>
      </c>
      <c r="AZ261">
        <v>94164.18</v>
      </c>
      <c r="BA261">
        <v>96798.05</v>
      </c>
      <c r="BB261">
        <v>100000</v>
      </c>
      <c r="BC261">
        <v>100000</v>
      </c>
      <c r="BD261">
        <v>101589.726</v>
      </c>
      <c r="BE261">
        <v>106295.712</v>
      </c>
      <c r="BF261">
        <v>110193.28</v>
      </c>
      <c r="BG261">
        <v>119645.424</v>
      </c>
      <c r="BH261">
        <v>127698</v>
      </c>
      <c r="BI261">
        <v>137713.79399999999</v>
      </c>
      <c r="BJ261">
        <v>139806</v>
      </c>
      <c r="BK261">
        <v>150000</v>
      </c>
      <c r="BL261">
        <v>161820.22</v>
      </c>
      <c r="BM261">
        <v>190199.99999999991</v>
      </c>
      <c r="BN261">
        <v>213800</v>
      </c>
      <c r="BO261">
        <v>259913.9999999998</v>
      </c>
      <c r="BP261">
        <v>440000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 x14ac:dyDescent="0.35">
      <c r="A262">
        <v>347905</v>
      </c>
      <c r="B262" t="s">
        <v>388</v>
      </c>
      <c r="C262" t="s">
        <v>389</v>
      </c>
      <c r="D262" s="1">
        <v>45790</v>
      </c>
      <c r="E262">
        <v>53850</v>
      </c>
      <c r="F262">
        <v>284</v>
      </c>
      <c r="G262" t="s">
        <v>293</v>
      </c>
      <c r="H262" t="s">
        <v>48</v>
      </c>
      <c r="I262" t="s">
        <v>49</v>
      </c>
      <c r="K262">
        <v>202505127973665</v>
      </c>
      <c r="L262">
        <v>2843300000381</v>
      </c>
      <c r="M262">
        <v>20250512</v>
      </c>
      <c r="N262" t="s">
        <v>265</v>
      </c>
      <c r="Q262" t="s">
        <v>58</v>
      </c>
      <c r="R262">
        <v>175971.72</v>
      </c>
      <c r="S262">
        <v>0</v>
      </c>
      <c r="T262">
        <v>1656421</v>
      </c>
      <c r="U262" t="s">
        <v>640</v>
      </c>
      <c r="V262" t="s">
        <v>641</v>
      </c>
      <c r="W262" t="s">
        <v>50</v>
      </c>
      <c r="Y262" t="s">
        <v>51</v>
      </c>
      <c r="Z262">
        <v>1840</v>
      </c>
      <c r="AH262">
        <v>0</v>
      </c>
      <c r="AI262">
        <v>202505</v>
      </c>
      <c r="AJ262" t="s">
        <v>54</v>
      </c>
      <c r="AK262">
        <v>0</v>
      </c>
      <c r="AL262">
        <v>1</v>
      </c>
      <c r="AO262">
        <v>0</v>
      </c>
      <c r="AP262">
        <v>999</v>
      </c>
      <c r="AQ262">
        <v>600</v>
      </c>
      <c r="AR262">
        <v>600999</v>
      </c>
      <c r="AS262" t="s">
        <v>52</v>
      </c>
      <c r="AU262" t="s">
        <v>52</v>
      </c>
      <c r="AV262">
        <v>107500</v>
      </c>
      <c r="AW262">
        <v>109625</v>
      </c>
      <c r="AX262">
        <v>110000</v>
      </c>
      <c r="AY262">
        <v>112750</v>
      </c>
      <c r="AZ262">
        <v>120738</v>
      </c>
      <c r="BA262">
        <v>129508.75</v>
      </c>
      <c r="BB262">
        <v>130380</v>
      </c>
      <c r="BC262">
        <v>133610</v>
      </c>
      <c r="BD262">
        <v>133800</v>
      </c>
      <c r="BE262">
        <v>141080</v>
      </c>
      <c r="BF262">
        <v>147500</v>
      </c>
      <c r="BG262">
        <v>155382.03049999999</v>
      </c>
      <c r="BH262">
        <v>165585.11799999999</v>
      </c>
      <c r="BI262">
        <v>166416.67000000001</v>
      </c>
      <c r="BJ262">
        <v>166416.67000000001</v>
      </c>
      <c r="BK262">
        <v>173582.95749999999</v>
      </c>
      <c r="BL262">
        <v>190388.68799999999</v>
      </c>
      <c r="BM262">
        <v>212150</v>
      </c>
      <c r="BN262">
        <v>283513.16900000011</v>
      </c>
      <c r="BO262">
        <v>415377.23</v>
      </c>
      <c r="BP262">
        <v>415377.23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 x14ac:dyDescent="0.35">
      <c r="A263">
        <v>338040</v>
      </c>
      <c r="B263" t="s">
        <v>388</v>
      </c>
      <c r="C263" t="s">
        <v>389</v>
      </c>
      <c r="D263" s="1">
        <v>45787</v>
      </c>
      <c r="E263">
        <v>53850</v>
      </c>
      <c r="F263">
        <v>193</v>
      </c>
      <c r="G263" t="s">
        <v>348</v>
      </c>
      <c r="H263" t="s">
        <v>48</v>
      </c>
      <c r="I263" t="s">
        <v>49</v>
      </c>
      <c r="K263">
        <v>202505097964822</v>
      </c>
      <c r="L263">
        <v>1943300005251</v>
      </c>
      <c r="M263">
        <v>20250509</v>
      </c>
      <c r="N263" t="s">
        <v>400</v>
      </c>
      <c r="Q263" t="s">
        <v>58</v>
      </c>
      <c r="R263">
        <v>150000</v>
      </c>
      <c r="S263">
        <v>0</v>
      </c>
      <c r="T263">
        <v>4273110</v>
      </c>
      <c r="U263" t="s">
        <v>642</v>
      </c>
      <c r="V263" t="s">
        <v>643</v>
      </c>
      <c r="W263" t="s">
        <v>50</v>
      </c>
      <c r="Y263" t="s">
        <v>51</v>
      </c>
      <c r="Z263">
        <v>1450</v>
      </c>
      <c r="AH263">
        <v>0</v>
      </c>
      <c r="AI263">
        <v>202505</v>
      </c>
      <c r="AJ263" t="s">
        <v>168</v>
      </c>
      <c r="AK263">
        <v>1</v>
      </c>
      <c r="AL263">
        <v>1</v>
      </c>
      <c r="AO263">
        <v>0</v>
      </c>
      <c r="AP263">
        <v>999</v>
      </c>
      <c r="AQ263">
        <v>600</v>
      </c>
      <c r="AR263">
        <v>600999</v>
      </c>
      <c r="AS263" t="s">
        <v>52</v>
      </c>
      <c r="AU263" t="s">
        <v>52</v>
      </c>
      <c r="AV263">
        <v>107500</v>
      </c>
      <c r="AW263">
        <v>109625</v>
      </c>
      <c r="AX263">
        <v>110000</v>
      </c>
      <c r="AY263">
        <v>112750</v>
      </c>
      <c r="AZ263">
        <v>120738</v>
      </c>
      <c r="BA263">
        <v>129508.75</v>
      </c>
      <c r="BB263">
        <v>130380</v>
      </c>
      <c r="BC263">
        <v>133610</v>
      </c>
      <c r="BD263">
        <v>133800</v>
      </c>
      <c r="BE263">
        <v>141080</v>
      </c>
      <c r="BF263">
        <v>147500</v>
      </c>
      <c r="BG263">
        <v>155382.03049999999</v>
      </c>
      <c r="BH263">
        <v>165585.11799999999</v>
      </c>
      <c r="BI263">
        <v>166416.67000000001</v>
      </c>
      <c r="BJ263">
        <v>166416.67000000001</v>
      </c>
      <c r="BK263">
        <v>173582.95749999999</v>
      </c>
      <c r="BL263">
        <v>190388.68799999999</v>
      </c>
      <c r="BM263">
        <v>212150</v>
      </c>
      <c r="BN263">
        <v>283513.16900000011</v>
      </c>
      <c r="BO263">
        <v>415377.23</v>
      </c>
      <c r="BP263">
        <v>415377.23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 x14ac:dyDescent="0.35">
      <c r="A264">
        <v>338035</v>
      </c>
      <c r="B264" t="s">
        <v>388</v>
      </c>
      <c r="C264" t="s">
        <v>389</v>
      </c>
      <c r="D264" s="1">
        <v>45787</v>
      </c>
      <c r="E264">
        <v>53850</v>
      </c>
      <c r="F264">
        <v>171</v>
      </c>
      <c r="G264" t="s">
        <v>70</v>
      </c>
      <c r="H264" t="s">
        <v>48</v>
      </c>
      <c r="I264" t="s">
        <v>49</v>
      </c>
      <c r="K264" t="s">
        <v>335</v>
      </c>
      <c r="L264">
        <v>1713305728950</v>
      </c>
      <c r="M264">
        <v>20250509</v>
      </c>
      <c r="N264" t="s">
        <v>253</v>
      </c>
      <c r="Q264" t="s">
        <v>58</v>
      </c>
      <c r="R264">
        <v>400964.69</v>
      </c>
      <c r="S264">
        <v>400964.69</v>
      </c>
      <c r="T264">
        <v>572895</v>
      </c>
      <c r="U264">
        <v>4161600723</v>
      </c>
      <c r="V264" t="s">
        <v>257</v>
      </c>
      <c r="W264" t="s">
        <v>56</v>
      </c>
      <c r="X264" t="s">
        <v>258</v>
      </c>
      <c r="Y264" t="s">
        <v>51</v>
      </c>
      <c r="Z264">
        <v>1903</v>
      </c>
      <c r="AH264">
        <v>0</v>
      </c>
      <c r="AI264">
        <v>202505</v>
      </c>
      <c r="AJ264" t="s">
        <v>168</v>
      </c>
      <c r="AK264">
        <v>1</v>
      </c>
      <c r="AL264">
        <v>1</v>
      </c>
      <c r="AM264">
        <v>572895</v>
      </c>
      <c r="AN264">
        <v>1</v>
      </c>
      <c r="AO264">
        <v>0</v>
      </c>
      <c r="AP264">
        <v>999</v>
      </c>
      <c r="AQ264">
        <v>430</v>
      </c>
      <c r="AR264">
        <v>430999</v>
      </c>
      <c r="AT264">
        <v>1</v>
      </c>
      <c r="AU264" t="s">
        <v>57</v>
      </c>
      <c r="AV264">
        <v>101552.46</v>
      </c>
      <c r="AW264">
        <v>114647.6485</v>
      </c>
      <c r="AX264">
        <v>118167.008</v>
      </c>
      <c r="AY264">
        <v>123559.05899999999</v>
      </c>
      <c r="AZ264">
        <v>128796.368</v>
      </c>
      <c r="BA264">
        <v>130000</v>
      </c>
      <c r="BB264">
        <v>135819.11300000001</v>
      </c>
      <c r="BC264">
        <v>145008.255</v>
      </c>
      <c r="BD264">
        <v>146226.546</v>
      </c>
      <c r="BE264">
        <v>148171.67300000001</v>
      </c>
      <c r="BF264">
        <v>156533.16500000001</v>
      </c>
      <c r="BG264">
        <v>167340.8915</v>
      </c>
      <c r="BH264">
        <v>179808.78</v>
      </c>
      <c r="BI264">
        <v>187222.14799999999</v>
      </c>
      <c r="BJ264">
        <v>206328.26500000001</v>
      </c>
      <c r="BK264">
        <v>220390.6225</v>
      </c>
      <c r="BL264">
        <v>239280.00000000009</v>
      </c>
      <c r="BM264">
        <v>298738.61</v>
      </c>
      <c r="BN264">
        <v>365407.64500000002</v>
      </c>
      <c r="BO264">
        <v>399465.49400000001</v>
      </c>
      <c r="BP264">
        <v>515709.15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0</v>
      </c>
    </row>
    <row r="265" spans="1:89" x14ac:dyDescent="0.35">
      <c r="A265">
        <v>338019</v>
      </c>
      <c r="B265" t="s">
        <v>388</v>
      </c>
      <c r="C265" t="s">
        <v>389</v>
      </c>
      <c r="D265" s="1">
        <v>45787</v>
      </c>
      <c r="E265">
        <v>53850</v>
      </c>
      <c r="F265">
        <v>114</v>
      </c>
      <c r="G265" t="s">
        <v>267</v>
      </c>
      <c r="H265" t="s">
        <v>48</v>
      </c>
      <c r="I265" t="s">
        <v>49</v>
      </c>
      <c r="K265">
        <v>202505097964557</v>
      </c>
      <c r="L265">
        <v>1143306281584</v>
      </c>
      <c r="M265">
        <v>20250509</v>
      </c>
      <c r="N265" t="s">
        <v>392</v>
      </c>
      <c r="Q265" t="s">
        <v>58</v>
      </c>
      <c r="R265">
        <v>93962.4</v>
      </c>
      <c r="S265">
        <v>0</v>
      </c>
      <c r="T265">
        <v>4827112</v>
      </c>
      <c r="U265">
        <v>3318280710</v>
      </c>
      <c r="V265" t="s">
        <v>644</v>
      </c>
      <c r="W265" t="s">
        <v>56</v>
      </c>
      <c r="X265" t="s">
        <v>86</v>
      </c>
      <c r="Y265" t="s">
        <v>51</v>
      </c>
      <c r="Z265">
        <v>870</v>
      </c>
      <c r="AH265">
        <v>0</v>
      </c>
      <c r="AI265">
        <v>202505</v>
      </c>
      <c r="AJ265" t="s">
        <v>54</v>
      </c>
      <c r="AK265">
        <v>0</v>
      </c>
      <c r="AL265">
        <v>1</v>
      </c>
      <c r="AO265">
        <v>0</v>
      </c>
      <c r="AP265">
        <v>462</v>
      </c>
      <c r="AQ265">
        <v>430</v>
      </c>
      <c r="AR265">
        <v>430462</v>
      </c>
      <c r="AS265" t="s">
        <v>61</v>
      </c>
      <c r="AU265" t="s">
        <v>61</v>
      </c>
      <c r="AV265">
        <v>85050</v>
      </c>
      <c r="AW265">
        <v>89030</v>
      </c>
      <c r="AX265">
        <v>91669.203999999998</v>
      </c>
      <c r="AY265">
        <v>93087.394</v>
      </c>
      <c r="AZ265">
        <v>94164.18</v>
      </c>
      <c r="BA265">
        <v>96798.05</v>
      </c>
      <c r="BB265">
        <v>100000</v>
      </c>
      <c r="BC265">
        <v>100000</v>
      </c>
      <c r="BD265">
        <v>101589.726</v>
      </c>
      <c r="BE265">
        <v>106295.712</v>
      </c>
      <c r="BF265">
        <v>110193.28</v>
      </c>
      <c r="BG265">
        <v>119645.424</v>
      </c>
      <c r="BH265">
        <v>127698</v>
      </c>
      <c r="BI265">
        <v>137713.79399999999</v>
      </c>
      <c r="BJ265">
        <v>139806</v>
      </c>
      <c r="BK265">
        <v>150000</v>
      </c>
      <c r="BL265">
        <v>161820.22</v>
      </c>
      <c r="BM265">
        <v>190199.99999999991</v>
      </c>
      <c r="BN265">
        <v>213800</v>
      </c>
      <c r="BO265">
        <v>259913.9999999998</v>
      </c>
      <c r="BP265">
        <v>440000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 x14ac:dyDescent="0.35">
      <c r="A266">
        <v>338016</v>
      </c>
      <c r="B266" t="s">
        <v>388</v>
      </c>
      <c r="C266" t="s">
        <v>389</v>
      </c>
      <c r="D266" s="1">
        <v>45787</v>
      </c>
      <c r="E266">
        <v>53850</v>
      </c>
      <c r="F266">
        <v>118</v>
      </c>
      <c r="G266" t="s">
        <v>93</v>
      </c>
      <c r="H266" t="s">
        <v>48</v>
      </c>
      <c r="I266" t="s">
        <v>49</v>
      </c>
      <c r="K266">
        <v>202505097964568</v>
      </c>
      <c r="L266">
        <v>1183306275813</v>
      </c>
      <c r="M266">
        <v>20250509</v>
      </c>
      <c r="N266" t="s">
        <v>400</v>
      </c>
      <c r="Q266" t="s">
        <v>58</v>
      </c>
      <c r="R266">
        <v>149000</v>
      </c>
      <c r="S266">
        <v>0</v>
      </c>
      <c r="T266">
        <v>423437</v>
      </c>
      <c r="U266" t="s">
        <v>645</v>
      </c>
      <c r="V266" t="s">
        <v>646</v>
      </c>
      <c r="W266" t="s">
        <v>50</v>
      </c>
      <c r="Y266" t="s">
        <v>51</v>
      </c>
      <c r="Z266">
        <v>724</v>
      </c>
      <c r="AH266">
        <v>0</v>
      </c>
      <c r="AI266">
        <v>202505</v>
      </c>
      <c r="AJ266" t="s">
        <v>168</v>
      </c>
      <c r="AK266">
        <v>1</v>
      </c>
      <c r="AL266">
        <v>1</v>
      </c>
      <c r="AO266">
        <v>0</v>
      </c>
      <c r="AP266">
        <v>999</v>
      </c>
      <c r="AQ266">
        <v>600</v>
      </c>
      <c r="AR266">
        <v>600999</v>
      </c>
      <c r="AS266" t="s">
        <v>52</v>
      </c>
      <c r="AU266" t="s">
        <v>52</v>
      </c>
      <c r="AV266">
        <v>107500</v>
      </c>
      <c r="AW266">
        <v>109625</v>
      </c>
      <c r="AX266">
        <v>110000</v>
      </c>
      <c r="AY266">
        <v>112750</v>
      </c>
      <c r="AZ266">
        <v>120738</v>
      </c>
      <c r="BA266">
        <v>129508.75</v>
      </c>
      <c r="BB266">
        <v>130380</v>
      </c>
      <c r="BC266">
        <v>133610</v>
      </c>
      <c r="BD266">
        <v>133800</v>
      </c>
      <c r="BE266">
        <v>141080</v>
      </c>
      <c r="BF266">
        <v>147500</v>
      </c>
      <c r="BG266">
        <v>155382.03049999999</v>
      </c>
      <c r="BH266">
        <v>165585.11799999999</v>
      </c>
      <c r="BI266">
        <v>166416.67000000001</v>
      </c>
      <c r="BJ266">
        <v>166416.67000000001</v>
      </c>
      <c r="BK266">
        <v>173582.95749999999</v>
      </c>
      <c r="BL266">
        <v>190388.68799999999</v>
      </c>
      <c r="BM266">
        <v>212150</v>
      </c>
      <c r="BN266">
        <v>283513.16900000011</v>
      </c>
      <c r="BO266">
        <v>415377.23</v>
      </c>
      <c r="BP266">
        <v>415377.23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 x14ac:dyDescent="0.35">
      <c r="A267">
        <v>338015</v>
      </c>
      <c r="B267" t="s">
        <v>388</v>
      </c>
      <c r="C267" t="s">
        <v>389</v>
      </c>
      <c r="D267" s="1">
        <v>45787</v>
      </c>
      <c r="E267">
        <v>53850</v>
      </c>
      <c r="F267">
        <v>161</v>
      </c>
      <c r="G267" t="s">
        <v>95</v>
      </c>
      <c r="H267" t="s">
        <v>48</v>
      </c>
      <c r="I267" t="s">
        <v>49</v>
      </c>
      <c r="K267" t="s">
        <v>335</v>
      </c>
      <c r="L267">
        <v>1613300029653</v>
      </c>
      <c r="M267">
        <v>20250509</v>
      </c>
      <c r="N267" t="s">
        <v>262</v>
      </c>
      <c r="Q267" t="s">
        <v>58</v>
      </c>
      <c r="R267">
        <v>76382.789999999994</v>
      </c>
      <c r="S267">
        <v>8400</v>
      </c>
      <c r="T267">
        <v>4088769</v>
      </c>
      <c r="U267">
        <v>5150120722</v>
      </c>
      <c r="V267" t="s">
        <v>407</v>
      </c>
      <c r="W267" t="s">
        <v>56</v>
      </c>
      <c r="X267" t="s">
        <v>78</v>
      </c>
      <c r="Y267" t="s">
        <v>51</v>
      </c>
      <c r="Z267">
        <v>1903</v>
      </c>
      <c r="AH267">
        <v>0</v>
      </c>
      <c r="AI267">
        <v>202505</v>
      </c>
      <c r="AJ267" t="s">
        <v>63</v>
      </c>
      <c r="AK267">
        <v>0</v>
      </c>
      <c r="AL267">
        <v>1</v>
      </c>
      <c r="AM267">
        <v>4088769</v>
      </c>
      <c r="AN267">
        <v>1</v>
      </c>
      <c r="AO267">
        <v>1</v>
      </c>
      <c r="AP267">
        <v>464</v>
      </c>
      <c r="AQ267">
        <v>430</v>
      </c>
      <c r="AR267">
        <v>430464</v>
      </c>
      <c r="AS267" t="s">
        <v>79</v>
      </c>
      <c r="AU267" t="s">
        <v>79</v>
      </c>
      <c r="AV267">
        <v>76382.789999999994</v>
      </c>
      <c r="AW267">
        <v>79891.56</v>
      </c>
      <c r="AX267">
        <v>79937.08</v>
      </c>
      <c r="AY267">
        <v>88865.89</v>
      </c>
      <c r="AZ267">
        <v>94634.78</v>
      </c>
      <c r="BA267">
        <v>97229.53</v>
      </c>
      <c r="BB267">
        <v>98360.01</v>
      </c>
      <c r="BC267">
        <v>100000</v>
      </c>
      <c r="BD267">
        <v>104738.68</v>
      </c>
      <c r="BE267">
        <v>108176.82</v>
      </c>
      <c r="BF267">
        <v>110891.36</v>
      </c>
      <c r="BG267">
        <v>115427.47</v>
      </c>
      <c r="BH267">
        <v>118009.65</v>
      </c>
      <c r="BI267">
        <v>136718.03</v>
      </c>
      <c r="BJ267">
        <v>148758.49</v>
      </c>
      <c r="BK267">
        <v>182944.14</v>
      </c>
      <c r="BL267">
        <v>217448.27</v>
      </c>
      <c r="BM267">
        <v>222704.65</v>
      </c>
      <c r="BN267">
        <v>225130.1</v>
      </c>
      <c r="BO267">
        <v>259946.2</v>
      </c>
      <c r="BP267">
        <v>270019.89</v>
      </c>
      <c r="BQ267">
        <v>1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 x14ac:dyDescent="0.35">
      <c r="A268">
        <v>338012</v>
      </c>
      <c r="B268" t="s">
        <v>388</v>
      </c>
      <c r="C268" t="s">
        <v>389</v>
      </c>
      <c r="D268" s="1">
        <v>45787</v>
      </c>
      <c r="E268">
        <v>53850</v>
      </c>
      <c r="F268">
        <v>110</v>
      </c>
      <c r="G268" t="s">
        <v>81</v>
      </c>
      <c r="H268" t="s">
        <v>48</v>
      </c>
      <c r="I268" t="s">
        <v>49</v>
      </c>
      <c r="K268">
        <v>202505097964540</v>
      </c>
      <c r="L268">
        <v>1103306287662</v>
      </c>
      <c r="M268">
        <v>20250509</v>
      </c>
      <c r="N268" t="s">
        <v>392</v>
      </c>
      <c r="Q268" t="s">
        <v>58</v>
      </c>
      <c r="R268">
        <v>400000</v>
      </c>
      <c r="S268">
        <v>0</v>
      </c>
      <c r="T268">
        <v>4014921</v>
      </c>
      <c r="U268" t="s">
        <v>647</v>
      </c>
      <c r="V268" t="s">
        <v>648</v>
      </c>
      <c r="W268" t="s">
        <v>50</v>
      </c>
      <c r="Y268" t="s">
        <v>51</v>
      </c>
      <c r="Z268">
        <v>1072</v>
      </c>
      <c r="AH268">
        <v>0</v>
      </c>
      <c r="AI268">
        <v>202505</v>
      </c>
      <c r="AJ268" t="s">
        <v>169</v>
      </c>
      <c r="AK268">
        <v>1</v>
      </c>
      <c r="AL268">
        <v>1</v>
      </c>
      <c r="AO268">
        <v>0</v>
      </c>
      <c r="AP268">
        <v>999</v>
      </c>
      <c r="AQ268">
        <v>600</v>
      </c>
      <c r="AR268">
        <v>600999</v>
      </c>
      <c r="AS268" t="s">
        <v>52</v>
      </c>
      <c r="AU268" t="s">
        <v>52</v>
      </c>
      <c r="AV268">
        <v>107500</v>
      </c>
      <c r="AW268">
        <v>109625</v>
      </c>
      <c r="AX268">
        <v>110000</v>
      </c>
      <c r="AY268">
        <v>112750</v>
      </c>
      <c r="AZ268">
        <v>120738</v>
      </c>
      <c r="BA268">
        <v>129508.75</v>
      </c>
      <c r="BB268">
        <v>130380</v>
      </c>
      <c r="BC268">
        <v>133610</v>
      </c>
      <c r="BD268">
        <v>133800</v>
      </c>
      <c r="BE268">
        <v>141080</v>
      </c>
      <c r="BF268">
        <v>147500</v>
      </c>
      <c r="BG268">
        <v>155382.03049999999</v>
      </c>
      <c r="BH268">
        <v>165585.11799999999</v>
      </c>
      <c r="BI268">
        <v>166416.67000000001</v>
      </c>
      <c r="BJ268">
        <v>166416.67000000001</v>
      </c>
      <c r="BK268">
        <v>173582.95749999999</v>
      </c>
      <c r="BL268">
        <v>190388.68799999999</v>
      </c>
      <c r="BM268">
        <v>212150</v>
      </c>
      <c r="BN268">
        <v>283513.16900000011</v>
      </c>
      <c r="BO268">
        <v>415377.23</v>
      </c>
      <c r="BP268">
        <v>415377.23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0</v>
      </c>
      <c r="CK268">
        <v>0</v>
      </c>
    </row>
    <row r="269" spans="1:89" x14ac:dyDescent="0.35">
      <c r="A269">
        <v>338005</v>
      </c>
      <c r="B269" t="s">
        <v>388</v>
      </c>
      <c r="C269" t="s">
        <v>389</v>
      </c>
      <c r="D269" s="1">
        <v>45787</v>
      </c>
      <c r="E269">
        <v>53850</v>
      </c>
      <c r="F269">
        <v>273</v>
      </c>
      <c r="G269" t="s">
        <v>275</v>
      </c>
      <c r="H269" t="s">
        <v>48</v>
      </c>
      <c r="I269" t="s">
        <v>49</v>
      </c>
      <c r="K269">
        <v>202505097964928</v>
      </c>
      <c r="L269">
        <v>1983300001006</v>
      </c>
      <c r="M269">
        <v>20250509</v>
      </c>
      <c r="N269" t="s">
        <v>400</v>
      </c>
      <c r="Q269" t="s">
        <v>58</v>
      </c>
      <c r="R269">
        <v>160000</v>
      </c>
      <c r="S269">
        <v>0</v>
      </c>
      <c r="T269">
        <v>4006820</v>
      </c>
      <c r="U269" t="s">
        <v>649</v>
      </c>
      <c r="V269" t="s">
        <v>650</v>
      </c>
      <c r="W269" t="s">
        <v>50</v>
      </c>
      <c r="Y269" t="s">
        <v>51</v>
      </c>
      <c r="Z269">
        <v>1718</v>
      </c>
      <c r="AH269">
        <v>0</v>
      </c>
      <c r="AI269">
        <v>202505</v>
      </c>
      <c r="AJ269" t="s">
        <v>169</v>
      </c>
      <c r="AK269">
        <v>1</v>
      </c>
      <c r="AL269">
        <v>1</v>
      </c>
      <c r="AO269">
        <v>0</v>
      </c>
      <c r="AP269">
        <v>999</v>
      </c>
      <c r="AQ269">
        <v>600</v>
      </c>
      <c r="AR269">
        <v>600999</v>
      </c>
      <c r="AS269" t="s">
        <v>52</v>
      </c>
      <c r="AU269" t="s">
        <v>52</v>
      </c>
      <c r="AV269">
        <v>107500</v>
      </c>
      <c r="AW269">
        <v>109625</v>
      </c>
      <c r="AX269">
        <v>110000</v>
      </c>
      <c r="AY269">
        <v>112750</v>
      </c>
      <c r="AZ269">
        <v>120738</v>
      </c>
      <c r="BA269">
        <v>129508.75</v>
      </c>
      <c r="BB269">
        <v>130380</v>
      </c>
      <c r="BC269">
        <v>133610</v>
      </c>
      <c r="BD269">
        <v>133800</v>
      </c>
      <c r="BE269">
        <v>141080</v>
      </c>
      <c r="BF269">
        <v>147500</v>
      </c>
      <c r="BG269">
        <v>155382.03049999999</v>
      </c>
      <c r="BH269">
        <v>165585.11799999999</v>
      </c>
      <c r="BI269">
        <v>166416.67000000001</v>
      </c>
      <c r="BJ269">
        <v>166416.67000000001</v>
      </c>
      <c r="BK269">
        <v>173582.95749999999</v>
      </c>
      <c r="BL269">
        <v>190388.68799999999</v>
      </c>
      <c r="BM269">
        <v>212150</v>
      </c>
      <c r="BN269">
        <v>283513.16900000011</v>
      </c>
      <c r="BO269">
        <v>415377.23</v>
      </c>
      <c r="BP269">
        <v>415377.23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 x14ac:dyDescent="0.35">
      <c r="A270">
        <v>338000</v>
      </c>
      <c r="B270" t="s">
        <v>388</v>
      </c>
      <c r="C270" t="s">
        <v>389</v>
      </c>
      <c r="D270" s="1">
        <v>45787</v>
      </c>
      <c r="E270">
        <v>53850</v>
      </c>
      <c r="F270">
        <v>121</v>
      </c>
      <c r="G270" t="s">
        <v>71</v>
      </c>
      <c r="H270" t="s">
        <v>48</v>
      </c>
      <c r="I270" t="s">
        <v>49</v>
      </c>
      <c r="K270" t="s">
        <v>335</v>
      </c>
      <c r="L270">
        <v>1213300002600</v>
      </c>
      <c r="M270">
        <v>20250509</v>
      </c>
      <c r="N270" t="s">
        <v>262</v>
      </c>
      <c r="Q270" t="s">
        <v>58</v>
      </c>
      <c r="R270">
        <v>841641.07</v>
      </c>
      <c r="S270">
        <v>0</v>
      </c>
      <c r="T270">
        <v>4939345</v>
      </c>
      <c r="U270">
        <v>5754810728</v>
      </c>
      <c r="V270" t="s">
        <v>176</v>
      </c>
      <c r="W270" t="s">
        <v>56</v>
      </c>
      <c r="X270" t="s">
        <v>72</v>
      </c>
      <c r="Y270" t="s">
        <v>51</v>
      </c>
      <c r="Z270">
        <v>1058</v>
      </c>
      <c r="AH270">
        <v>0</v>
      </c>
      <c r="AI270">
        <v>202505</v>
      </c>
      <c r="AJ270" t="s">
        <v>177</v>
      </c>
      <c r="AK270">
        <v>1</v>
      </c>
      <c r="AL270">
        <v>1</v>
      </c>
      <c r="AO270">
        <v>1</v>
      </c>
      <c r="AP270">
        <v>463</v>
      </c>
      <c r="AQ270">
        <v>430</v>
      </c>
      <c r="AR270">
        <v>430463</v>
      </c>
      <c r="AS270" t="s">
        <v>61</v>
      </c>
      <c r="AU270" t="s">
        <v>61</v>
      </c>
      <c r="AV270">
        <v>85050</v>
      </c>
      <c r="AW270">
        <v>89030</v>
      </c>
      <c r="AX270">
        <v>91669.203999999998</v>
      </c>
      <c r="AY270">
        <v>93087.394</v>
      </c>
      <c r="AZ270">
        <v>94164.18</v>
      </c>
      <c r="BA270">
        <v>96798.05</v>
      </c>
      <c r="BB270">
        <v>100000</v>
      </c>
      <c r="BC270">
        <v>100000</v>
      </c>
      <c r="BD270">
        <v>101589.726</v>
      </c>
      <c r="BE270">
        <v>106295.712</v>
      </c>
      <c r="BF270">
        <v>110193.28</v>
      </c>
      <c r="BG270">
        <v>119645.424</v>
      </c>
      <c r="BH270">
        <v>127698</v>
      </c>
      <c r="BI270">
        <v>137713.79399999999</v>
      </c>
      <c r="BJ270">
        <v>139806</v>
      </c>
      <c r="BK270">
        <v>150000</v>
      </c>
      <c r="BL270">
        <v>161820.22</v>
      </c>
      <c r="BM270">
        <v>190199.99999999991</v>
      </c>
      <c r="BN270">
        <v>213800</v>
      </c>
      <c r="BO270">
        <v>259913.9999999998</v>
      </c>
      <c r="BP270">
        <v>440000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</row>
    <row r="271" spans="1:89" x14ac:dyDescent="0.35">
      <c r="A271">
        <v>337988</v>
      </c>
      <c r="B271" t="s">
        <v>388</v>
      </c>
      <c r="C271" t="s">
        <v>389</v>
      </c>
      <c r="D271" s="1">
        <v>45787</v>
      </c>
      <c r="E271">
        <v>53850</v>
      </c>
      <c r="F271">
        <v>273</v>
      </c>
      <c r="G271" t="s">
        <v>275</v>
      </c>
      <c r="H271" t="s">
        <v>48</v>
      </c>
      <c r="I271" t="s">
        <v>49</v>
      </c>
      <c r="K271">
        <v>202505097964928</v>
      </c>
      <c r="L271">
        <v>1983300001006</v>
      </c>
      <c r="M271">
        <v>20250509</v>
      </c>
      <c r="N271" t="s">
        <v>400</v>
      </c>
      <c r="Q271" t="s">
        <v>58</v>
      </c>
      <c r="R271">
        <v>160000</v>
      </c>
      <c r="S271">
        <v>0</v>
      </c>
      <c r="T271">
        <v>4006823</v>
      </c>
      <c r="U271" t="s">
        <v>651</v>
      </c>
      <c r="V271" t="s">
        <v>652</v>
      </c>
      <c r="W271" t="s">
        <v>50</v>
      </c>
      <c r="Y271" t="s">
        <v>51</v>
      </c>
      <c r="Z271">
        <v>1718</v>
      </c>
      <c r="AH271">
        <v>0</v>
      </c>
      <c r="AI271">
        <v>202505</v>
      </c>
      <c r="AJ271" t="s">
        <v>169</v>
      </c>
      <c r="AK271">
        <v>1</v>
      </c>
      <c r="AL271">
        <v>1</v>
      </c>
      <c r="AO271">
        <v>0</v>
      </c>
      <c r="AP271">
        <v>999</v>
      </c>
      <c r="AQ271">
        <v>600</v>
      </c>
      <c r="AR271">
        <v>600999</v>
      </c>
      <c r="AS271" t="s">
        <v>52</v>
      </c>
      <c r="AU271" t="s">
        <v>52</v>
      </c>
      <c r="AV271">
        <v>107500</v>
      </c>
      <c r="AW271">
        <v>109625</v>
      </c>
      <c r="AX271">
        <v>110000</v>
      </c>
      <c r="AY271">
        <v>112750</v>
      </c>
      <c r="AZ271">
        <v>120738</v>
      </c>
      <c r="BA271">
        <v>129508.75</v>
      </c>
      <c r="BB271">
        <v>130380</v>
      </c>
      <c r="BC271">
        <v>133610</v>
      </c>
      <c r="BD271">
        <v>133800</v>
      </c>
      <c r="BE271">
        <v>141080</v>
      </c>
      <c r="BF271">
        <v>147500</v>
      </c>
      <c r="BG271">
        <v>155382.03049999999</v>
      </c>
      <c r="BH271">
        <v>165585.11799999999</v>
      </c>
      <c r="BI271">
        <v>166416.67000000001</v>
      </c>
      <c r="BJ271">
        <v>166416.67000000001</v>
      </c>
      <c r="BK271">
        <v>173582.95749999999</v>
      </c>
      <c r="BL271">
        <v>190388.68799999999</v>
      </c>
      <c r="BM271">
        <v>212150</v>
      </c>
      <c r="BN271">
        <v>283513.16900000011</v>
      </c>
      <c r="BO271">
        <v>415377.23</v>
      </c>
      <c r="BP271">
        <v>415377.23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 x14ac:dyDescent="0.35">
      <c r="A272">
        <v>337983</v>
      </c>
      <c r="B272" t="s">
        <v>388</v>
      </c>
      <c r="C272" t="s">
        <v>389</v>
      </c>
      <c r="D272" s="1">
        <v>45787</v>
      </c>
      <c r="E272">
        <v>53850</v>
      </c>
      <c r="F272">
        <v>171</v>
      </c>
      <c r="G272" t="s">
        <v>70</v>
      </c>
      <c r="H272" t="s">
        <v>48</v>
      </c>
      <c r="I272" t="s">
        <v>49</v>
      </c>
      <c r="K272" t="s">
        <v>335</v>
      </c>
      <c r="L272">
        <v>1713302214147</v>
      </c>
      <c r="M272">
        <v>20250509</v>
      </c>
      <c r="N272" t="s">
        <v>253</v>
      </c>
      <c r="Q272" t="s">
        <v>58</v>
      </c>
      <c r="R272">
        <v>166210.1</v>
      </c>
      <c r="S272">
        <v>166210.1</v>
      </c>
      <c r="T272">
        <v>4199319</v>
      </c>
      <c r="U272">
        <v>6037810725</v>
      </c>
      <c r="V272" t="s">
        <v>317</v>
      </c>
      <c r="W272" t="s">
        <v>56</v>
      </c>
      <c r="X272" t="s">
        <v>258</v>
      </c>
      <c r="Y272" t="s">
        <v>51</v>
      </c>
      <c r="Z272">
        <v>1903</v>
      </c>
      <c r="AH272">
        <v>0</v>
      </c>
      <c r="AI272">
        <v>202505</v>
      </c>
      <c r="AJ272" t="s">
        <v>168</v>
      </c>
      <c r="AK272">
        <v>1</v>
      </c>
      <c r="AL272">
        <v>1</v>
      </c>
      <c r="AM272">
        <v>4199319</v>
      </c>
      <c r="AN272">
        <v>1</v>
      </c>
      <c r="AO272">
        <v>0</v>
      </c>
      <c r="AP272">
        <v>999</v>
      </c>
      <c r="AQ272">
        <v>430</v>
      </c>
      <c r="AR272">
        <v>430999</v>
      </c>
      <c r="AT272">
        <v>1</v>
      </c>
      <c r="AU272" t="s">
        <v>57</v>
      </c>
      <c r="AV272">
        <v>101552.46</v>
      </c>
      <c r="AW272">
        <v>114647.6485</v>
      </c>
      <c r="AX272">
        <v>118167.008</v>
      </c>
      <c r="AY272">
        <v>123559.05899999999</v>
      </c>
      <c r="AZ272">
        <v>128796.368</v>
      </c>
      <c r="BA272">
        <v>130000</v>
      </c>
      <c r="BB272">
        <v>135819.11300000001</v>
      </c>
      <c r="BC272">
        <v>145008.255</v>
      </c>
      <c r="BD272">
        <v>146226.546</v>
      </c>
      <c r="BE272">
        <v>148171.67300000001</v>
      </c>
      <c r="BF272">
        <v>156533.16500000001</v>
      </c>
      <c r="BG272">
        <v>167340.8915</v>
      </c>
      <c r="BH272">
        <v>179808.78</v>
      </c>
      <c r="BI272">
        <v>187222.14799999999</v>
      </c>
      <c r="BJ272">
        <v>206328.26500000001</v>
      </c>
      <c r="BK272">
        <v>220390.6225</v>
      </c>
      <c r="BL272">
        <v>239280.00000000009</v>
      </c>
      <c r="BM272">
        <v>298738.61</v>
      </c>
      <c r="BN272">
        <v>365407.64500000002</v>
      </c>
      <c r="BO272">
        <v>399465.49400000001</v>
      </c>
      <c r="BP272">
        <v>515709.15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 x14ac:dyDescent="0.35">
      <c r="A273">
        <v>337968</v>
      </c>
      <c r="B273" t="s">
        <v>388</v>
      </c>
      <c r="C273" t="s">
        <v>389</v>
      </c>
      <c r="D273" s="1">
        <v>45786</v>
      </c>
      <c r="E273">
        <v>53850</v>
      </c>
      <c r="F273">
        <v>111</v>
      </c>
      <c r="G273" t="s">
        <v>504</v>
      </c>
      <c r="H273" t="s">
        <v>48</v>
      </c>
      <c r="I273" t="s">
        <v>49</v>
      </c>
      <c r="K273">
        <v>202505087961554</v>
      </c>
      <c r="L273">
        <v>1113302814205</v>
      </c>
      <c r="M273">
        <v>20250508</v>
      </c>
      <c r="N273" t="s">
        <v>400</v>
      </c>
      <c r="Q273" t="s">
        <v>58</v>
      </c>
      <c r="R273">
        <v>97000</v>
      </c>
      <c r="S273">
        <v>0</v>
      </c>
      <c r="T273">
        <v>4449666</v>
      </c>
      <c r="U273" t="s">
        <v>653</v>
      </c>
      <c r="V273" t="s">
        <v>654</v>
      </c>
      <c r="W273" t="s">
        <v>66</v>
      </c>
      <c r="X273" t="s">
        <v>655</v>
      </c>
      <c r="Y273" t="s">
        <v>51</v>
      </c>
      <c r="Z273">
        <v>593</v>
      </c>
      <c r="AH273">
        <v>0</v>
      </c>
      <c r="AI273">
        <v>202505</v>
      </c>
      <c r="AJ273" t="s">
        <v>168</v>
      </c>
      <c r="AK273">
        <v>1</v>
      </c>
      <c r="AL273">
        <v>1</v>
      </c>
      <c r="AO273">
        <v>0</v>
      </c>
      <c r="AP273">
        <v>999</v>
      </c>
      <c r="AQ273">
        <v>615</v>
      </c>
      <c r="AR273">
        <v>615999</v>
      </c>
      <c r="AT273">
        <v>1</v>
      </c>
      <c r="AU273" t="s">
        <v>61</v>
      </c>
      <c r="AV273">
        <v>85050</v>
      </c>
      <c r="AW273">
        <v>89030</v>
      </c>
      <c r="AX273">
        <v>91669.203999999998</v>
      </c>
      <c r="AY273">
        <v>93087.394</v>
      </c>
      <c r="AZ273">
        <v>94164.18</v>
      </c>
      <c r="BA273">
        <v>96798.05</v>
      </c>
      <c r="BB273">
        <v>100000</v>
      </c>
      <c r="BC273">
        <v>100000</v>
      </c>
      <c r="BD273">
        <v>101589.726</v>
      </c>
      <c r="BE273">
        <v>106295.712</v>
      </c>
      <c r="BF273">
        <v>110193.28</v>
      </c>
      <c r="BG273">
        <v>119645.424</v>
      </c>
      <c r="BH273">
        <v>127698</v>
      </c>
      <c r="BI273">
        <v>137713.79399999999</v>
      </c>
      <c r="BJ273">
        <v>139806</v>
      </c>
      <c r="BK273">
        <v>150000</v>
      </c>
      <c r="BL273">
        <v>161820.22</v>
      </c>
      <c r="BM273">
        <v>190199.99999999991</v>
      </c>
      <c r="BN273">
        <v>213800</v>
      </c>
      <c r="BO273">
        <v>259913.9999999998</v>
      </c>
      <c r="BP273">
        <v>440000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 x14ac:dyDescent="0.35">
      <c r="A274">
        <v>337967</v>
      </c>
      <c r="B274" t="s">
        <v>388</v>
      </c>
      <c r="C274" t="s">
        <v>389</v>
      </c>
      <c r="D274" s="1">
        <v>45786</v>
      </c>
      <c r="E274">
        <v>53850</v>
      </c>
      <c r="F274">
        <v>181</v>
      </c>
      <c r="G274" t="s">
        <v>277</v>
      </c>
      <c r="H274" t="s">
        <v>48</v>
      </c>
      <c r="I274" t="s">
        <v>49</v>
      </c>
      <c r="K274">
        <v>202505087961753</v>
      </c>
      <c r="L274">
        <v>1813301035227</v>
      </c>
      <c r="M274">
        <v>20250508</v>
      </c>
      <c r="N274" t="s">
        <v>400</v>
      </c>
      <c r="Q274" t="s">
        <v>58</v>
      </c>
      <c r="R274">
        <v>110500</v>
      </c>
      <c r="S274">
        <v>0</v>
      </c>
      <c r="T274">
        <v>4591614</v>
      </c>
      <c r="U274" t="s">
        <v>656</v>
      </c>
      <c r="V274" t="s">
        <v>657</v>
      </c>
      <c r="W274" t="s">
        <v>50</v>
      </c>
      <c r="Y274" t="s">
        <v>51</v>
      </c>
      <c r="Z274">
        <v>859</v>
      </c>
      <c r="AH274">
        <v>0</v>
      </c>
      <c r="AI274">
        <v>202505</v>
      </c>
      <c r="AJ274" t="s">
        <v>168</v>
      </c>
      <c r="AK274">
        <v>1</v>
      </c>
      <c r="AL274">
        <v>1</v>
      </c>
      <c r="AO274">
        <v>0</v>
      </c>
      <c r="AP274">
        <v>999</v>
      </c>
      <c r="AQ274">
        <v>600</v>
      </c>
      <c r="AR274">
        <v>600999</v>
      </c>
      <c r="AS274" t="s">
        <v>52</v>
      </c>
      <c r="AU274" t="s">
        <v>52</v>
      </c>
      <c r="AV274">
        <v>107500</v>
      </c>
      <c r="AW274">
        <v>109625</v>
      </c>
      <c r="AX274">
        <v>110000</v>
      </c>
      <c r="AY274">
        <v>112750</v>
      </c>
      <c r="AZ274">
        <v>120738</v>
      </c>
      <c r="BA274">
        <v>129508.75</v>
      </c>
      <c r="BB274">
        <v>130380</v>
      </c>
      <c r="BC274">
        <v>133610</v>
      </c>
      <c r="BD274">
        <v>133800</v>
      </c>
      <c r="BE274">
        <v>141080</v>
      </c>
      <c r="BF274">
        <v>147500</v>
      </c>
      <c r="BG274">
        <v>155382.03049999999</v>
      </c>
      <c r="BH274">
        <v>165585.11799999999</v>
      </c>
      <c r="BI274">
        <v>166416.67000000001</v>
      </c>
      <c r="BJ274">
        <v>166416.67000000001</v>
      </c>
      <c r="BK274">
        <v>173582.95749999999</v>
      </c>
      <c r="BL274">
        <v>190388.68799999999</v>
      </c>
      <c r="BM274">
        <v>212150</v>
      </c>
      <c r="BN274">
        <v>283513.16900000011</v>
      </c>
      <c r="BO274">
        <v>415377.23</v>
      </c>
      <c r="BP274">
        <v>415377.23</v>
      </c>
      <c r="BQ274">
        <v>1</v>
      </c>
      <c r="BR274">
        <v>1</v>
      </c>
      <c r="BS274">
        <v>1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 x14ac:dyDescent="0.35">
      <c r="A275">
        <v>337966</v>
      </c>
      <c r="B275" t="s">
        <v>388</v>
      </c>
      <c r="C275" t="s">
        <v>389</v>
      </c>
      <c r="D275" s="1">
        <v>45786</v>
      </c>
      <c r="E275">
        <v>53850</v>
      </c>
      <c r="F275">
        <v>105</v>
      </c>
      <c r="G275" t="s">
        <v>47</v>
      </c>
      <c r="H275" t="s">
        <v>48</v>
      </c>
      <c r="I275" t="s">
        <v>49</v>
      </c>
      <c r="K275">
        <v>202505087961521</v>
      </c>
      <c r="L275">
        <v>1053306291585</v>
      </c>
      <c r="M275">
        <v>20250508</v>
      </c>
      <c r="N275" t="s">
        <v>417</v>
      </c>
      <c r="Q275" t="s">
        <v>58</v>
      </c>
      <c r="R275">
        <v>145000</v>
      </c>
      <c r="S275">
        <v>0</v>
      </c>
      <c r="T275">
        <v>107495</v>
      </c>
      <c r="U275" t="s">
        <v>658</v>
      </c>
      <c r="V275" t="s">
        <v>659</v>
      </c>
      <c r="W275" t="s">
        <v>50</v>
      </c>
      <c r="Y275" t="s">
        <v>51</v>
      </c>
      <c r="Z275">
        <v>1471</v>
      </c>
      <c r="AH275">
        <v>0</v>
      </c>
      <c r="AI275">
        <v>202505</v>
      </c>
      <c r="AJ275" t="s">
        <v>63</v>
      </c>
      <c r="AK275">
        <v>0</v>
      </c>
      <c r="AL275">
        <v>1</v>
      </c>
      <c r="AO275">
        <v>0</v>
      </c>
      <c r="AP275">
        <v>999</v>
      </c>
      <c r="AQ275">
        <v>600</v>
      </c>
      <c r="AR275">
        <v>600999</v>
      </c>
      <c r="AS275" t="s">
        <v>52</v>
      </c>
      <c r="AU275" t="s">
        <v>52</v>
      </c>
      <c r="AV275">
        <v>107500</v>
      </c>
      <c r="AW275">
        <v>109625</v>
      </c>
      <c r="AX275">
        <v>110000</v>
      </c>
      <c r="AY275">
        <v>112750</v>
      </c>
      <c r="AZ275">
        <v>120738</v>
      </c>
      <c r="BA275">
        <v>129508.75</v>
      </c>
      <c r="BB275">
        <v>130380</v>
      </c>
      <c r="BC275">
        <v>133610</v>
      </c>
      <c r="BD275">
        <v>133800</v>
      </c>
      <c r="BE275">
        <v>141080</v>
      </c>
      <c r="BF275">
        <v>147500</v>
      </c>
      <c r="BG275">
        <v>155382.03049999999</v>
      </c>
      <c r="BH275">
        <v>165585.11799999999</v>
      </c>
      <c r="BI275">
        <v>166416.67000000001</v>
      </c>
      <c r="BJ275">
        <v>166416.67000000001</v>
      </c>
      <c r="BK275">
        <v>173582.95749999999</v>
      </c>
      <c r="BL275">
        <v>190388.68799999999</v>
      </c>
      <c r="BM275">
        <v>212150</v>
      </c>
      <c r="BN275">
        <v>283513.16900000011</v>
      </c>
      <c r="BO275">
        <v>415377.23</v>
      </c>
      <c r="BP275">
        <v>415377.23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 x14ac:dyDescent="0.35">
      <c r="A276">
        <v>337949</v>
      </c>
      <c r="B276" t="s">
        <v>388</v>
      </c>
      <c r="C276" t="s">
        <v>389</v>
      </c>
      <c r="D276" s="1">
        <v>45786</v>
      </c>
      <c r="E276">
        <v>53850</v>
      </c>
      <c r="F276">
        <v>169</v>
      </c>
      <c r="G276" t="s">
        <v>660</v>
      </c>
      <c r="H276" t="s">
        <v>48</v>
      </c>
      <c r="I276" t="s">
        <v>49</v>
      </c>
      <c r="K276">
        <v>202505087961711</v>
      </c>
      <c r="L276">
        <v>1693302224752</v>
      </c>
      <c r="M276">
        <v>20250508</v>
      </c>
      <c r="N276" t="s">
        <v>392</v>
      </c>
      <c r="Q276" t="s">
        <v>58</v>
      </c>
      <c r="R276">
        <v>110000</v>
      </c>
      <c r="S276">
        <v>0</v>
      </c>
      <c r="T276">
        <v>4137454</v>
      </c>
      <c r="U276" t="s">
        <v>661</v>
      </c>
      <c r="V276" t="s">
        <v>662</v>
      </c>
      <c r="W276" t="s">
        <v>50</v>
      </c>
      <c r="Y276" t="s">
        <v>51</v>
      </c>
      <c r="Z276">
        <v>1261</v>
      </c>
      <c r="AH276">
        <v>0</v>
      </c>
      <c r="AI276">
        <v>202505</v>
      </c>
      <c r="AJ276" t="s">
        <v>168</v>
      </c>
      <c r="AK276">
        <v>1</v>
      </c>
      <c r="AL276">
        <v>1</v>
      </c>
      <c r="AO276">
        <v>0</v>
      </c>
      <c r="AP276">
        <v>999</v>
      </c>
      <c r="AQ276">
        <v>600</v>
      </c>
      <c r="AR276">
        <v>600999</v>
      </c>
      <c r="AS276" t="s">
        <v>52</v>
      </c>
      <c r="AU276" t="s">
        <v>52</v>
      </c>
      <c r="AV276">
        <v>107500</v>
      </c>
      <c r="AW276">
        <v>109625</v>
      </c>
      <c r="AX276">
        <v>110000</v>
      </c>
      <c r="AY276">
        <v>112750</v>
      </c>
      <c r="AZ276">
        <v>120738</v>
      </c>
      <c r="BA276">
        <v>129508.75</v>
      </c>
      <c r="BB276">
        <v>130380</v>
      </c>
      <c r="BC276">
        <v>133610</v>
      </c>
      <c r="BD276">
        <v>133800</v>
      </c>
      <c r="BE276">
        <v>141080</v>
      </c>
      <c r="BF276">
        <v>147500</v>
      </c>
      <c r="BG276">
        <v>155382.03049999999</v>
      </c>
      <c r="BH276">
        <v>165585.11799999999</v>
      </c>
      <c r="BI276">
        <v>166416.67000000001</v>
      </c>
      <c r="BJ276">
        <v>166416.67000000001</v>
      </c>
      <c r="BK276">
        <v>173582.95749999999</v>
      </c>
      <c r="BL276">
        <v>190388.68799999999</v>
      </c>
      <c r="BM276">
        <v>212150</v>
      </c>
      <c r="BN276">
        <v>283513.16900000011</v>
      </c>
      <c r="BO276">
        <v>415377.23</v>
      </c>
      <c r="BP276">
        <v>415377.23</v>
      </c>
      <c r="BQ276">
        <v>1</v>
      </c>
      <c r="BR276">
        <v>1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 x14ac:dyDescent="0.35">
      <c r="A277">
        <v>337934</v>
      </c>
      <c r="B277" t="s">
        <v>388</v>
      </c>
      <c r="C277" t="s">
        <v>389</v>
      </c>
      <c r="D277" s="1">
        <v>45786</v>
      </c>
      <c r="E277">
        <v>53850</v>
      </c>
      <c r="F277">
        <v>103</v>
      </c>
      <c r="G277" t="s">
        <v>59</v>
      </c>
      <c r="H277" t="s">
        <v>48</v>
      </c>
      <c r="I277" t="s">
        <v>49</v>
      </c>
      <c r="K277">
        <v>202505087961475</v>
      </c>
      <c r="L277">
        <v>1033306978389</v>
      </c>
      <c r="M277">
        <v>20250508</v>
      </c>
      <c r="N277" t="s">
        <v>392</v>
      </c>
      <c r="Q277" t="s">
        <v>58</v>
      </c>
      <c r="R277">
        <v>400000</v>
      </c>
      <c r="S277">
        <v>0</v>
      </c>
      <c r="T277">
        <v>4912146</v>
      </c>
      <c r="U277">
        <v>8078930727</v>
      </c>
      <c r="V277" t="s">
        <v>520</v>
      </c>
      <c r="W277" t="s">
        <v>56</v>
      </c>
      <c r="X277" t="s">
        <v>62</v>
      </c>
      <c r="Y277" t="s">
        <v>51</v>
      </c>
      <c r="Z277">
        <v>739</v>
      </c>
      <c r="AH277">
        <v>0</v>
      </c>
      <c r="AI277">
        <v>202505</v>
      </c>
      <c r="AJ277" t="s">
        <v>168</v>
      </c>
      <c r="AK277">
        <v>1</v>
      </c>
      <c r="AL277">
        <v>1</v>
      </c>
      <c r="AO277">
        <v>0</v>
      </c>
      <c r="AP277">
        <v>412</v>
      </c>
      <c r="AQ277">
        <v>430</v>
      </c>
      <c r="AR277">
        <v>430412</v>
      </c>
      <c r="AS277" t="s">
        <v>61</v>
      </c>
      <c r="AU277" t="s">
        <v>61</v>
      </c>
      <c r="AV277">
        <v>85050</v>
      </c>
      <c r="AW277">
        <v>89030</v>
      </c>
      <c r="AX277">
        <v>91669.203999999998</v>
      </c>
      <c r="AY277">
        <v>93087.394</v>
      </c>
      <c r="AZ277">
        <v>94164.18</v>
      </c>
      <c r="BA277">
        <v>96798.05</v>
      </c>
      <c r="BB277">
        <v>100000</v>
      </c>
      <c r="BC277">
        <v>100000</v>
      </c>
      <c r="BD277">
        <v>101589.726</v>
      </c>
      <c r="BE277">
        <v>106295.712</v>
      </c>
      <c r="BF277">
        <v>110193.28</v>
      </c>
      <c r="BG277">
        <v>119645.424</v>
      </c>
      <c r="BH277">
        <v>127698</v>
      </c>
      <c r="BI277">
        <v>137713.79399999999</v>
      </c>
      <c r="BJ277">
        <v>139806</v>
      </c>
      <c r="BK277">
        <v>150000</v>
      </c>
      <c r="BL277">
        <v>161820.22</v>
      </c>
      <c r="BM277">
        <v>190199.99999999991</v>
      </c>
      <c r="BN277">
        <v>213800</v>
      </c>
      <c r="BO277">
        <v>259913.9999999998</v>
      </c>
      <c r="BP277">
        <v>440000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0</v>
      </c>
    </row>
    <row r="278" spans="1:89" x14ac:dyDescent="0.35">
      <c r="A278">
        <v>337931</v>
      </c>
      <c r="B278" t="s">
        <v>388</v>
      </c>
      <c r="C278" t="s">
        <v>389</v>
      </c>
      <c r="D278" s="1">
        <v>45786</v>
      </c>
      <c r="E278">
        <v>53850</v>
      </c>
      <c r="F278">
        <v>108</v>
      </c>
      <c r="G278" t="s">
        <v>89</v>
      </c>
      <c r="H278" t="s">
        <v>48</v>
      </c>
      <c r="I278" t="s">
        <v>49</v>
      </c>
      <c r="K278" t="s">
        <v>343</v>
      </c>
      <c r="L278">
        <v>1083306290559</v>
      </c>
      <c r="M278">
        <v>20250508</v>
      </c>
      <c r="N278" t="s">
        <v>262</v>
      </c>
      <c r="Q278" t="s">
        <v>58</v>
      </c>
      <c r="R278">
        <v>106569.77</v>
      </c>
      <c r="S278">
        <v>2000</v>
      </c>
      <c r="T278">
        <v>4902977</v>
      </c>
      <c r="U278">
        <v>8081970728</v>
      </c>
      <c r="V278" t="s">
        <v>663</v>
      </c>
      <c r="W278" t="s">
        <v>56</v>
      </c>
      <c r="X278" t="s">
        <v>363</v>
      </c>
      <c r="Y278" t="s">
        <v>51</v>
      </c>
      <c r="Z278">
        <v>1058</v>
      </c>
      <c r="AH278">
        <v>0</v>
      </c>
      <c r="AI278">
        <v>202505</v>
      </c>
      <c r="AJ278" t="s">
        <v>168</v>
      </c>
      <c r="AK278">
        <v>1</v>
      </c>
      <c r="AL278">
        <v>1</v>
      </c>
      <c r="AO278">
        <v>1</v>
      </c>
      <c r="AP278">
        <v>999</v>
      </c>
      <c r="AQ278">
        <v>430</v>
      </c>
      <c r="AR278">
        <v>430999</v>
      </c>
      <c r="AT278">
        <v>1</v>
      </c>
      <c r="AU278" t="s">
        <v>57</v>
      </c>
      <c r="AV278">
        <v>101552.46</v>
      </c>
      <c r="AW278">
        <v>114647.6485</v>
      </c>
      <c r="AX278">
        <v>118167.008</v>
      </c>
      <c r="AY278">
        <v>123559.05899999999</v>
      </c>
      <c r="AZ278">
        <v>128796.368</v>
      </c>
      <c r="BA278">
        <v>130000</v>
      </c>
      <c r="BB278">
        <v>135819.11300000001</v>
      </c>
      <c r="BC278">
        <v>145008.255</v>
      </c>
      <c r="BD278">
        <v>146226.546</v>
      </c>
      <c r="BE278">
        <v>148171.67300000001</v>
      </c>
      <c r="BF278">
        <v>156533.16500000001</v>
      </c>
      <c r="BG278">
        <v>167340.8915</v>
      </c>
      <c r="BH278">
        <v>179808.78</v>
      </c>
      <c r="BI278">
        <v>187222.14799999999</v>
      </c>
      <c r="BJ278">
        <v>206328.26500000001</v>
      </c>
      <c r="BK278">
        <v>220390.6225</v>
      </c>
      <c r="BL278">
        <v>239280.00000000009</v>
      </c>
      <c r="BM278">
        <v>298738.61</v>
      </c>
      <c r="BN278">
        <v>365407.64500000002</v>
      </c>
      <c r="BO278">
        <v>399465.49400000001</v>
      </c>
      <c r="BP278">
        <v>515709.15</v>
      </c>
      <c r="BQ278">
        <v>1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 x14ac:dyDescent="0.35">
      <c r="A279">
        <v>337903</v>
      </c>
      <c r="B279" t="s">
        <v>388</v>
      </c>
      <c r="C279" t="s">
        <v>389</v>
      </c>
      <c r="D279" s="1">
        <v>45785</v>
      </c>
      <c r="E279">
        <v>53850</v>
      </c>
      <c r="F279">
        <v>104</v>
      </c>
      <c r="G279" t="s">
        <v>53</v>
      </c>
      <c r="H279" t="s">
        <v>48</v>
      </c>
      <c r="I279" t="s">
        <v>49</v>
      </c>
      <c r="K279" t="s">
        <v>344</v>
      </c>
      <c r="L279">
        <v>1043309505756</v>
      </c>
      <c r="M279">
        <v>20250507</v>
      </c>
      <c r="N279" t="s">
        <v>262</v>
      </c>
      <c r="Q279" t="s">
        <v>58</v>
      </c>
      <c r="R279">
        <v>234603.63</v>
      </c>
      <c r="S279">
        <v>10000</v>
      </c>
      <c r="T279">
        <v>4287383</v>
      </c>
      <c r="U279">
        <v>6390440722</v>
      </c>
      <c r="V279" t="s">
        <v>664</v>
      </c>
      <c r="W279" t="s">
        <v>56</v>
      </c>
      <c r="X279" t="s">
        <v>665</v>
      </c>
      <c r="Y279" t="s">
        <v>51</v>
      </c>
      <c r="Z279">
        <v>1696</v>
      </c>
      <c r="AH279">
        <v>0</v>
      </c>
      <c r="AI279">
        <v>202505</v>
      </c>
      <c r="AJ279" t="s">
        <v>54</v>
      </c>
      <c r="AK279">
        <v>0</v>
      </c>
      <c r="AL279">
        <v>1</v>
      </c>
      <c r="AM279">
        <v>4287383</v>
      </c>
      <c r="AN279">
        <v>1</v>
      </c>
      <c r="AO279">
        <v>1</v>
      </c>
      <c r="AP279">
        <v>999</v>
      </c>
      <c r="AQ279">
        <v>430</v>
      </c>
      <c r="AR279">
        <v>430999</v>
      </c>
      <c r="AT279">
        <v>1</v>
      </c>
      <c r="AU279" t="s">
        <v>57</v>
      </c>
      <c r="AV279">
        <v>101552.46</v>
      </c>
      <c r="AW279">
        <v>114647.6485</v>
      </c>
      <c r="AX279">
        <v>118167.008</v>
      </c>
      <c r="AY279">
        <v>123559.05899999999</v>
      </c>
      <c r="AZ279">
        <v>128796.368</v>
      </c>
      <c r="BA279">
        <v>130000</v>
      </c>
      <c r="BB279">
        <v>135819.11300000001</v>
      </c>
      <c r="BC279">
        <v>145008.255</v>
      </c>
      <c r="BD279">
        <v>146226.546</v>
      </c>
      <c r="BE279">
        <v>148171.67300000001</v>
      </c>
      <c r="BF279">
        <v>156533.16500000001</v>
      </c>
      <c r="BG279">
        <v>167340.8915</v>
      </c>
      <c r="BH279">
        <v>179808.78</v>
      </c>
      <c r="BI279">
        <v>187222.14799999999</v>
      </c>
      <c r="BJ279">
        <v>206328.26500000001</v>
      </c>
      <c r="BK279">
        <v>220390.6225</v>
      </c>
      <c r="BL279">
        <v>239280.00000000009</v>
      </c>
      <c r="BM279">
        <v>298738.61</v>
      </c>
      <c r="BN279">
        <v>365407.64500000002</v>
      </c>
      <c r="BO279">
        <v>399465.49400000001</v>
      </c>
      <c r="BP279">
        <v>515709.15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 x14ac:dyDescent="0.35">
      <c r="A280">
        <v>337900</v>
      </c>
      <c r="B280" t="s">
        <v>388</v>
      </c>
      <c r="C280" t="s">
        <v>389</v>
      </c>
      <c r="D280" s="1">
        <v>45785</v>
      </c>
      <c r="E280">
        <v>53850</v>
      </c>
      <c r="F280">
        <v>171</v>
      </c>
      <c r="G280" t="s">
        <v>70</v>
      </c>
      <c r="H280" t="s">
        <v>48</v>
      </c>
      <c r="I280" t="s">
        <v>49</v>
      </c>
      <c r="K280" t="s">
        <v>344</v>
      </c>
      <c r="L280">
        <v>1713302214147</v>
      </c>
      <c r="M280">
        <v>20250507</v>
      </c>
      <c r="N280" t="s">
        <v>253</v>
      </c>
      <c r="Q280" t="s">
        <v>58</v>
      </c>
      <c r="R280">
        <v>178955</v>
      </c>
      <c r="S280">
        <v>178955</v>
      </c>
      <c r="T280">
        <v>4199319</v>
      </c>
      <c r="U280">
        <v>6037810725</v>
      </c>
      <c r="V280" t="s">
        <v>317</v>
      </c>
      <c r="W280" t="s">
        <v>56</v>
      </c>
      <c r="X280" t="s">
        <v>258</v>
      </c>
      <c r="Y280" t="s">
        <v>51</v>
      </c>
      <c r="Z280">
        <v>1903</v>
      </c>
      <c r="AH280">
        <v>0</v>
      </c>
      <c r="AI280">
        <v>202505</v>
      </c>
      <c r="AJ280" t="s">
        <v>168</v>
      </c>
      <c r="AK280">
        <v>1</v>
      </c>
      <c r="AL280">
        <v>1</v>
      </c>
      <c r="AM280">
        <v>4199319</v>
      </c>
      <c r="AN280">
        <v>1</v>
      </c>
      <c r="AO280">
        <v>0</v>
      </c>
      <c r="AP280">
        <v>999</v>
      </c>
      <c r="AQ280">
        <v>430</v>
      </c>
      <c r="AR280">
        <v>430999</v>
      </c>
      <c r="AT280">
        <v>1</v>
      </c>
      <c r="AU280" t="s">
        <v>57</v>
      </c>
      <c r="AV280">
        <v>101552.46</v>
      </c>
      <c r="AW280">
        <v>114647.6485</v>
      </c>
      <c r="AX280">
        <v>118167.008</v>
      </c>
      <c r="AY280">
        <v>123559.05899999999</v>
      </c>
      <c r="AZ280">
        <v>128796.368</v>
      </c>
      <c r="BA280">
        <v>130000</v>
      </c>
      <c r="BB280">
        <v>135819.11300000001</v>
      </c>
      <c r="BC280">
        <v>145008.255</v>
      </c>
      <c r="BD280">
        <v>146226.546</v>
      </c>
      <c r="BE280">
        <v>148171.67300000001</v>
      </c>
      <c r="BF280">
        <v>156533.16500000001</v>
      </c>
      <c r="BG280">
        <v>167340.8915</v>
      </c>
      <c r="BH280">
        <v>179808.78</v>
      </c>
      <c r="BI280">
        <v>187222.14799999999</v>
      </c>
      <c r="BJ280">
        <v>206328.26500000001</v>
      </c>
      <c r="BK280">
        <v>220390.6225</v>
      </c>
      <c r="BL280">
        <v>239280.00000000009</v>
      </c>
      <c r="BM280">
        <v>298738.61</v>
      </c>
      <c r="BN280">
        <v>365407.64500000002</v>
      </c>
      <c r="BO280">
        <v>399465.49400000001</v>
      </c>
      <c r="BP280">
        <v>515709.15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 x14ac:dyDescent="0.35">
      <c r="A281">
        <v>337896</v>
      </c>
      <c r="B281" t="s">
        <v>388</v>
      </c>
      <c r="C281" t="s">
        <v>389</v>
      </c>
      <c r="D281" s="1">
        <v>45785</v>
      </c>
      <c r="E281">
        <v>53850</v>
      </c>
      <c r="F281">
        <v>171</v>
      </c>
      <c r="G281" t="s">
        <v>70</v>
      </c>
      <c r="H281" t="s">
        <v>48</v>
      </c>
      <c r="I281" t="s">
        <v>49</v>
      </c>
      <c r="K281" t="s">
        <v>344</v>
      </c>
      <c r="L281">
        <v>1713305728950</v>
      </c>
      <c r="M281">
        <v>20250507</v>
      </c>
      <c r="N281" t="s">
        <v>253</v>
      </c>
      <c r="Q281" t="s">
        <v>58</v>
      </c>
      <c r="R281">
        <v>493451.85</v>
      </c>
      <c r="S281">
        <v>493451.85</v>
      </c>
      <c r="T281">
        <v>572895</v>
      </c>
      <c r="U281">
        <v>4161600723</v>
      </c>
      <c r="V281" t="s">
        <v>257</v>
      </c>
      <c r="W281" t="s">
        <v>56</v>
      </c>
      <c r="X281" t="s">
        <v>258</v>
      </c>
      <c r="Y281" t="s">
        <v>51</v>
      </c>
      <c r="Z281">
        <v>1903</v>
      </c>
      <c r="AH281">
        <v>0</v>
      </c>
      <c r="AI281">
        <v>202505</v>
      </c>
      <c r="AJ281" t="s">
        <v>168</v>
      </c>
      <c r="AK281">
        <v>1</v>
      </c>
      <c r="AL281">
        <v>1</v>
      </c>
      <c r="AM281">
        <v>572895</v>
      </c>
      <c r="AN281">
        <v>1</v>
      </c>
      <c r="AO281">
        <v>0</v>
      </c>
      <c r="AP281">
        <v>999</v>
      </c>
      <c r="AQ281">
        <v>430</v>
      </c>
      <c r="AR281">
        <v>430999</v>
      </c>
      <c r="AT281">
        <v>1</v>
      </c>
      <c r="AU281" t="s">
        <v>57</v>
      </c>
      <c r="AV281">
        <v>101552.46</v>
      </c>
      <c r="AW281">
        <v>114647.6485</v>
      </c>
      <c r="AX281">
        <v>118167.008</v>
      </c>
      <c r="AY281">
        <v>123559.05899999999</v>
      </c>
      <c r="AZ281">
        <v>128796.368</v>
      </c>
      <c r="BA281">
        <v>130000</v>
      </c>
      <c r="BB281">
        <v>135819.11300000001</v>
      </c>
      <c r="BC281">
        <v>145008.255</v>
      </c>
      <c r="BD281">
        <v>146226.546</v>
      </c>
      <c r="BE281">
        <v>148171.67300000001</v>
      </c>
      <c r="BF281">
        <v>156533.16500000001</v>
      </c>
      <c r="BG281">
        <v>167340.8915</v>
      </c>
      <c r="BH281">
        <v>179808.78</v>
      </c>
      <c r="BI281">
        <v>187222.14799999999</v>
      </c>
      <c r="BJ281">
        <v>206328.26500000001</v>
      </c>
      <c r="BK281">
        <v>220390.6225</v>
      </c>
      <c r="BL281">
        <v>239280.00000000009</v>
      </c>
      <c r="BM281">
        <v>298738.61</v>
      </c>
      <c r="BN281">
        <v>365407.64500000002</v>
      </c>
      <c r="BO281">
        <v>399465.49400000001</v>
      </c>
      <c r="BP281">
        <v>515709.15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0</v>
      </c>
    </row>
    <row r="282" spans="1:89" x14ac:dyDescent="0.35">
      <c r="A282">
        <v>337890</v>
      </c>
      <c r="B282" t="s">
        <v>388</v>
      </c>
      <c r="C282" t="s">
        <v>389</v>
      </c>
      <c r="D282" s="1">
        <v>45785</v>
      </c>
      <c r="E282">
        <v>53850</v>
      </c>
      <c r="F282">
        <v>116</v>
      </c>
      <c r="G282" t="s">
        <v>259</v>
      </c>
      <c r="H282" t="s">
        <v>48</v>
      </c>
      <c r="I282" t="s">
        <v>49</v>
      </c>
      <c r="K282">
        <v>202505077958620</v>
      </c>
      <c r="L282">
        <v>1163307623465</v>
      </c>
      <c r="M282">
        <v>20250507</v>
      </c>
      <c r="N282" t="s">
        <v>392</v>
      </c>
      <c r="Q282" t="s">
        <v>58</v>
      </c>
      <c r="R282">
        <v>120000</v>
      </c>
      <c r="S282">
        <v>0</v>
      </c>
      <c r="T282">
        <v>3738297</v>
      </c>
      <c r="U282">
        <v>8684570727</v>
      </c>
      <c r="V282" t="s">
        <v>438</v>
      </c>
      <c r="W282" t="s">
        <v>56</v>
      </c>
      <c r="X282" t="s">
        <v>62</v>
      </c>
      <c r="Y282" t="s">
        <v>51</v>
      </c>
      <c r="Z282">
        <v>739</v>
      </c>
      <c r="AH282">
        <v>0</v>
      </c>
      <c r="AI282">
        <v>202505</v>
      </c>
      <c r="AJ282" t="s">
        <v>168</v>
      </c>
      <c r="AK282">
        <v>1</v>
      </c>
      <c r="AL282">
        <v>1</v>
      </c>
      <c r="AO282">
        <v>0</v>
      </c>
      <c r="AP282">
        <v>412</v>
      </c>
      <c r="AQ282">
        <v>430</v>
      </c>
      <c r="AR282">
        <v>430412</v>
      </c>
      <c r="AS282" t="s">
        <v>61</v>
      </c>
      <c r="AU282" t="s">
        <v>61</v>
      </c>
      <c r="AV282">
        <v>85050</v>
      </c>
      <c r="AW282">
        <v>89030</v>
      </c>
      <c r="AX282">
        <v>91669.203999999998</v>
      </c>
      <c r="AY282">
        <v>93087.394</v>
      </c>
      <c r="AZ282">
        <v>94164.18</v>
      </c>
      <c r="BA282">
        <v>96798.05</v>
      </c>
      <c r="BB282">
        <v>100000</v>
      </c>
      <c r="BC282">
        <v>100000</v>
      </c>
      <c r="BD282">
        <v>101589.726</v>
      </c>
      <c r="BE282">
        <v>106295.712</v>
      </c>
      <c r="BF282">
        <v>110193.28</v>
      </c>
      <c r="BG282">
        <v>119645.424</v>
      </c>
      <c r="BH282">
        <v>127698</v>
      </c>
      <c r="BI282">
        <v>137713.79399999999</v>
      </c>
      <c r="BJ282">
        <v>139806</v>
      </c>
      <c r="BK282">
        <v>150000</v>
      </c>
      <c r="BL282">
        <v>161820.22</v>
      </c>
      <c r="BM282">
        <v>190199.99999999991</v>
      </c>
      <c r="BN282">
        <v>213800</v>
      </c>
      <c r="BO282">
        <v>259913.9999999998</v>
      </c>
      <c r="BP282">
        <v>440000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 x14ac:dyDescent="0.35">
      <c r="A283">
        <v>337889</v>
      </c>
      <c r="B283" t="s">
        <v>388</v>
      </c>
      <c r="C283" t="s">
        <v>389</v>
      </c>
      <c r="D283" s="1">
        <v>45785</v>
      </c>
      <c r="E283">
        <v>53850</v>
      </c>
      <c r="F283">
        <v>161</v>
      </c>
      <c r="G283" t="s">
        <v>95</v>
      </c>
      <c r="H283" t="s">
        <v>48</v>
      </c>
      <c r="I283" t="s">
        <v>49</v>
      </c>
      <c r="K283" t="s">
        <v>344</v>
      </c>
      <c r="L283">
        <v>1613300029653</v>
      </c>
      <c r="M283">
        <v>20250507</v>
      </c>
      <c r="N283" t="s">
        <v>262</v>
      </c>
      <c r="Q283" t="s">
        <v>58</v>
      </c>
      <c r="R283">
        <v>118009.65</v>
      </c>
      <c r="S283">
        <v>5500</v>
      </c>
      <c r="T283">
        <v>4088769</v>
      </c>
      <c r="U283">
        <v>5150120722</v>
      </c>
      <c r="V283" t="s">
        <v>407</v>
      </c>
      <c r="W283" t="s">
        <v>56</v>
      </c>
      <c r="X283" t="s">
        <v>78</v>
      </c>
      <c r="Y283" t="s">
        <v>51</v>
      </c>
      <c r="Z283">
        <v>1903</v>
      </c>
      <c r="AH283">
        <v>0</v>
      </c>
      <c r="AI283">
        <v>202505</v>
      </c>
      <c r="AJ283" t="s">
        <v>63</v>
      </c>
      <c r="AK283">
        <v>0</v>
      </c>
      <c r="AL283">
        <v>1</v>
      </c>
      <c r="AM283">
        <v>4088769</v>
      </c>
      <c r="AN283">
        <v>1</v>
      </c>
      <c r="AO283">
        <v>1</v>
      </c>
      <c r="AP283">
        <v>464</v>
      </c>
      <c r="AQ283">
        <v>430</v>
      </c>
      <c r="AR283">
        <v>430464</v>
      </c>
      <c r="AS283" t="s">
        <v>79</v>
      </c>
      <c r="AU283" t="s">
        <v>79</v>
      </c>
      <c r="AV283">
        <v>76382.789999999994</v>
      </c>
      <c r="AW283">
        <v>79891.56</v>
      </c>
      <c r="AX283">
        <v>79937.08</v>
      </c>
      <c r="AY283">
        <v>88865.89</v>
      </c>
      <c r="AZ283">
        <v>94634.78</v>
      </c>
      <c r="BA283">
        <v>97229.53</v>
      </c>
      <c r="BB283">
        <v>98360.01</v>
      </c>
      <c r="BC283">
        <v>100000</v>
      </c>
      <c r="BD283">
        <v>104738.68</v>
      </c>
      <c r="BE283">
        <v>108176.82</v>
      </c>
      <c r="BF283">
        <v>110891.36</v>
      </c>
      <c r="BG283">
        <v>115427.47</v>
      </c>
      <c r="BH283">
        <v>118009.65</v>
      </c>
      <c r="BI283">
        <v>136718.03</v>
      </c>
      <c r="BJ283">
        <v>148758.49</v>
      </c>
      <c r="BK283">
        <v>182944.14</v>
      </c>
      <c r="BL283">
        <v>217448.27</v>
      </c>
      <c r="BM283">
        <v>222704.65</v>
      </c>
      <c r="BN283">
        <v>225130.1</v>
      </c>
      <c r="BO283">
        <v>259946.2</v>
      </c>
      <c r="BP283">
        <v>270019.89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 x14ac:dyDescent="0.35">
      <c r="A284">
        <v>337888</v>
      </c>
      <c r="B284" t="s">
        <v>388</v>
      </c>
      <c r="C284" t="s">
        <v>389</v>
      </c>
      <c r="D284" s="1">
        <v>45785</v>
      </c>
      <c r="E284">
        <v>53850</v>
      </c>
      <c r="F284">
        <v>282</v>
      </c>
      <c r="G284" t="s">
        <v>353</v>
      </c>
      <c r="H284" t="s">
        <v>48</v>
      </c>
      <c r="I284" t="s">
        <v>49</v>
      </c>
      <c r="K284">
        <v>202505077958968</v>
      </c>
      <c r="L284">
        <v>2823300002892</v>
      </c>
      <c r="M284">
        <v>20250507</v>
      </c>
      <c r="N284" t="s">
        <v>392</v>
      </c>
      <c r="Q284" t="s">
        <v>58</v>
      </c>
      <c r="R284">
        <v>101552.46</v>
      </c>
      <c r="S284">
        <v>0</v>
      </c>
      <c r="T284">
        <v>1706728</v>
      </c>
      <c r="U284">
        <v>2018990693</v>
      </c>
      <c r="V284" t="s">
        <v>666</v>
      </c>
      <c r="W284" t="s">
        <v>56</v>
      </c>
      <c r="X284" t="s">
        <v>235</v>
      </c>
      <c r="Y284" t="s">
        <v>51</v>
      </c>
      <c r="Z284">
        <v>1877</v>
      </c>
      <c r="AH284">
        <v>0</v>
      </c>
      <c r="AI284">
        <v>202505</v>
      </c>
      <c r="AJ284" t="s">
        <v>63</v>
      </c>
      <c r="AK284">
        <v>0</v>
      </c>
      <c r="AL284">
        <v>1</v>
      </c>
      <c r="AO284">
        <v>0</v>
      </c>
      <c r="AP284">
        <v>999</v>
      </c>
      <c r="AQ284">
        <v>430</v>
      </c>
      <c r="AR284">
        <v>430999</v>
      </c>
      <c r="AT284">
        <v>1</v>
      </c>
      <c r="AU284" t="s">
        <v>57</v>
      </c>
      <c r="AV284">
        <v>101552.46</v>
      </c>
      <c r="AW284">
        <v>114647.6485</v>
      </c>
      <c r="AX284">
        <v>118167.008</v>
      </c>
      <c r="AY284">
        <v>123559.05899999999</v>
      </c>
      <c r="AZ284">
        <v>128796.368</v>
      </c>
      <c r="BA284">
        <v>130000</v>
      </c>
      <c r="BB284">
        <v>135819.11300000001</v>
      </c>
      <c r="BC284">
        <v>145008.255</v>
      </c>
      <c r="BD284">
        <v>146226.546</v>
      </c>
      <c r="BE284">
        <v>148171.67300000001</v>
      </c>
      <c r="BF284">
        <v>156533.16500000001</v>
      </c>
      <c r="BG284">
        <v>167340.8915</v>
      </c>
      <c r="BH284">
        <v>179808.78</v>
      </c>
      <c r="BI284">
        <v>187222.14799999999</v>
      </c>
      <c r="BJ284">
        <v>206328.26500000001</v>
      </c>
      <c r="BK284">
        <v>220390.6225</v>
      </c>
      <c r="BL284">
        <v>239280.00000000009</v>
      </c>
      <c r="BM284">
        <v>298738.61</v>
      </c>
      <c r="BN284">
        <v>365407.64500000002</v>
      </c>
      <c r="BO284">
        <v>399465.49400000001</v>
      </c>
      <c r="BP284">
        <v>515709.15</v>
      </c>
      <c r="BQ284">
        <v>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 x14ac:dyDescent="0.35">
      <c r="A285">
        <v>337881</v>
      </c>
      <c r="B285" t="s">
        <v>388</v>
      </c>
      <c r="C285" t="s">
        <v>389</v>
      </c>
      <c r="D285" s="1">
        <v>45785</v>
      </c>
      <c r="E285">
        <v>53850</v>
      </c>
      <c r="F285">
        <v>121</v>
      </c>
      <c r="G285" t="s">
        <v>71</v>
      </c>
      <c r="H285" t="s">
        <v>48</v>
      </c>
      <c r="I285" t="s">
        <v>49</v>
      </c>
      <c r="K285">
        <v>202505077958635</v>
      </c>
      <c r="L285">
        <v>1213300002971</v>
      </c>
      <c r="M285">
        <v>20250507</v>
      </c>
      <c r="N285" t="s">
        <v>392</v>
      </c>
      <c r="Q285" t="s">
        <v>58</v>
      </c>
      <c r="R285">
        <v>200000</v>
      </c>
      <c r="S285">
        <v>0</v>
      </c>
      <c r="T285">
        <v>4859756</v>
      </c>
      <c r="U285">
        <v>7229510727</v>
      </c>
      <c r="V285" t="s">
        <v>574</v>
      </c>
      <c r="W285" t="s">
        <v>56</v>
      </c>
      <c r="X285" t="s">
        <v>575</v>
      </c>
      <c r="Y285" t="s">
        <v>51</v>
      </c>
      <c r="Z285">
        <v>1058</v>
      </c>
      <c r="AH285">
        <v>0</v>
      </c>
      <c r="AI285">
        <v>202505</v>
      </c>
      <c r="AJ285" t="s">
        <v>54</v>
      </c>
      <c r="AK285">
        <v>0</v>
      </c>
      <c r="AL285">
        <v>1</v>
      </c>
      <c r="AO285">
        <v>0</v>
      </c>
      <c r="AP285">
        <v>999</v>
      </c>
      <c r="AQ285">
        <v>430</v>
      </c>
      <c r="AR285">
        <v>430999</v>
      </c>
      <c r="AT285">
        <v>1</v>
      </c>
      <c r="AU285" t="s">
        <v>57</v>
      </c>
      <c r="AV285">
        <v>101552.46</v>
      </c>
      <c r="AW285">
        <v>114647.6485</v>
      </c>
      <c r="AX285">
        <v>118167.008</v>
      </c>
      <c r="AY285">
        <v>123559.05899999999</v>
      </c>
      <c r="AZ285">
        <v>128796.368</v>
      </c>
      <c r="BA285">
        <v>130000</v>
      </c>
      <c r="BB285">
        <v>135819.11300000001</v>
      </c>
      <c r="BC285">
        <v>145008.255</v>
      </c>
      <c r="BD285">
        <v>146226.546</v>
      </c>
      <c r="BE285">
        <v>148171.67300000001</v>
      </c>
      <c r="BF285">
        <v>156533.16500000001</v>
      </c>
      <c r="BG285">
        <v>167340.8915</v>
      </c>
      <c r="BH285">
        <v>179808.78</v>
      </c>
      <c r="BI285">
        <v>187222.14799999999</v>
      </c>
      <c r="BJ285">
        <v>206328.26500000001</v>
      </c>
      <c r="BK285">
        <v>220390.6225</v>
      </c>
      <c r="BL285">
        <v>239280.00000000009</v>
      </c>
      <c r="BM285">
        <v>298738.61</v>
      </c>
      <c r="BN285">
        <v>365407.64500000002</v>
      </c>
      <c r="BO285">
        <v>399465.49400000001</v>
      </c>
      <c r="BP285">
        <v>515709.15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 x14ac:dyDescent="0.35">
      <c r="A286">
        <v>337878</v>
      </c>
      <c r="B286" t="s">
        <v>388</v>
      </c>
      <c r="C286" t="s">
        <v>389</v>
      </c>
      <c r="D286" s="1">
        <v>45785</v>
      </c>
      <c r="E286">
        <v>53850</v>
      </c>
      <c r="F286">
        <v>216</v>
      </c>
      <c r="G286" t="s">
        <v>476</v>
      </c>
      <c r="H286" t="s">
        <v>48</v>
      </c>
      <c r="I286" t="s">
        <v>49</v>
      </c>
      <c r="K286">
        <v>202505077958868</v>
      </c>
      <c r="L286">
        <v>2163300011466</v>
      </c>
      <c r="M286">
        <v>20250507</v>
      </c>
      <c r="N286" t="s">
        <v>417</v>
      </c>
      <c r="Q286" t="s">
        <v>58</v>
      </c>
      <c r="R286">
        <v>145000</v>
      </c>
      <c r="S286">
        <v>0</v>
      </c>
      <c r="T286">
        <v>4512115</v>
      </c>
      <c r="U286">
        <v>916690670</v>
      </c>
      <c r="V286" t="s">
        <v>667</v>
      </c>
      <c r="W286" t="s">
        <v>56</v>
      </c>
      <c r="X286" t="s">
        <v>668</v>
      </c>
      <c r="Y286" t="s">
        <v>51</v>
      </c>
      <c r="Z286">
        <v>1595</v>
      </c>
      <c r="AH286">
        <v>0</v>
      </c>
      <c r="AI286">
        <v>202505</v>
      </c>
      <c r="AJ286" t="s">
        <v>63</v>
      </c>
      <c r="AK286">
        <v>0</v>
      </c>
      <c r="AL286">
        <v>1</v>
      </c>
      <c r="AO286">
        <v>0</v>
      </c>
      <c r="AP286">
        <v>999</v>
      </c>
      <c r="AQ286">
        <v>430</v>
      </c>
      <c r="AR286">
        <v>430999</v>
      </c>
      <c r="AT286">
        <v>1</v>
      </c>
      <c r="AU286" t="s">
        <v>57</v>
      </c>
      <c r="AV286">
        <v>101552.46</v>
      </c>
      <c r="AW286">
        <v>114647.6485</v>
      </c>
      <c r="AX286">
        <v>118167.008</v>
      </c>
      <c r="AY286">
        <v>123559.05899999999</v>
      </c>
      <c r="AZ286">
        <v>128796.368</v>
      </c>
      <c r="BA286">
        <v>130000</v>
      </c>
      <c r="BB286">
        <v>135819.11300000001</v>
      </c>
      <c r="BC286">
        <v>145008.255</v>
      </c>
      <c r="BD286">
        <v>146226.546</v>
      </c>
      <c r="BE286">
        <v>148171.67300000001</v>
      </c>
      <c r="BF286">
        <v>156533.16500000001</v>
      </c>
      <c r="BG286">
        <v>167340.8915</v>
      </c>
      <c r="BH286">
        <v>179808.78</v>
      </c>
      <c r="BI286">
        <v>187222.14799999999</v>
      </c>
      <c r="BJ286">
        <v>206328.26500000001</v>
      </c>
      <c r="BK286">
        <v>220390.6225</v>
      </c>
      <c r="BL286">
        <v>239280.00000000009</v>
      </c>
      <c r="BM286">
        <v>298738.61</v>
      </c>
      <c r="BN286">
        <v>365407.64500000002</v>
      </c>
      <c r="BO286">
        <v>399465.49400000001</v>
      </c>
      <c r="BP286">
        <v>515709.15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 x14ac:dyDescent="0.35">
      <c r="A287">
        <v>337873</v>
      </c>
      <c r="B287" t="s">
        <v>388</v>
      </c>
      <c r="C287" t="s">
        <v>389</v>
      </c>
      <c r="D287" s="1">
        <v>45785</v>
      </c>
      <c r="E287">
        <v>53850</v>
      </c>
      <c r="F287">
        <v>108</v>
      </c>
      <c r="G287" t="s">
        <v>89</v>
      </c>
      <c r="H287" t="s">
        <v>48</v>
      </c>
      <c r="I287" t="s">
        <v>49</v>
      </c>
      <c r="K287" t="s">
        <v>344</v>
      </c>
      <c r="L287">
        <v>1083306291105</v>
      </c>
      <c r="M287">
        <v>20250507</v>
      </c>
      <c r="N287" t="s">
        <v>262</v>
      </c>
      <c r="Q287" t="s">
        <v>58</v>
      </c>
      <c r="R287">
        <v>181643.69</v>
      </c>
      <c r="S287">
        <v>85265.95</v>
      </c>
      <c r="T287">
        <v>4227057</v>
      </c>
      <c r="U287">
        <v>4874620729</v>
      </c>
      <c r="V287" t="s">
        <v>263</v>
      </c>
      <c r="W287" t="s">
        <v>56</v>
      </c>
      <c r="X287" t="s">
        <v>264</v>
      </c>
      <c r="Y287" t="s">
        <v>51</v>
      </c>
      <c r="Z287">
        <v>1058</v>
      </c>
      <c r="AH287">
        <v>0</v>
      </c>
      <c r="AI287">
        <v>202505</v>
      </c>
      <c r="AJ287" t="s">
        <v>63</v>
      </c>
      <c r="AK287">
        <v>0</v>
      </c>
      <c r="AL287">
        <v>1</v>
      </c>
      <c r="AM287">
        <v>4227057</v>
      </c>
      <c r="AN287">
        <v>1</v>
      </c>
      <c r="AO287">
        <v>1</v>
      </c>
      <c r="AP287">
        <v>999</v>
      </c>
      <c r="AQ287">
        <v>430</v>
      </c>
      <c r="AR287">
        <v>430999</v>
      </c>
      <c r="AT287">
        <v>1</v>
      </c>
      <c r="AU287" t="s">
        <v>57</v>
      </c>
      <c r="AV287">
        <v>101552.46</v>
      </c>
      <c r="AW287">
        <v>114647.6485</v>
      </c>
      <c r="AX287">
        <v>118167.008</v>
      </c>
      <c r="AY287">
        <v>123559.05899999999</v>
      </c>
      <c r="AZ287">
        <v>128796.368</v>
      </c>
      <c r="BA287">
        <v>130000</v>
      </c>
      <c r="BB287">
        <v>135819.11300000001</v>
      </c>
      <c r="BC287">
        <v>145008.255</v>
      </c>
      <c r="BD287">
        <v>146226.546</v>
      </c>
      <c r="BE287">
        <v>148171.67300000001</v>
      </c>
      <c r="BF287">
        <v>156533.16500000001</v>
      </c>
      <c r="BG287">
        <v>167340.8915</v>
      </c>
      <c r="BH287">
        <v>179808.78</v>
      </c>
      <c r="BI287">
        <v>187222.14799999999</v>
      </c>
      <c r="BJ287">
        <v>206328.26500000001</v>
      </c>
      <c r="BK287">
        <v>220390.6225</v>
      </c>
      <c r="BL287">
        <v>239280.00000000009</v>
      </c>
      <c r="BM287">
        <v>298738.61</v>
      </c>
      <c r="BN287">
        <v>365407.64500000002</v>
      </c>
      <c r="BO287">
        <v>399465.49400000001</v>
      </c>
      <c r="BP287">
        <v>515709.15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 x14ac:dyDescent="0.35">
      <c r="A288">
        <v>337870</v>
      </c>
      <c r="B288" t="s">
        <v>388</v>
      </c>
      <c r="C288" t="s">
        <v>389</v>
      </c>
      <c r="D288" s="1">
        <v>45785</v>
      </c>
      <c r="E288">
        <v>53850</v>
      </c>
      <c r="F288">
        <v>170</v>
      </c>
      <c r="G288" t="s">
        <v>82</v>
      </c>
      <c r="H288" t="s">
        <v>48</v>
      </c>
      <c r="I288" t="s">
        <v>49</v>
      </c>
      <c r="K288">
        <v>202505077958749</v>
      </c>
      <c r="L288">
        <v>1703306290965</v>
      </c>
      <c r="M288">
        <v>20250507</v>
      </c>
      <c r="N288" t="s">
        <v>400</v>
      </c>
      <c r="Q288" t="s">
        <v>58</v>
      </c>
      <c r="R288">
        <v>224400</v>
      </c>
      <c r="S288">
        <v>0</v>
      </c>
      <c r="T288">
        <v>3734846</v>
      </c>
      <c r="U288">
        <v>8512530729</v>
      </c>
      <c r="V288" t="s">
        <v>439</v>
      </c>
      <c r="W288" t="s">
        <v>56</v>
      </c>
      <c r="X288" t="s">
        <v>62</v>
      </c>
      <c r="Y288" t="s">
        <v>51</v>
      </c>
      <c r="Z288">
        <v>1920</v>
      </c>
      <c r="AH288">
        <v>0</v>
      </c>
      <c r="AI288">
        <v>202505</v>
      </c>
      <c r="AJ288" t="s">
        <v>168</v>
      </c>
      <c r="AK288">
        <v>1</v>
      </c>
      <c r="AL288">
        <v>1</v>
      </c>
      <c r="AO288">
        <v>0</v>
      </c>
      <c r="AP288">
        <v>412</v>
      </c>
      <c r="AQ288">
        <v>430</v>
      </c>
      <c r="AR288">
        <v>430412</v>
      </c>
      <c r="AS288" t="s">
        <v>61</v>
      </c>
      <c r="AU288" t="s">
        <v>61</v>
      </c>
      <c r="AV288">
        <v>85050</v>
      </c>
      <c r="AW288">
        <v>89030</v>
      </c>
      <c r="AX288">
        <v>91669.203999999998</v>
      </c>
      <c r="AY288">
        <v>93087.394</v>
      </c>
      <c r="AZ288">
        <v>94164.18</v>
      </c>
      <c r="BA288">
        <v>96798.05</v>
      </c>
      <c r="BB288">
        <v>100000</v>
      </c>
      <c r="BC288">
        <v>100000</v>
      </c>
      <c r="BD288">
        <v>101589.726</v>
      </c>
      <c r="BE288">
        <v>106295.712</v>
      </c>
      <c r="BF288">
        <v>110193.28</v>
      </c>
      <c r="BG288">
        <v>119645.424</v>
      </c>
      <c r="BH288">
        <v>127698</v>
      </c>
      <c r="BI288">
        <v>137713.79399999999</v>
      </c>
      <c r="BJ288">
        <v>139806</v>
      </c>
      <c r="BK288">
        <v>150000</v>
      </c>
      <c r="BL288">
        <v>161820.22</v>
      </c>
      <c r="BM288">
        <v>190199.99999999991</v>
      </c>
      <c r="BN288">
        <v>213800</v>
      </c>
      <c r="BO288">
        <v>259913.9999999998</v>
      </c>
      <c r="BP288">
        <v>440000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0</v>
      </c>
      <c r="CK288">
        <v>0</v>
      </c>
    </row>
    <row r="289" spans="1:89" x14ac:dyDescent="0.35">
      <c r="A289">
        <v>337869</v>
      </c>
      <c r="B289" t="s">
        <v>388</v>
      </c>
      <c r="C289" t="s">
        <v>389</v>
      </c>
      <c r="D289" s="1">
        <v>45785</v>
      </c>
      <c r="E289">
        <v>53850</v>
      </c>
      <c r="F289">
        <v>145</v>
      </c>
      <c r="G289" t="s">
        <v>549</v>
      </c>
      <c r="H289" t="s">
        <v>48</v>
      </c>
      <c r="I289" t="s">
        <v>49</v>
      </c>
      <c r="K289" t="s">
        <v>344</v>
      </c>
      <c r="L289">
        <v>1453300003229</v>
      </c>
      <c r="M289">
        <v>20250507</v>
      </c>
      <c r="N289" t="s">
        <v>262</v>
      </c>
      <c r="Q289" t="s">
        <v>58</v>
      </c>
      <c r="R289">
        <v>135000</v>
      </c>
      <c r="S289">
        <v>0</v>
      </c>
      <c r="T289">
        <v>4933594</v>
      </c>
      <c r="U289">
        <v>7990761210</v>
      </c>
      <c r="V289" t="s">
        <v>669</v>
      </c>
      <c r="W289" t="s">
        <v>56</v>
      </c>
      <c r="X289" t="s">
        <v>530</v>
      </c>
      <c r="Y289" t="s">
        <v>51</v>
      </c>
      <c r="Z289">
        <v>1222</v>
      </c>
      <c r="AH289">
        <v>0</v>
      </c>
      <c r="AI289">
        <v>202505</v>
      </c>
      <c r="AJ289" t="s">
        <v>169</v>
      </c>
      <c r="AK289">
        <v>1</v>
      </c>
      <c r="AL289">
        <v>1</v>
      </c>
      <c r="AO289">
        <v>1</v>
      </c>
      <c r="AP289">
        <v>999</v>
      </c>
      <c r="AQ289">
        <v>430</v>
      </c>
      <c r="AR289">
        <v>430999</v>
      </c>
      <c r="AT289">
        <v>1</v>
      </c>
      <c r="AU289" t="s">
        <v>57</v>
      </c>
      <c r="AV289">
        <v>101552.46</v>
      </c>
      <c r="AW289">
        <v>114647.6485</v>
      </c>
      <c r="AX289">
        <v>118167.008</v>
      </c>
      <c r="AY289">
        <v>123559.05899999999</v>
      </c>
      <c r="AZ289">
        <v>128796.368</v>
      </c>
      <c r="BA289">
        <v>130000</v>
      </c>
      <c r="BB289">
        <v>135819.11300000001</v>
      </c>
      <c r="BC289">
        <v>145008.255</v>
      </c>
      <c r="BD289">
        <v>146226.546</v>
      </c>
      <c r="BE289">
        <v>148171.67300000001</v>
      </c>
      <c r="BF289">
        <v>156533.16500000001</v>
      </c>
      <c r="BG289">
        <v>167340.8915</v>
      </c>
      <c r="BH289">
        <v>179808.78</v>
      </c>
      <c r="BI289">
        <v>187222.14799999999</v>
      </c>
      <c r="BJ289">
        <v>206328.26500000001</v>
      </c>
      <c r="BK289">
        <v>220390.6225</v>
      </c>
      <c r="BL289">
        <v>239280.00000000009</v>
      </c>
      <c r="BM289">
        <v>298738.61</v>
      </c>
      <c r="BN289">
        <v>365407.64500000002</v>
      </c>
      <c r="BO289">
        <v>399465.49400000001</v>
      </c>
      <c r="BP289">
        <v>515709.15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 x14ac:dyDescent="0.35">
      <c r="A290">
        <v>337851</v>
      </c>
      <c r="B290" t="s">
        <v>388</v>
      </c>
      <c r="C290" t="s">
        <v>389</v>
      </c>
      <c r="D290" s="1">
        <v>45784</v>
      </c>
      <c r="E290">
        <v>53850</v>
      </c>
      <c r="F290">
        <v>121</v>
      </c>
      <c r="G290" t="s">
        <v>71</v>
      </c>
      <c r="H290" t="s">
        <v>48</v>
      </c>
      <c r="I290" t="s">
        <v>49</v>
      </c>
      <c r="K290">
        <v>202505067955388</v>
      </c>
      <c r="L290">
        <v>1213300003598</v>
      </c>
      <c r="M290">
        <v>20250506</v>
      </c>
      <c r="N290" t="s">
        <v>400</v>
      </c>
      <c r="Q290" t="s">
        <v>58</v>
      </c>
      <c r="R290">
        <v>400000</v>
      </c>
      <c r="S290">
        <v>0</v>
      </c>
      <c r="T290">
        <v>4822605</v>
      </c>
      <c r="U290" t="s">
        <v>670</v>
      </c>
      <c r="V290" t="s">
        <v>671</v>
      </c>
      <c r="W290" t="s">
        <v>50</v>
      </c>
      <c r="Y290" t="s">
        <v>51</v>
      </c>
      <c r="Z290">
        <v>1054</v>
      </c>
      <c r="AH290">
        <v>0</v>
      </c>
      <c r="AI290">
        <v>202505</v>
      </c>
      <c r="AJ290" t="s">
        <v>169</v>
      </c>
      <c r="AK290">
        <v>1</v>
      </c>
      <c r="AL290">
        <v>1</v>
      </c>
      <c r="AO290">
        <v>0</v>
      </c>
      <c r="AP290">
        <v>999</v>
      </c>
      <c r="AQ290">
        <v>600</v>
      </c>
      <c r="AR290">
        <v>600999</v>
      </c>
      <c r="AS290" t="s">
        <v>52</v>
      </c>
      <c r="AU290" t="s">
        <v>52</v>
      </c>
      <c r="AV290">
        <v>107500</v>
      </c>
      <c r="AW290">
        <v>109625</v>
      </c>
      <c r="AX290">
        <v>110000</v>
      </c>
      <c r="AY290">
        <v>112750</v>
      </c>
      <c r="AZ290">
        <v>120738</v>
      </c>
      <c r="BA290">
        <v>129508.75</v>
      </c>
      <c r="BB290">
        <v>130380</v>
      </c>
      <c r="BC290">
        <v>133610</v>
      </c>
      <c r="BD290">
        <v>133800</v>
      </c>
      <c r="BE290">
        <v>141080</v>
      </c>
      <c r="BF290">
        <v>147500</v>
      </c>
      <c r="BG290">
        <v>155382.03049999999</v>
      </c>
      <c r="BH290">
        <v>165585.11799999999</v>
      </c>
      <c r="BI290">
        <v>166416.67000000001</v>
      </c>
      <c r="BJ290">
        <v>166416.67000000001</v>
      </c>
      <c r="BK290">
        <v>173582.95749999999</v>
      </c>
      <c r="BL290">
        <v>190388.68799999999</v>
      </c>
      <c r="BM290">
        <v>212150</v>
      </c>
      <c r="BN290">
        <v>283513.16900000011</v>
      </c>
      <c r="BO290">
        <v>415377.23</v>
      </c>
      <c r="BP290">
        <v>415377.23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0</v>
      </c>
      <c r="CK290">
        <v>0</v>
      </c>
    </row>
    <row r="291" spans="1:89" x14ac:dyDescent="0.35">
      <c r="A291">
        <v>337847</v>
      </c>
      <c r="B291" t="s">
        <v>388</v>
      </c>
      <c r="C291" t="s">
        <v>389</v>
      </c>
      <c r="D291" s="1">
        <v>45784</v>
      </c>
      <c r="E291">
        <v>53850</v>
      </c>
      <c r="F291">
        <v>171</v>
      </c>
      <c r="G291" t="s">
        <v>70</v>
      </c>
      <c r="H291" t="s">
        <v>48</v>
      </c>
      <c r="I291" t="s">
        <v>49</v>
      </c>
      <c r="K291" t="s">
        <v>345</v>
      </c>
      <c r="L291">
        <v>1713305728950</v>
      </c>
      <c r="M291">
        <v>20250506</v>
      </c>
      <c r="N291" t="s">
        <v>253</v>
      </c>
      <c r="Q291" t="s">
        <v>58</v>
      </c>
      <c r="R291">
        <v>108941.55</v>
      </c>
      <c r="S291">
        <v>108941.55</v>
      </c>
      <c r="T291">
        <v>572895</v>
      </c>
      <c r="U291">
        <v>4161600723</v>
      </c>
      <c r="V291" t="s">
        <v>257</v>
      </c>
      <c r="W291" t="s">
        <v>56</v>
      </c>
      <c r="X291" t="s">
        <v>258</v>
      </c>
      <c r="Y291" t="s">
        <v>51</v>
      </c>
      <c r="Z291">
        <v>1903</v>
      </c>
      <c r="AH291">
        <v>0</v>
      </c>
      <c r="AI291">
        <v>202505</v>
      </c>
      <c r="AJ291" t="s">
        <v>168</v>
      </c>
      <c r="AK291">
        <v>1</v>
      </c>
      <c r="AL291">
        <v>1</v>
      </c>
      <c r="AM291">
        <v>572895</v>
      </c>
      <c r="AN291">
        <v>1</v>
      </c>
      <c r="AO291">
        <v>0</v>
      </c>
      <c r="AP291">
        <v>999</v>
      </c>
      <c r="AQ291">
        <v>430</v>
      </c>
      <c r="AR291">
        <v>430999</v>
      </c>
      <c r="AT291">
        <v>1</v>
      </c>
      <c r="AU291" t="s">
        <v>57</v>
      </c>
      <c r="AV291">
        <v>101552.46</v>
      </c>
      <c r="AW291">
        <v>114647.6485</v>
      </c>
      <c r="AX291">
        <v>118167.008</v>
      </c>
      <c r="AY291">
        <v>123559.05899999999</v>
      </c>
      <c r="AZ291">
        <v>128796.368</v>
      </c>
      <c r="BA291">
        <v>130000</v>
      </c>
      <c r="BB291">
        <v>135819.11300000001</v>
      </c>
      <c r="BC291">
        <v>145008.255</v>
      </c>
      <c r="BD291">
        <v>146226.546</v>
      </c>
      <c r="BE291">
        <v>148171.67300000001</v>
      </c>
      <c r="BF291">
        <v>156533.16500000001</v>
      </c>
      <c r="BG291">
        <v>167340.8915</v>
      </c>
      <c r="BH291">
        <v>179808.78</v>
      </c>
      <c r="BI291">
        <v>187222.14799999999</v>
      </c>
      <c r="BJ291">
        <v>206328.26500000001</v>
      </c>
      <c r="BK291">
        <v>220390.6225</v>
      </c>
      <c r="BL291">
        <v>239280.00000000009</v>
      </c>
      <c r="BM291">
        <v>298738.61</v>
      </c>
      <c r="BN291">
        <v>365407.64500000002</v>
      </c>
      <c r="BO291">
        <v>399465.49400000001</v>
      </c>
      <c r="BP291">
        <v>515709.15</v>
      </c>
      <c r="BQ291">
        <v>1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 x14ac:dyDescent="0.35">
      <c r="A292">
        <v>337840</v>
      </c>
      <c r="B292" t="s">
        <v>388</v>
      </c>
      <c r="C292" t="s">
        <v>389</v>
      </c>
      <c r="D292" s="1">
        <v>45784</v>
      </c>
      <c r="E292">
        <v>53850</v>
      </c>
      <c r="F292">
        <v>116</v>
      </c>
      <c r="G292" t="s">
        <v>259</v>
      </c>
      <c r="H292" t="s">
        <v>48</v>
      </c>
      <c r="I292" t="s">
        <v>49</v>
      </c>
      <c r="K292">
        <v>202505067955087</v>
      </c>
      <c r="L292">
        <v>2343300010453</v>
      </c>
      <c r="M292">
        <v>20250506</v>
      </c>
      <c r="N292" t="s">
        <v>253</v>
      </c>
      <c r="Q292" t="s">
        <v>58</v>
      </c>
      <c r="R292">
        <v>204011.11</v>
      </c>
      <c r="S292">
        <v>204011.11</v>
      </c>
      <c r="T292">
        <v>4247777</v>
      </c>
      <c r="U292">
        <v>233470236</v>
      </c>
      <c r="V292" t="s">
        <v>260</v>
      </c>
      <c r="W292" t="s">
        <v>56</v>
      </c>
      <c r="X292" t="s">
        <v>72</v>
      </c>
      <c r="Y292" t="s">
        <v>51</v>
      </c>
      <c r="Z292">
        <v>1696</v>
      </c>
      <c r="AH292">
        <v>0</v>
      </c>
      <c r="AI292">
        <v>202505</v>
      </c>
      <c r="AJ292" t="s">
        <v>177</v>
      </c>
      <c r="AK292">
        <v>1</v>
      </c>
      <c r="AL292">
        <v>1</v>
      </c>
      <c r="AM292">
        <v>4247777</v>
      </c>
      <c r="AN292">
        <v>1</v>
      </c>
      <c r="AO292">
        <v>0</v>
      </c>
      <c r="AP292">
        <v>463</v>
      </c>
      <c r="AQ292">
        <v>430</v>
      </c>
      <c r="AR292">
        <v>430463</v>
      </c>
      <c r="AS292" t="s">
        <v>61</v>
      </c>
      <c r="AU292" t="s">
        <v>61</v>
      </c>
      <c r="AV292">
        <v>85050</v>
      </c>
      <c r="AW292">
        <v>89030</v>
      </c>
      <c r="AX292">
        <v>91669.203999999998</v>
      </c>
      <c r="AY292">
        <v>93087.394</v>
      </c>
      <c r="AZ292">
        <v>94164.18</v>
      </c>
      <c r="BA292">
        <v>96798.05</v>
      </c>
      <c r="BB292">
        <v>100000</v>
      </c>
      <c r="BC292">
        <v>100000</v>
      </c>
      <c r="BD292">
        <v>101589.726</v>
      </c>
      <c r="BE292">
        <v>106295.712</v>
      </c>
      <c r="BF292">
        <v>110193.28</v>
      </c>
      <c r="BG292">
        <v>119645.424</v>
      </c>
      <c r="BH292">
        <v>127698</v>
      </c>
      <c r="BI292">
        <v>137713.79399999999</v>
      </c>
      <c r="BJ292">
        <v>139806</v>
      </c>
      <c r="BK292">
        <v>150000</v>
      </c>
      <c r="BL292">
        <v>161820.22</v>
      </c>
      <c r="BM292">
        <v>190199.99999999991</v>
      </c>
      <c r="BN292">
        <v>213800</v>
      </c>
      <c r="BO292">
        <v>259913.9999999998</v>
      </c>
      <c r="BP292">
        <v>440000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0</v>
      </c>
      <c r="CJ292">
        <v>0</v>
      </c>
      <c r="CK292">
        <v>0</v>
      </c>
    </row>
    <row r="293" spans="1:89" x14ac:dyDescent="0.35">
      <c r="A293">
        <v>337832</v>
      </c>
      <c r="B293" t="s">
        <v>388</v>
      </c>
      <c r="C293" t="s">
        <v>389</v>
      </c>
      <c r="D293" s="1">
        <v>45784</v>
      </c>
      <c r="E293">
        <v>53850</v>
      </c>
      <c r="F293">
        <v>181</v>
      </c>
      <c r="G293" t="s">
        <v>277</v>
      </c>
      <c r="H293" t="s">
        <v>48</v>
      </c>
      <c r="I293" t="s">
        <v>49</v>
      </c>
      <c r="K293">
        <v>202505067955605</v>
      </c>
      <c r="L293">
        <v>1813301028560</v>
      </c>
      <c r="M293">
        <v>20250506</v>
      </c>
      <c r="N293" t="s">
        <v>265</v>
      </c>
      <c r="Q293" t="s">
        <v>58</v>
      </c>
      <c r="R293">
        <v>60000</v>
      </c>
      <c r="S293">
        <v>60000</v>
      </c>
      <c r="T293">
        <v>454268</v>
      </c>
      <c r="U293" t="s">
        <v>318</v>
      </c>
      <c r="V293" t="s">
        <v>319</v>
      </c>
      <c r="W293" t="s">
        <v>66</v>
      </c>
      <c r="X293" t="s">
        <v>80</v>
      </c>
      <c r="Y293" t="s">
        <v>51</v>
      </c>
      <c r="Z293">
        <v>727</v>
      </c>
      <c r="AH293">
        <v>0</v>
      </c>
      <c r="AI293">
        <v>202505</v>
      </c>
      <c r="AJ293" t="s">
        <v>63</v>
      </c>
      <c r="AK293">
        <v>0</v>
      </c>
      <c r="AL293">
        <v>1</v>
      </c>
      <c r="AM293">
        <v>454268</v>
      </c>
      <c r="AN293">
        <v>1</v>
      </c>
      <c r="AO293">
        <v>0</v>
      </c>
      <c r="AP293">
        <v>477</v>
      </c>
      <c r="AQ293">
        <v>615</v>
      </c>
      <c r="AR293">
        <v>615477</v>
      </c>
      <c r="AS293" t="s">
        <v>270</v>
      </c>
      <c r="AU293" t="s">
        <v>270</v>
      </c>
      <c r="AV293">
        <v>37615</v>
      </c>
      <c r="AW293">
        <v>38129.25</v>
      </c>
      <c r="AX293">
        <v>38617</v>
      </c>
      <c r="AY293">
        <v>38985.5</v>
      </c>
      <c r="AZ293">
        <v>39276</v>
      </c>
      <c r="BA293">
        <v>39430</v>
      </c>
      <c r="BB293">
        <v>39650</v>
      </c>
      <c r="BC293">
        <v>39925</v>
      </c>
      <c r="BD293">
        <v>40004</v>
      </c>
      <c r="BE293">
        <v>40009.5</v>
      </c>
      <c r="BF293">
        <v>40505</v>
      </c>
      <c r="BG293">
        <v>41243.25</v>
      </c>
      <c r="BH293">
        <v>43919</v>
      </c>
      <c r="BI293">
        <v>46035.25</v>
      </c>
      <c r="BJ293">
        <v>46659.5</v>
      </c>
      <c r="BK293">
        <v>48836.25</v>
      </c>
      <c r="BL293">
        <v>52876.000000000007</v>
      </c>
      <c r="BM293">
        <v>56324.25</v>
      </c>
      <c r="BN293">
        <v>59434.5</v>
      </c>
      <c r="BO293">
        <v>63675.005999999987</v>
      </c>
      <c r="BP293">
        <v>68166.679999999993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0</v>
      </c>
      <c r="CK293">
        <v>0</v>
      </c>
    </row>
    <row r="294" spans="1:89" x14ac:dyDescent="0.35">
      <c r="A294">
        <v>337804</v>
      </c>
      <c r="B294" t="s">
        <v>388</v>
      </c>
      <c r="C294" t="s">
        <v>389</v>
      </c>
      <c r="D294" s="1">
        <v>45783</v>
      </c>
      <c r="E294">
        <v>53850</v>
      </c>
      <c r="F294">
        <v>182</v>
      </c>
      <c r="G294" t="s">
        <v>284</v>
      </c>
      <c r="H294" t="s">
        <v>48</v>
      </c>
      <c r="I294" t="s">
        <v>49</v>
      </c>
      <c r="K294" t="s">
        <v>347</v>
      </c>
      <c r="L294">
        <v>1823300169301</v>
      </c>
      <c r="M294">
        <v>20250505</v>
      </c>
      <c r="N294" t="s">
        <v>253</v>
      </c>
      <c r="Q294" t="s">
        <v>58</v>
      </c>
      <c r="R294">
        <v>54345</v>
      </c>
      <c r="S294">
        <v>54345</v>
      </c>
      <c r="T294">
        <v>4284957</v>
      </c>
      <c r="U294" t="s">
        <v>285</v>
      </c>
      <c r="V294" t="s">
        <v>286</v>
      </c>
      <c r="W294" t="s">
        <v>66</v>
      </c>
      <c r="X294" t="s">
        <v>255</v>
      </c>
      <c r="Y294" t="s">
        <v>51</v>
      </c>
      <c r="Z294">
        <v>1656</v>
      </c>
      <c r="AH294">
        <v>0</v>
      </c>
      <c r="AI294">
        <v>202505</v>
      </c>
      <c r="AJ294" t="s">
        <v>63</v>
      </c>
      <c r="AK294">
        <v>0</v>
      </c>
      <c r="AL294">
        <v>1</v>
      </c>
      <c r="AM294">
        <v>4284957</v>
      </c>
      <c r="AN294">
        <v>1</v>
      </c>
      <c r="AO294">
        <v>0</v>
      </c>
      <c r="AP294">
        <v>920</v>
      </c>
      <c r="AQ294">
        <v>615</v>
      </c>
      <c r="AR294">
        <v>615920</v>
      </c>
      <c r="AS294" t="s">
        <v>270</v>
      </c>
      <c r="AU294" t="s">
        <v>270</v>
      </c>
      <c r="AV294">
        <v>37615</v>
      </c>
      <c r="AW294">
        <v>38129.25</v>
      </c>
      <c r="AX294">
        <v>38617</v>
      </c>
      <c r="AY294">
        <v>38985.5</v>
      </c>
      <c r="AZ294">
        <v>39276</v>
      </c>
      <c r="BA294">
        <v>39430</v>
      </c>
      <c r="BB294">
        <v>39650</v>
      </c>
      <c r="BC294">
        <v>39925</v>
      </c>
      <c r="BD294">
        <v>40004</v>
      </c>
      <c r="BE294">
        <v>40009.5</v>
      </c>
      <c r="BF294">
        <v>40505</v>
      </c>
      <c r="BG294">
        <v>41243.25</v>
      </c>
      <c r="BH294">
        <v>43919</v>
      </c>
      <c r="BI294">
        <v>46035.25</v>
      </c>
      <c r="BJ294">
        <v>46659.5</v>
      </c>
      <c r="BK294">
        <v>48836.25</v>
      </c>
      <c r="BL294">
        <v>52876.000000000007</v>
      </c>
      <c r="BM294">
        <v>56324.25</v>
      </c>
      <c r="BN294">
        <v>59434.5</v>
      </c>
      <c r="BO294">
        <v>63675.005999999987</v>
      </c>
      <c r="BP294">
        <v>68166.679999999993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0</v>
      </c>
      <c r="CI294">
        <v>0</v>
      </c>
      <c r="CJ294">
        <v>0</v>
      </c>
      <c r="CK294">
        <v>0</v>
      </c>
    </row>
    <row r="295" spans="1:89" x14ac:dyDescent="0.35">
      <c r="A295">
        <v>337798</v>
      </c>
      <c r="B295" t="s">
        <v>388</v>
      </c>
      <c r="C295" t="s">
        <v>389</v>
      </c>
      <c r="D295" s="1">
        <v>45783</v>
      </c>
      <c r="E295">
        <v>53850</v>
      </c>
      <c r="F295">
        <v>121</v>
      </c>
      <c r="G295" t="s">
        <v>71</v>
      </c>
      <c r="H295" t="s">
        <v>48</v>
      </c>
      <c r="I295" t="s">
        <v>49</v>
      </c>
      <c r="K295" t="s">
        <v>347</v>
      </c>
      <c r="L295">
        <v>1213300002600</v>
      </c>
      <c r="M295">
        <v>20250505</v>
      </c>
      <c r="N295" t="s">
        <v>262</v>
      </c>
      <c r="Q295" t="s">
        <v>58</v>
      </c>
      <c r="R295">
        <v>999774.94</v>
      </c>
      <c r="S295">
        <v>0</v>
      </c>
      <c r="T295">
        <v>4939345</v>
      </c>
      <c r="U295">
        <v>5754810728</v>
      </c>
      <c r="V295" t="s">
        <v>176</v>
      </c>
      <c r="W295" t="s">
        <v>56</v>
      </c>
      <c r="X295" t="s">
        <v>72</v>
      </c>
      <c r="Y295" t="s">
        <v>51</v>
      </c>
      <c r="Z295">
        <v>1058</v>
      </c>
      <c r="AH295">
        <v>0</v>
      </c>
      <c r="AI295">
        <v>202505</v>
      </c>
      <c r="AJ295" t="s">
        <v>177</v>
      </c>
      <c r="AK295">
        <v>1</v>
      </c>
      <c r="AL295">
        <v>1</v>
      </c>
      <c r="AO295">
        <v>1</v>
      </c>
      <c r="AP295">
        <v>463</v>
      </c>
      <c r="AQ295">
        <v>430</v>
      </c>
      <c r="AR295">
        <v>430463</v>
      </c>
      <c r="AS295" t="s">
        <v>61</v>
      </c>
      <c r="AU295" t="s">
        <v>61</v>
      </c>
      <c r="AV295">
        <v>85050</v>
      </c>
      <c r="AW295">
        <v>89030</v>
      </c>
      <c r="AX295">
        <v>91669.203999999998</v>
      </c>
      <c r="AY295">
        <v>93087.394</v>
      </c>
      <c r="AZ295">
        <v>94164.18</v>
      </c>
      <c r="BA295">
        <v>96798.05</v>
      </c>
      <c r="BB295">
        <v>100000</v>
      </c>
      <c r="BC295">
        <v>100000</v>
      </c>
      <c r="BD295">
        <v>101589.726</v>
      </c>
      <c r="BE295">
        <v>106295.712</v>
      </c>
      <c r="BF295">
        <v>110193.28</v>
      </c>
      <c r="BG295">
        <v>119645.424</v>
      </c>
      <c r="BH295">
        <v>127698</v>
      </c>
      <c r="BI295">
        <v>137713.79399999999</v>
      </c>
      <c r="BJ295">
        <v>139806</v>
      </c>
      <c r="BK295">
        <v>150000</v>
      </c>
      <c r="BL295">
        <v>161820.22</v>
      </c>
      <c r="BM295">
        <v>190199.99999999991</v>
      </c>
      <c r="BN295">
        <v>213800</v>
      </c>
      <c r="BO295">
        <v>259913.9999999998</v>
      </c>
      <c r="BP295">
        <v>440000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</row>
    <row r="296" spans="1:89" x14ac:dyDescent="0.35">
      <c r="A296">
        <v>337797</v>
      </c>
      <c r="B296" t="s">
        <v>388</v>
      </c>
      <c r="C296" t="s">
        <v>389</v>
      </c>
      <c r="D296" s="1">
        <v>45783</v>
      </c>
      <c r="E296">
        <v>53850</v>
      </c>
      <c r="F296">
        <v>114</v>
      </c>
      <c r="G296" t="s">
        <v>267</v>
      </c>
      <c r="H296" t="s">
        <v>48</v>
      </c>
      <c r="I296" t="s">
        <v>49</v>
      </c>
      <c r="K296" t="s">
        <v>347</v>
      </c>
      <c r="L296">
        <v>1143306280621</v>
      </c>
      <c r="M296">
        <v>20250505</v>
      </c>
      <c r="N296" t="s">
        <v>265</v>
      </c>
      <c r="Q296" t="s">
        <v>58</v>
      </c>
      <c r="R296">
        <v>70460</v>
      </c>
      <c r="S296">
        <v>70460</v>
      </c>
      <c r="T296">
        <v>4658875</v>
      </c>
      <c r="U296">
        <v>3230890711</v>
      </c>
      <c r="V296" t="s">
        <v>268</v>
      </c>
      <c r="W296" t="s">
        <v>64</v>
      </c>
      <c r="X296" t="s">
        <v>80</v>
      </c>
      <c r="Y296" t="s">
        <v>51</v>
      </c>
      <c r="Z296">
        <v>870</v>
      </c>
      <c r="AH296">
        <v>0</v>
      </c>
      <c r="AI296">
        <v>202505</v>
      </c>
      <c r="AJ296" t="s">
        <v>63</v>
      </c>
      <c r="AK296">
        <v>0</v>
      </c>
      <c r="AL296">
        <v>1</v>
      </c>
      <c r="AM296">
        <v>4658875</v>
      </c>
      <c r="AN296">
        <v>1</v>
      </c>
      <c r="AO296">
        <v>0</v>
      </c>
      <c r="AP296">
        <v>477</v>
      </c>
      <c r="AQ296">
        <v>492</v>
      </c>
      <c r="AR296">
        <v>492477</v>
      </c>
      <c r="AS296" t="s">
        <v>234</v>
      </c>
      <c r="AU296" t="s">
        <v>234</v>
      </c>
      <c r="AV296">
        <v>55650</v>
      </c>
      <c r="AW296">
        <v>56502</v>
      </c>
      <c r="AX296">
        <v>57354</v>
      </c>
      <c r="AY296">
        <v>58206</v>
      </c>
      <c r="AZ296">
        <v>59098</v>
      </c>
      <c r="BA296">
        <v>60010</v>
      </c>
      <c r="BB296">
        <v>60922</v>
      </c>
      <c r="BC296">
        <v>61827</v>
      </c>
      <c r="BD296">
        <v>62718</v>
      </c>
      <c r="BE296">
        <v>63609</v>
      </c>
      <c r="BF296">
        <v>64500</v>
      </c>
      <c r="BG296">
        <v>66288</v>
      </c>
      <c r="BH296">
        <v>68076</v>
      </c>
      <c r="BI296">
        <v>69864</v>
      </c>
      <c r="BJ296">
        <v>70482</v>
      </c>
      <c r="BK296">
        <v>70515</v>
      </c>
      <c r="BL296">
        <v>70548</v>
      </c>
      <c r="BM296">
        <v>70590</v>
      </c>
      <c r="BN296">
        <v>70650</v>
      </c>
      <c r="BO296">
        <v>70710</v>
      </c>
      <c r="BP296">
        <v>70770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 x14ac:dyDescent="0.35">
      <c r="A297">
        <v>337786</v>
      </c>
      <c r="B297" t="s">
        <v>388</v>
      </c>
      <c r="C297" t="s">
        <v>389</v>
      </c>
      <c r="D297" s="1">
        <v>45783</v>
      </c>
      <c r="E297">
        <v>53850</v>
      </c>
      <c r="F297">
        <v>108</v>
      </c>
      <c r="G297" t="s">
        <v>89</v>
      </c>
      <c r="H297" t="s">
        <v>48</v>
      </c>
      <c r="I297" t="s">
        <v>49</v>
      </c>
      <c r="K297" t="s">
        <v>347</v>
      </c>
      <c r="L297">
        <v>1083306291105</v>
      </c>
      <c r="M297">
        <v>20250505</v>
      </c>
      <c r="N297" t="s">
        <v>262</v>
      </c>
      <c r="Q297" t="s">
        <v>58</v>
      </c>
      <c r="R297">
        <v>186459.07</v>
      </c>
      <c r="S297">
        <v>171340</v>
      </c>
      <c r="T297">
        <v>4227057</v>
      </c>
      <c r="U297">
        <v>4874620729</v>
      </c>
      <c r="V297" t="s">
        <v>263</v>
      </c>
      <c r="W297" t="s">
        <v>56</v>
      </c>
      <c r="X297" t="s">
        <v>264</v>
      </c>
      <c r="Y297" t="s">
        <v>51</v>
      </c>
      <c r="Z297">
        <v>1058</v>
      </c>
      <c r="AH297">
        <v>0</v>
      </c>
      <c r="AI297">
        <v>202505</v>
      </c>
      <c r="AJ297" t="s">
        <v>63</v>
      </c>
      <c r="AK297">
        <v>0</v>
      </c>
      <c r="AL297">
        <v>1</v>
      </c>
      <c r="AM297">
        <v>4227057</v>
      </c>
      <c r="AN297">
        <v>1</v>
      </c>
      <c r="AO297">
        <v>1</v>
      </c>
      <c r="AP297">
        <v>999</v>
      </c>
      <c r="AQ297">
        <v>430</v>
      </c>
      <c r="AR297">
        <v>430999</v>
      </c>
      <c r="AT297">
        <v>1</v>
      </c>
      <c r="AU297" t="s">
        <v>57</v>
      </c>
      <c r="AV297">
        <v>101552.46</v>
      </c>
      <c r="AW297">
        <v>114647.6485</v>
      </c>
      <c r="AX297">
        <v>118167.008</v>
      </c>
      <c r="AY297">
        <v>123559.05899999999</v>
      </c>
      <c r="AZ297">
        <v>128796.368</v>
      </c>
      <c r="BA297">
        <v>130000</v>
      </c>
      <c r="BB297">
        <v>135819.11300000001</v>
      </c>
      <c r="BC297">
        <v>145008.255</v>
      </c>
      <c r="BD297">
        <v>146226.546</v>
      </c>
      <c r="BE297">
        <v>148171.67300000001</v>
      </c>
      <c r="BF297">
        <v>156533.16500000001</v>
      </c>
      <c r="BG297">
        <v>167340.8915</v>
      </c>
      <c r="BH297">
        <v>179808.78</v>
      </c>
      <c r="BI297">
        <v>187222.14799999999</v>
      </c>
      <c r="BJ297">
        <v>206328.26500000001</v>
      </c>
      <c r="BK297">
        <v>220390.6225</v>
      </c>
      <c r="BL297">
        <v>239280.00000000009</v>
      </c>
      <c r="BM297">
        <v>298738.61</v>
      </c>
      <c r="BN297">
        <v>365407.64500000002</v>
      </c>
      <c r="BO297">
        <v>399465.49400000001</v>
      </c>
      <c r="BP297">
        <v>515709.15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 x14ac:dyDescent="0.35">
      <c r="A298">
        <v>337778</v>
      </c>
      <c r="B298" t="s">
        <v>388</v>
      </c>
      <c r="C298" t="s">
        <v>389</v>
      </c>
      <c r="D298" s="1">
        <v>45783</v>
      </c>
      <c r="E298">
        <v>53850</v>
      </c>
      <c r="F298">
        <v>171</v>
      </c>
      <c r="G298" t="s">
        <v>70</v>
      </c>
      <c r="H298" t="s">
        <v>48</v>
      </c>
      <c r="I298" t="s">
        <v>49</v>
      </c>
      <c r="K298" t="s">
        <v>347</v>
      </c>
      <c r="L298">
        <v>1713305728950</v>
      </c>
      <c r="M298">
        <v>20250505</v>
      </c>
      <c r="N298" t="s">
        <v>253</v>
      </c>
      <c r="Q298" t="s">
        <v>58</v>
      </c>
      <c r="R298">
        <v>326087.23</v>
      </c>
      <c r="S298">
        <v>326087.23</v>
      </c>
      <c r="T298">
        <v>572895</v>
      </c>
      <c r="U298">
        <v>4161600723</v>
      </c>
      <c r="V298" t="s">
        <v>257</v>
      </c>
      <c r="W298" t="s">
        <v>56</v>
      </c>
      <c r="X298" t="s">
        <v>258</v>
      </c>
      <c r="Y298" t="s">
        <v>51</v>
      </c>
      <c r="Z298">
        <v>1903</v>
      </c>
      <c r="AH298">
        <v>0</v>
      </c>
      <c r="AI298">
        <v>202505</v>
      </c>
      <c r="AJ298" t="s">
        <v>168</v>
      </c>
      <c r="AK298">
        <v>1</v>
      </c>
      <c r="AL298">
        <v>1</v>
      </c>
      <c r="AM298">
        <v>572895</v>
      </c>
      <c r="AN298">
        <v>1</v>
      </c>
      <c r="AO298">
        <v>0</v>
      </c>
      <c r="AP298">
        <v>999</v>
      </c>
      <c r="AQ298">
        <v>430</v>
      </c>
      <c r="AR298">
        <v>430999</v>
      </c>
      <c r="AT298">
        <v>1</v>
      </c>
      <c r="AU298" t="s">
        <v>57</v>
      </c>
      <c r="AV298">
        <v>101552.46</v>
      </c>
      <c r="AW298">
        <v>114647.6485</v>
      </c>
      <c r="AX298">
        <v>118167.008</v>
      </c>
      <c r="AY298">
        <v>123559.05899999999</v>
      </c>
      <c r="AZ298">
        <v>128796.368</v>
      </c>
      <c r="BA298">
        <v>130000</v>
      </c>
      <c r="BB298">
        <v>135819.11300000001</v>
      </c>
      <c r="BC298">
        <v>145008.255</v>
      </c>
      <c r="BD298">
        <v>146226.546</v>
      </c>
      <c r="BE298">
        <v>148171.67300000001</v>
      </c>
      <c r="BF298">
        <v>156533.16500000001</v>
      </c>
      <c r="BG298">
        <v>167340.8915</v>
      </c>
      <c r="BH298">
        <v>179808.78</v>
      </c>
      <c r="BI298">
        <v>187222.14799999999</v>
      </c>
      <c r="BJ298">
        <v>206328.26500000001</v>
      </c>
      <c r="BK298">
        <v>220390.6225</v>
      </c>
      <c r="BL298">
        <v>239280.00000000009</v>
      </c>
      <c r="BM298">
        <v>298738.61</v>
      </c>
      <c r="BN298">
        <v>365407.64500000002</v>
      </c>
      <c r="BO298">
        <v>399465.49400000001</v>
      </c>
      <c r="BP298">
        <v>515709.15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0</v>
      </c>
      <c r="CJ298">
        <v>0</v>
      </c>
      <c r="CK298">
        <v>0</v>
      </c>
    </row>
    <row r="299" spans="1:89" x14ac:dyDescent="0.35">
      <c r="A299">
        <v>337774</v>
      </c>
      <c r="B299" t="s">
        <v>388</v>
      </c>
      <c r="C299" t="s">
        <v>389</v>
      </c>
      <c r="D299" s="1">
        <v>45783</v>
      </c>
      <c r="E299">
        <v>53850</v>
      </c>
      <c r="F299">
        <v>121</v>
      </c>
      <c r="G299" t="s">
        <v>71</v>
      </c>
      <c r="H299" t="s">
        <v>48</v>
      </c>
      <c r="I299" t="s">
        <v>49</v>
      </c>
      <c r="K299">
        <v>202505057951992</v>
      </c>
      <c r="L299">
        <v>1213300003599</v>
      </c>
      <c r="M299">
        <v>20250505</v>
      </c>
      <c r="N299" t="s">
        <v>400</v>
      </c>
      <c r="Q299" t="s">
        <v>58</v>
      </c>
      <c r="R299">
        <v>400000</v>
      </c>
      <c r="S299">
        <v>0</v>
      </c>
      <c r="T299">
        <v>4874257</v>
      </c>
      <c r="U299" t="s">
        <v>672</v>
      </c>
      <c r="V299" t="s">
        <v>673</v>
      </c>
      <c r="W299" t="s">
        <v>50</v>
      </c>
      <c r="Y299" t="s">
        <v>51</v>
      </c>
      <c r="Z299">
        <v>1054</v>
      </c>
      <c r="AH299">
        <v>0</v>
      </c>
      <c r="AI299">
        <v>202505</v>
      </c>
      <c r="AJ299" t="s">
        <v>168</v>
      </c>
      <c r="AK299">
        <v>1</v>
      </c>
      <c r="AL299">
        <v>1</v>
      </c>
      <c r="AO299">
        <v>0</v>
      </c>
      <c r="AP299">
        <v>999</v>
      </c>
      <c r="AQ299">
        <v>600</v>
      </c>
      <c r="AR299">
        <v>600999</v>
      </c>
      <c r="AS299" t="s">
        <v>52</v>
      </c>
      <c r="AU299" t="s">
        <v>52</v>
      </c>
      <c r="AV299">
        <v>107500</v>
      </c>
      <c r="AW299">
        <v>109625</v>
      </c>
      <c r="AX299">
        <v>110000</v>
      </c>
      <c r="AY299">
        <v>112750</v>
      </c>
      <c r="AZ299">
        <v>120738</v>
      </c>
      <c r="BA299">
        <v>129508.75</v>
      </c>
      <c r="BB299">
        <v>130380</v>
      </c>
      <c r="BC299">
        <v>133610</v>
      </c>
      <c r="BD299">
        <v>133800</v>
      </c>
      <c r="BE299">
        <v>141080</v>
      </c>
      <c r="BF299">
        <v>147500</v>
      </c>
      <c r="BG299">
        <v>155382.03049999999</v>
      </c>
      <c r="BH299">
        <v>165585.11799999999</v>
      </c>
      <c r="BI299">
        <v>166416.67000000001</v>
      </c>
      <c r="BJ299">
        <v>166416.67000000001</v>
      </c>
      <c r="BK299">
        <v>173582.95749999999</v>
      </c>
      <c r="BL299">
        <v>190388.68799999999</v>
      </c>
      <c r="BM299">
        <v>212150</v>
      </c>
      <c r="BN299">
        <v>283513.16900000011</v>
      </c>
      <c r="BO299">
        <v>415377.23</v>
      </c>
      <c r="BP299">
        <v>415377.23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0</v>
      </c>
      <c r="CK299">
        <v>0</v>
      </c>
    </row>
    <row r="300" spans="1:89" x14ac:dyDescent="0.35">
      <c r="A300">
        <v>337773</v>
      </c>
      <c r="B300" t="s">
        <v>388</v>
      </c>
      <c r="C300" t="s">
        <v>389</v>
      </c>
      <c r="D300" s="1">
        <v>45783</v>
      </c>
      <c r="E300">
        <v>53850</v>
      </c>
      <c r="F300">
        <v>267</v>
      </c>
      <c r="G300" t="s">
        <v>170</v>
      </c>
      <c r="H300" t="s">
        <v>48</v>
      </c>
      <c r="I300" t="s">
        <v>49</v>
      </c>
      <c r="K300" t="s">
        <v>347</v>
      </c>
      <c r="L300">
        <v>2673300003600</v>
      </c>
      <c r="M300">
        <v>20250505</v>
      </c>
      <c r="N300" t="s">
        <v>262</v>
      </c>
      <c r="Q300" t="s">
        <v>58</v>
      </c>
      <c r="R300">
        <v>99229</v>
      </c>
      <c r="S300">
        <v>98000</v>
      </c>
      <c r="T300">
        <v>1705101</v>
      </c>
      <c r="U300">
        <v>2896870793</v>
      </c>
      <c r="V300" t="s">
        <v>288</v>
      </c>
      <c r="W300" t="s">
        <v>64</v>
      </c>
      <c r="X300" t="s">
        <v>258</v>
      </c>
      <c r="Y300" t="s">
        <v>51</v>
      </c>
      <c r="Z300">
        <v>1878</v>
      </c>
      <c r="AH300">
        <v>0</v>
      </c>
      <c r="AI300">
        <v>202505</v>
      </c>
      <c r="AJ300" t="s">
        <v>63</v>
      </c>
      <c r="AK300">
        <v>0</v>
      </c>
      <c r="AL300">
        <v>1</v>
      </c>
      <c r="AM300">
        <v>1705101</v>
      </c>
      <c r="AN300">
        <v>1</v>
      </c>
      <c r="AO300">
        <v>1</v>
      </c>
      <c r="AP300">
        <v>999</v>
      </c>
      <c r="AQ300">
        <v>492</v>
      </c>
      <c r="AR300">
        <v>492999</v>
      </c>
      <c r="AT300">
        <v>1</v>
      </c>
      <c r="AU300" t="s">
        <v>272</v>
      </c>
      <c r="AV300">
        <v>98000</v>
      </c>
      <c r="AW300">
        <v>98368.7</v>
      </c>
      <c r="AX300">
        <v>98737.4</v>
      </c>
      <c r="AY300">
        <v>99106.1</v>
      </c>
      <c r="AZ300">
        <v>99955</v>
      </c>
      <c r="BA300">
        <v>101044</v>
      </c>
      <c r="BB300">
        <v>102133</v>
      </c>
      <c r="BC300">
        <v>103273.1</v>
      </c>
      <c r="BD300">
        <v>104515.4</v>
      </c>
      <c r="BE300">
        <v>105757.7</v>
      </c>
      <c r="BF300">
        <v>107000</v>
      </c>
      <c r="BG300">
        <v>109400</v>
      </c>
      <c r="BH300">
        <v>111800</v>
      </c>
      <c r="BI300">
        <v>114200</v>
      </c>
      <c r="BJ300">
        <v>118800</v>
      </c>
      <c r="BK300">
        <v>124500</v>
      </c>
      <c r="BL300">
        <v>130200</v>
      </c>
      <c r="BM300">
        <v>151054.99999999991</v>
      </c>
      <c r="BN300">
        <v>202220.00000000009</v>
      </c>
      <c r="BO300">
        <v>253384.99999999991</v>
      </c>
      <c r="BP300">
        <v>304550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 x14ac:dyDescent="0.35">
      <c r="A301">
        <v>337771</v>
      </c>
      <c r="B301" t="s">
        <v>388</v>
      </c>
      <c r="C301" t="s">
        <v>389</v>
      </c>
      <c r="D301" s="1">
        <v>45783</v>
      </c>
      <c r="E301">
        <v>53850</v>
      </c>
      <c r="F301">
        <v>128</v>
      </c>
      <c r="G301" t="s">
        <v>274</v>
      </c>
      <c r="H301" t="s">
        <v>48</v>
      </c>
      <c r="I301" t="s">
        <v>49</v>
      </c>
      <c r="K301" t="s">
        <v>347</v>
      </c>
      <c r="L301">
        <v>1283300001665</v>
      </c>
      <c r="M301">
        <v>20250505</v>
      </c>
      <c r="N301" t="s">
        <v>262</v>
      </c>
      <c r="Q301" t="s">
        <v>58</v>
      </c>
      <c r="R301">
        <v>129402.07</v>
      </c>
      <c r="S301">
        <v>1970</v>
      </c>
      <c r="T301">
        <v>4254896</v>
      </c>
      <c r="U301">
        <v>6234730726</v>
      </c>
      <c r="V301" t="s">
        <v>410</v>
      </c>
      <c r="W301" t="s">
        <v>56</v>
      </c>
      <c r="X301" t="s">
        <v>411</v>
      </c>
      <c r="Y301" t="s">
        <v>51</v>
      </c>
      <c r="Z301">
        <v>1919</v>
      </c>
      <c r="AH301">
        <v>0</v>
      </c>
      <c r="AI301">
        <v>202505</v>
      </c>
      <c r="AJ301" t="s">
        <v>63</v>
      </c>
      <c r="AK301">
        <v>0</v>
      </c>
      <c r="AL301">
        <v>1</v>
      </c>
      <c r="AO301">
        <v>1</v>
      </c>
      <c r="AP301">
        <v>999</v>
      </c>
      <c r="AQ301">
        <v>430</v>
      </c>
      <c r="AR301">
        <v>430999</v>
      </c>
      <c r="AT301">
        <v>1</v>
      </c>
      <c r="AU301" t="s">
        <v>57</v>
      </c>
      <c r="AV301">
        <v>101552.46</v>
      </c>
      <c r="AW301">
        <v>114647.6485</v>
      </c>
      <c r="AX301">
        <v>118167.008</v>
      </c>
      <c r="AY301">
        <v>123559.05899999999</v>
      </c>
      <c r="AZ301">
        <v>128796.368</v>
      </c>
      <c r="BA301">
        <v>130000</v>
      </c>
      <c r="BB301">
        <v>135819.11300000001</v>
      </c>
      <c r="BC301">
        <v>145008.255</v>
      </c>
      <c r="BD301">
        <v>146226.546</v>
      </c>
      <c r="BE301">
        <v>148171.67300000001</v>
      </c>
      <c r="BF301">
        <v>156533.16500000001</v>
      </c>
      <c r="BG301">
        <v>167340.8915</v>
      </c>
      <c r="BH301">
        <v>179808.78</v>
      </c>
      <c r="BI301">
        <v>187222.14799999999</v>
      </c>
      <c r="BJ301">
        <v>206328.26500000001</v>
      </c>
      <c r="BK301">
        <v>220390.6225</v>
      </c>
      <c r="BL301">
        <v>239280.00000000009</v>
      </c>
      <c r="BM301">
        <v>298738.61</v>
      </c>
      <c r="BN301">
        <v>365407.64500000002</v>
      </c>
      <c r="BO301">
        <v>399465.49400000001</v>
      </c>
      <c r="BP301">
        <v>515709.15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 x14ac:dyDescent="0.35">
      <c r="A302">
        <v>337770</v>
      </c>
      <c r="B302" t="s">
        <v>388</v>
      </c>
      <c r="C302" t="s">
        <v>389</v>
      </c>
      <c r="D302" s="1">
        <v>45783</v>
      </c>
      <c r="E302">
        <v>53850</v>
      </c>
      <c r="F302">
        <v>102</v>
      </c>
      <c r="G302" t="s">
        <v>55</v>
      </c>
      <c r="H302" t="s">
        <v>48</v>
      </c>
      <c r="I302" t="s">
        <v>49</v>
      </c>
      <c r="K302">
        <v>202505057951819</v>
      </c>
      <c r="L302">
        <v>1023308719048</v>
      </c>
      <c r="M302">
        <v>20250505</v>
      </c>
      <c r="N302" t="s">
        <v>392</v>
      </c>
      <c r="Q302" t="s">
        <v>58</v>
      </c>
      <c r="R302">
        <v>172000</v>
      </c>
      <c r="S302">
        <v>0</v>
      </c>
      <c r="T302">
        <v>467015</v>
      </c>
      <c r="U302" t="s">
        <v>674</v>
      </c>
      <c r="V302" t="s">
        <v>675</v>
      </c>
      <c r="W302" t="s">
        <v>66</v>
      </c>
      <c r="X302" t="s">
        <v>447</v>
      </c>
      <c r="Y302" t="s">
        <v>51</v>
      </c>
      <c r="Z302">
        <v>1949</v>
      </c>
      <c r="AH302">
        <v>0</v>
      </c>
      <c r="AI302">
        <v>202505</v>
      </c>
      <c r="AJ302" t="s">
        <v>168</v>
      </c>
      <c r="AK302">
        <v>1</v>
      </c>
      <c r="AL302">
        <v>1</v>
      </c>
      <c r="AO302">
        <v>0</v>
      </c>
      <c r="AP302">
        <v>999</v>
      </c>
      <c r="AQ302">
        <v>615</v>
      </c>
      <c r="AR302">
        <v>615999</v>
      </c>
      <c r="AT302">
        <v>1</v>
      </c>
      <c r="AU302" t="s">
        <v>61</v>
      </c>
      <c r="AV302">
        <v>85050</v>
      </c>
      <c r="AW302">
        <v>89030</v>
      </c>
      <c r="AX302">
        <v>91669.203999999998</v>
      </c>
      <c r="AY302">
        <v>93087.394</v>
      </c>
      <c r="AZ302">
        <v>94164.18</v>
      </c>
      <c r="BA302">
        <v>96798.05</v>
      </c>
      <c r="BB302">
        <v>100000</v>
      </c>
      <c r="BC302">
        <v>100000</v>
      </c>
      <c r="BD302">
        <v>101589.726</v>
      </c>
      <c r="BE302">
        <v>106295.712</v>
      </c>
      <c r="BF302">
        <v>110193.28</v>
      </c>
      <c r="BG302">
        <v>119645.424</v>
      </c>
      <c r="BH302">
        <v>127698</v>
      </c>
      <c r="BI302">
        <v>137713.79399999999</v>
      </c>
      <c r="BJ302">
        <v>139806</v>
      </c>
      <c r="BK302">
        <v>150000</v>
      </c>
      <c r="BL302">
        <v>161820.22</v>
      </c>
      <c r="BM302">
        <v>190199.99999999991</v>
      </c>
      <c r="BN302">
        <v>213800</v>
      </c>
      <c r="BO302">
        <v>259913.9999999998</v>
      </c>
      <c r="BP302">
        <v>440000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0</v>
      </c>
      <c r="CI302">
        <v>0</v>
      </c>
      <c r="CJ302">
        <v>0</v>
      </c>
      <c r="CK302">
        <v>0</v>
      </c>
    </row>
    <row r="303" spans="1:89" x14ac:dyDescent="0.35">
      <c r="A303">
        <v>337769</v>
      </c>
      <c r="B303" t="s">
        <v>388</v>
      </c>
      <c r="C303" t="s">
        <v>389</v>
      </c>
      <c r="D303" s="1">
        <v>45783</v>
      </c>
      <c r="E303">
        <v>53850</v>
      </c>
      <c r="F303">
        <v>171</v>
      </c>
      <c r="G303" t="s">
        <v>70</v>
      </c>
      <c r="H303" t="s">
        <v>48</v>
      </c>
      <c r="I303" t="s">
        <v>49</v>
      </c>
      <c r="K303" t="s">
        <v>347</v>
      </c>
      <c r="L303">
        <v>1713302214147</v>
      </c>
      <c r="M303">
        <v>20250505</v>
      </c>
      <c r="N303" t="s">
        <v>253</v>
      </c>
      <c r="Q303" t="s">
        <v>58</v>
      </c>
      <c r="R303">
        <v>141511.4</v>
      </c>
      <c r="S303">
        <v>141511.4</v>
      </c>
      <c r="T303">
        <v>4199319</v>
      </c>
      <c r="U303">
        <v>6037810725</v>
      </c>
      <c r="V303" t="s">
        <v>269</v>
      </c>
      <c r="W303" t="s">
        <v>56</v>
      </c>
      <c r="X303" t="s">
        <v>258</v>
      </c>
      <c r="Y303" t="s">
        <v>51</v>
      </c>
      <c r="Z303">
        <v>1903</v>
      </c>
      <c r="AH303">
        <v>0</v>
      </c>
      <c r="AI303">
        <v>202505</v>
      </c>
      <c r="AJ303" t="s">
        <v>168</v>
      </c>
      <c r="AK303">
        <v>1</v>
      </c>
      <c r="AL303">
        <v>1</v>
      </c>
      <c r="AM303">
        <v>4199319</v>
      </c>
      <c r="AN303">
        <v>1</v>
      </c>
      <c r="AO303">
        <v>0</v>
      </c>
      <c r="AP303">
        <v>999</v>
      </c>
      <c r="AQ303">
        <v>430</v>
      </c>
      <c r="AR303">
        <v>430999</v>
      </c>
      <c r="AT303">
        <v>1</v>
      </c>
      <c r="AU303" t="s">
        <v>57</v>
      </c>
      <c r="AV303">
        <v>101552.46</v>
      </c>
      <c r="AW303">
        <v>114647.6485</v>
      </c>
      <c r="AX303">
        <v>118167.008</v>
      </c>
      <c r="AY303">
        <v>123559.05899999999</v>
      </c>
      <c r="AZ303">
        <v>128796.368</v>
      </c>
      <c r="BA303">
        <v>130000</v>
      </c>
      <c r="BB303">
        <v>135819.11300000001</v>
      </c>
      <c r="BC303">
        <v>145008.255</v>
      </c>
      <c r="BD303">
        <v>146226.546</v>
      </c>
      <c r="BE303">
        <v>148171.67300000001</v>
      </c>
      <c r="BF303">
        <v>156533.16500000001</v>
      </c>
      <c r="BG303">
        <v>167340.8915</v>
      </c>
      <c r="BH303">
        <v>179808.78</v>
      </c>
      <c r="BI303">
        <v>187222.14799999999</v>
      </c>
      <c r="BJ303">
        <v>206328.26500000001</v>
      </c>
      <c r="BK303">
        <v>220390.6225</v>
      </c>
      <c r="BL303">
        <v>239280.00000000009</v>
      </c>
      <c r="BM303">
        <v>298738.61</v>
      </c>
      <c r="BN303">
        <v>365407.64500000002</v>
      </c>
      <c r="BO303">
        <v>399465.49400000001</v>
      </c>
      <c r="BP303">
        <v>515709.15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 x14ac:dyDescent="0.35">
      <c r="A304">
        <v>337767</v>
      </c>
      <c r="B304" t="s">
        <v>388</v>
      </c>
      <c r="C304" t="s">
        <v>389</v>
      </c>
      <c r="D304" s="1">
        <v>45783</v>
      </c>
      <c r="E304">
        <v>53850</v>
      </c>
      <c r="F304">
        <v>102</v>
      </c>
      <c r="G304" t="s">
        <v>55</v>
      </c>
      <c r="H304" t="s">
        <v>48</v>
      </c>
      <c r="I304" t="s">
        <v>49</v>
      </c>
      <c r="K304" t="s">
        <v>347</v>
      </c>
      <c r="L304">
        <v>1023300660520</v>
      </c>
      <c r="M304">
        <v>20250505</v>
      </c>
      <c r="N304" t="s">
        <v>262</v>
      </c>
      <c r="Q304" t="s">
        <v>58</v>
      </c>
      <c r="R304">
        <v>174738.75</v>
      </c>
      <c r="S304">
        <v>30040</v>
      </c>
      <c r="T304">
        <v>66052</v>
      </c>
      <c r="U304">
        <v>398110726</v>
      </c>
      <c r="V304" t="s">
        <v>287</v>
      </c>
      <c r="W304" t="s">
        <v>56</v>
      </c>
      <c r="X304" t="s">
        <v>235</v>
      </c>
      <c r="Y304" t="s">
        <v>51</v>
      </c>
      <c r="Z304">
        <v>1203</v>
      </c>
      <c r="AH304">
        <v>0</v>
      </c>
      <c r="AI304">
        <v>202505</v>
      </c>
      <c r="AJ304" t="s">
        <v>169</v>
      </c>
      <c r="AK304">
        <v>1</v>
      </c>
      <c r="AL304">
        <v>1</v>
      </c>
      <c r="AM304">
        <v>66052</v>
      </c>
      <c r="AN304">
        <v>1</v>
      </c>
      <c r="AO304">
        <v>1</v>
      </c>
      <c r="AP304">
        <v>999</v>
      </c>
      <c r="AQ304">
        <v>430</v>
      </c>
      <c r="AR304">
        <v>430999</v>
      </c>
      <c r="AT304">
        <v>1</v>
      </c>
      <c r="AU304" t="s">
        <v>57</v>
      </c>
      <c r="AV304">
        <v>101552.46</v>
      </c>
      <c r="AW304">
        <v>114647.6485</v>
      </c>
      <c r="AX304">
        <v>118167.008</v>
      </c>
      <c r="AY304">
        <v>123559.05899999999</v>
      </c>
      <c r="AZ304">
        <v>128796.368</v>
      </c>
      <c r="BA304">
        <v>130000</v>
      </c>
      <c r="BB304">
        <v>135819.11300000001</v>
      </c>
      <c r="BC304">
        <v>145008.255</v>
      </c>
      <c r="BD304">
        <v>146226.546</v>
      </c>
      <c r="BE304">
        <v>148171.67300000001</v>
      </c>
      <c r="BF304">
        <v>156533.16500000001</v>
      </c>
      <c r="BG304">
        <v>167340.8915</v>
      </c>
      <c r="BH304">
        <v>179808.78</v>
      </c>
      <c r="BI304">
        <v>187222.14799999999</v>
      </c>
      <c r="BJ304">
        <v>206328.26500000001</v>
      </c>
      <c r="BK304">
        <v>220390.6225</v>
      </c>
      <c r="BL304">
        <v>239280.00000000009</v>
      </c>
      <c r="BM304">
        <v>298738.61</v>
      </c>
      <c r="BN304">
        <v>365407.64500000002</v>
      </c>
      <c r="BO304">
        <v>399465.49400000001</v>
      </c>
      <c r="BP304">
        <v>515709.15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 x14ac:dyDescent="0.35">
      <c r="A305">
        <v>337750</v>
      </c>
      <c r="B305" t="s">
        <v>388</v>
      </c>
      <c r="C305" t="s">
        <v>389</v>
      </c>
      <c r="D305" s="1">
        <v>45780</v>
      </c>
      <c r="E305">
        <v>53850</v>
      </c>
      <c r="F305">
        <v>102</v>
      </c>
      <c r="G305" t="s">
        <v>55</v>
      </c>
      <c r="H305" t="s">
        <v>48</v>
      </c>
      <c r="I305" t="s">
        <v>49</v>
      </c>
      <c r="K305" t="s">
        <v>350</v>
      </c>
      <c r="L305">
        <v>1023308722503</v>
      </c>
      <c r="M305">
        <v>20250502</v>
      </c>
      <c r="N305" t="s">
        <v>253</v>
      </c>
      <c r="Q305" t="s">
        <v>58</v>
      </c>
      <c r="R305">
        <v>70770</v>
      </c>
      <c r="S305">
        <v>70770</v>
      </c>
      <c r="T305">
        <v>413650</v>
      </c>
      <c r="U305">
        <v>3657230722</v>
      </c>
      <c r="V305" t="s">
        <v>254</v>
      </c>
      <c r="W305" t="s">
        <v>64</v>
      </c>
      <c r="X305" t="s">
        <v>255</v>
      </c>
      <c r="Y305" t="s">
        <v>51</v>
      </c>
      <c r="Z305">
        <v>1306</v>
      </c>
      <c r="AH305">
        <v>0</v>
      </c>
      <c r="AI305">
        <v>202505</v>
      </c>
      <c r="AJ305" t="s">
        <v>63</v>
      </c>
      <c r="AK305">
        <v>0</v>
      </c>
      <c r="AL305">
        <v>1</v>
      </c>
      <c r="AM305">
        <v>413650</v>
      </c>
      <c r="AN305">
        <v>1</v>
      </c>
      <c r="AO305">
        <v>0</v>
      </c>
      <c r="AP305">
        <v>920</v>
      </c>
      <c r="AQ305">
        <v>492</v>
      </c>
      <c r="AR305">
        <v>492920</v>
      </c>
      <c r="AS305" t="s">
        <v>234</v>
      </c>
      <c r="AU305" t="s">
        <v>234</v>
      </c>
      <c r="AV305">
        <v>55650</v>
      </c>
      <c r="AW305">
        <v>56502</v>
      </c>
      <c r="AX305">
        <v>57354</v>
      </c>
      <c r="AY305">
        <v>58206</v>
      </c>
      <c r="AZ305">
        <v>59098</v>
      </c>
      <c r="BA305">
        <v>60010</v>
      </c>
      <c r="BB305">
        <v>60922</v>
      </c>
      <c r="BC305">
        <v>61827</v>
      </c>
      <c r="BD305">
        <v>62718</v>
      </c>
      <c r="BE305">
        <v>63609</v>
      </c>
      <c r="BF305">
        <v>64500</v>
      </c>
      <c r="BG305">
        <v>66288</v>
      </c>
      <c r="BH305">
        <v>68076</v>
      </c>
      <c r="BI305">
        <v>69864</v>
      </c>
      <c r="BJ305">
        <v>70482</v>
      </c>
      <c r="BK305">
        <v>70515</v>
      </c>
      <c r="BL305">
        <v>70548</v>
      </c>
      <c r="BM305">
        <v>70590</v>
      </c>
      <c r="BN305">
        <v>70650</v>
      </c>
      <c r="BO305">
        <v>70710</v>
      </c>
      <c r="BP305">
        <v>70770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</row>
    <row r="306" spans="1:89" x14ac:dyDescent="0.35">
      <c r="A306">
        <v>337748</v>
      </c>
      <c r="B306" t="s">
        <v>388</v>
      </c>
      <c r="C306" t="s">
        <v>389</v>
      </c>
      <c r="D306" s="1">
        <v>45780</v>
      </c>
      <c r="E306">
        <v>53850</v>
      </c>
      <c r="F306">
        <v>195</v>
      </c>
      <c r="G306" t="s">
        <v>290</v>
      </c>
      <c r="H306" t="s">
        <v>48</v>
      </c>
      <c r="I306" t="s">
        <v>49</v>
      </c>
      <c r="K306">
        <v>202505027944756</v>
      </c>
      <c r="L306">
        <v>1953300029029</v>
      </c>
      <c r="M306">
        <v>20250502</v>
      </c>
      <c r="N306" t="s">
        <v>392</v>
      </c>
      <c r="Q306" t="s">
        <v>58</v>
      </c>
      <c r="R306">
        <v>105000</v>
      </c>
      <c r="S306">
        <v>0</v>
      </c>
      <c r="T306">
        <v>3033332</v>
      </c>
      <c r="U306" t="s">
        <v>676</v>
      </c>
      <c r="V306" t="s">
        <v>677</v>
      </c>
      <c r="W306" t="s">
        <v>50</v>
      </c>
      <c r="Y306" t="s">
        <v>51</v>
      </c>
      <c r="Z306">
        <v>1914</v>
      </c>
      <c r="AH306">
        <v>0</v>
      </c>
      <c r="AI306">
        <v>202505</v>
      </c>
      <c r="AJ306" t="s">
        <v>168</v>
      </c>
      <c r="AK306">
        <v>1</v>
      </c>
      <c r="AL306">
        <v>1</v>
      </c>
      <c r="AO306">
        <v>0</v>
      </c>
      <c r="AP306">
        <v>999</v>
      </c>
      <c r="AQ306">
        <v>600</v>
      </c>
      <c r="AR306">
        <v>600999</v>
      </c>
      <c r="AS306" t="s">
        <v>52</v>
      </c>
      <c r="AU306" t="s">
        <v>52</v>
      </c>
      <c r="AV306">
        <v>107500</v>
      </c>
      <c r="AW306">
        <v>109625</v>
      </c>
      <c r="AX306">
        <v>110000</v>
      </c>
      <c r="AY306">
        <v>112750</v>
      </c>
      <c r="AZ306">
        <v>120738</v>
      </c>
      <c r="BA306">
        <v>129508.75</v>
      </c>
      <c r="BB306">
        <v>130380</v>
      </c>
      <c r="BC306">
        <v>133610</v>
      </c>
      <c r="BD306">
        <v>133800</v>
      </c>
      <c r="BE306">
        <v>141080</v>
      </c>
      <c r="BF306">
        <v>147500</v>
      </c>
      <c r="BG306">
        <v>155382.03049999999</v>
      </c>
      <c r="BH306">
        <v>165585.11799999999</v>
      </c>
      <c r="BI306">
        <v>166416.67000000001</v>
      </c>
      <c r="BJ306">
        <v>166416.67000000001</v>
      </c>
      <c r="BK306">
        <v>173582.95749999999</v>
      </c>
      <c r="BL306">
        <v>190388.68799999999</v>
      </c>
      <c r="BM306">
        <v>212150</v>
      </c>
      <c r="BN306">
        <v>283513.16900000011</v>
      </c>
      <c r="BO306">
        <v>415377.23</v>
      </c>
      <c r="BP306">
        <v>415377.23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 x14ac:dyDescent="0.35">
      <c r="A307">
        <v>337745</v>
      </c>
      <c r="B307" t="s">
        <v>388</v>
      </c>
      <c r="C307" t="s">
        <v>389</v>
      </c>
      <c r="D307" s="1">
        <v>45780</v>
      </c>
      <c r="E307">
        <v>53850</v>
      </c>
      <c r="F307">
        <v>116</v>
      </c>
      <c r="G307" t="s">
        <v>259</v>
      </c>
      <c r="H307" t="s">
        <v>48</v>
      </c>
      <c r="I307" t="s">
        <v>49</v>
      </c>
      <c r="K307" t="s">
        <v>350</v>
      </c>
      <c r="L307">
        <v>1163305431040</v>
      </c>
      <c r="M307">
        <v>20250502</v>
      </c>
      <c r="N307" t="s">
        <v>392</v>
      </c>
      <c r="Q307" t="s">
        <v>58</v>
      </c>
      <c r="R307">
        <v>108504.23</v>
      </c>
      <c r="S307">
        <v>0</v>
      </c>
      <c r="T307">
        <v>543104</v>
      </c>
      <c r="U307">
        <v>4393640729</v>
      </c>
      <c r="V307" t="s">
        <v>678</v>
      </c>
      <c r="W307" t="s">
        <v>56</v>
      </c>
      <c r="X307" t="s">
        <v>90</v>
      </c>
      <c r="Y307" t="s">
        <v>51</v>
      </c>
      <c r="Z307">
        <v>1696</v>
      </c>
      <c r="AH307">
        <v>0</v>
      </c>
      <c r="AI307">
        <v>202505</v>
      </c>
      <c r="AJ307" t="s">
        <v>177</v>
      </c>
      <c r="AK307">
        <v>1</v>
      </c>
      <c r="AL307">
        <v>1</v>
      </c>
      <c r="AO307">
        <v>0</v>
      </c>
      <c r="AP307">
        <v>999</v>
      </c>
      <c r="AQ307">
        <v>430</v>
      </c>
      <c r="AR307">
        <v>430999</v>
      </c>
      <c r="AT307">
        <v>1</v>
      </c>
      <c r="AU307" t="s">
        <v>57</v>
      </c>
      <c r="AV307">
        <v>101552.46</v>
      </c>
      <c r="AW307">
        <v>114647.6485</v>
      </c>
      <c r="AX307">
        <v>118167.008</v>
      </c>
      <c r="AY307">
        <v>123559.05899999999</v>
      </c>
      <c r="AZ307">
        <v>128796.368</v>
      </c>
      <c r="BA307">
        <v>130000</v>
      </c>
      <c r="BB307">
        <v>135819.11300000001</v>
      </c>
      <c r="BC307">
        <v>145008.255</v>
      </c>
      <c r="BD307">
        <v>146226.546</v>
      </c>
      <c r="BE307">
        <v>148171.67300000001</v>
      </c>
      <c r="BF307">
        <v>156533.16500000001</v>
      </c>
      <c r="BG307">
        <v>167340.8915</v>
      </c>
      <c r="BH307">
        <v>179808.78</v>
      </c>
      <c r="BI307">
        <v>187222.14799999999</v>
      </c>
      <c r="BJ307">
        <v>206328.26500000001</v>
      </c>
      <c r="BK307">
        <v>220390.6225</v>
      </c>
      <c r="BL307">
        <v>239280.00000000009</v>
      </c>
      <c r="BM307">
        <v>298738.61</v>
      </c>
      <c r="BN307">
        <v>365407.64500000002</v>
      </c>
      <c r="BO307">
        <v>399465.49400000001</v>
      </c>
      <c r="BP307">
        <v>515709.15</v>
      </c>
      <c r="BQ307">
        <v>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 x14ac:dyDescent="0.35">
      <c r="A308">
        <v>337743</v>
      </c>
      <c r="B308" t="s">
        <v>388</v>
      </c>
      <c r="C308" t="s">
        <v>389</v>
      </c>
      <c r="D308" s="1">
        <v>45780</v>
      </c>
      <c r="E308">
        <v>53850</v>
      </c>
      <c r="F308">
        <v>102</v>
      </c>
      <c r="G308" t="s">
        <v>55</v>
      </c>
      <c r="H308" t="s">
        <v>48</v>
      </c>
      <c r="I308" t="s">
        <v>49</v>
      </c>
      <c r="K308" t="s">
        <v>350</v>
      </c>
      <c r="L308">
        <v>1023300660520</v>
      </c>
      <c r="M308">
        <v>20250502</v>
      </c>
      <c r="N308" t="s">
        <v>262</v>
      </c>
      <c r="Q308" t="s">
        <v>58</v>
      </c>
      <c r="R308">
        <v>102114.57</v>
      </c>
      <c r="S308">
        <v>8740</v>
      </c>
      <c r="T308">
        <v>66052</v>
      </c>
      <c r="U308">
        <v>398110726</v>
      </c>
      <c r="V308" t="s">
        <v>287</v>
      </c>
      <c r="W308" t="s">
        <v>56</v>
      </c>
      <c r="X308" t="s">
        <v>235</v>
      </c>
      <c r="Y308" t="s">
        <v>51</v>
      </c>
      <c r="Z308">
        <v>1203</v>
      </c>
      <c r="AH308">
        <v>0</v>
      </c>
      <c r="AI308">
        <v>202505</v>
      </c>
      <c r="AJ308" t="s">
        <v>169</v>
      </c>
      <c r="AK308">
        <v>1</v>
      </c>
      <c r="AL308">
        <v>1</v>
      </c>
      <c r="AM308">
        <v>66052</v>
      </c>
      <c r="AN308">
        <v>1</v>
      </c>
      <c r="AO308">
        <v>1</v>
      </c>
      <c r="AP308">
        <v>999</v>
      </c>
      <c r="AQ308">
        <v>430</v>
      </c>
      <c r="AR308">
        <v>430999</v>
      </c>
      <c r="AT308">
        <v>1</v>
      </c>
      <c r="AU308" t="s">
        <v>57</v>
      </c>
      <c r="AV308">
        <v>101552.46</v>
      </c>
      <c r="AW308">
        <v>114647.6485</v>
      </c>
      <c r="AX308">
        <v>118167.008</v>
      </c>
      <c r="AY308">
        <v>123559.05899999999</v>
      </c>
      <c r="AZ308">
        <v>128796.368</v>
      </c>
      <c r="BA308">
        <v>130000</v>
      </c>
      <c r="BB308">
        <v>135819.11300000001</v>
      </c>
      <c r="BC308">
        <v>145008.255</v>
      </c>
      <c r="BD308">
        <v>146226.546</v>
      </c>
      <c r="BE308">
        <v>148171.67300000001</v>
      </c>
      <c r="BF308">
        <v>156533.16500000001</v>
      </c>
      <c r="BG308">
        <v>167340.8915</v>
      </c>
      <c r="BH308">
        <v>179808.78</v>
      </c>
      <c r="BI308">
        <v>187222.14799999999</v>
      </c>
      <c r="BJ308">
        <v>206328.26500000001</v>
      </c>
      <c r="BK308">
        <v>220390.6225</v>
      </c>
      <c r="BL308">
        <v>239280.00000000009</v>
      </c>
      <c r="BM308">
        <v>298738.61</v>
      </c>
      <c r="BN308">
        <v>365407.64500000002</v>
      </c>
      <c r="BO308">
        <v>399465.49400000001</v>
      </c>
      <c r="BP308">
        <v>515709.15</v>
      </c>
      <c r="BQ308">
        <v>1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 x14ac:dyDescent="0.35">
      <c r="A309">
        <v>337738</v>
      </c>
      <c r="B309" t="s">
        <v>388</v>
      </c>
      <c r="C309" t="s">
        <v>389</v>
      </c>
      <c r="D309" s="1">
        <v>45780</v>
      </c>
      <c r="E309">
        <v>53850</v>
      </c>
      <c r="F309">
        <v>121</v>
      </c>
      <c r="G309" t="s">
        <v>71</v>
      </c>
      <c r="H309" t="s">
        <v>48</v>
      </c>
      <c r="I309" t="s">
        <v>49</v>
      </c>
      <c r="K309" t="s">
        <v>350</v>
      </c>
      <c r="L309">
        <v>1213300002600</v>
      </c>
      <c r="M309">
        <v>20250502</v>
      </c>
      <c r="N309" t="s">
        <v>262</v>
      </c>
      <c r="Q309" t="s">
        <v>58</v>
      </c>
      <c r="R309">
        <v>1165788.52</v>
      </c>
      <c r="S309">
        <v>0</v>
      </c>
      <c r="T309">
        <v>4939345</v>
      </c>
      <c r="U309">
        <v>5754810728</v>
      </c>
      <c r="V309" t="s">
        <v>176</v>
      </c>
      <c r="W309" t="s">
        <v>56</v>
      </c>
      <c r="X309" t="s">
        <v>72</v>
      </c>
      <c r="Y309" t="s">
        <v>51</v>
      </c>
      <c r="Z309">
        <v>1058</v>
      </c>
      <c r="AH309">
        <v>0</v>
      </c>
      <c r="AI309">
        <v>202505</v>
      </c>
      <c r="AJ309" t="s">
        <v>177</v>
      </c>
      <c r="AK309">
        <v>1</v>
      </c>
      <c r="AL309">
        <v>1</v>
      </c>
      <c r="AO309">
        <v>1</v>
      </c>
      <c r="AP309">
        <v>463</v>
      </c>
      <c r="AQ309">
        <v>430</v>
      </c>
      <c r="AR309">
        <v>430463</v>
      </c>
      <c r="AS309" t="s">
        <v>61</v>
      </c>
      <c r="AU309" t="s">
        <v>61</v>
      </c>
      <c r="AV309">
        <v>85050</v>
      </c>
      <c r="AW309">
        <v>89030</v>
      </c>
      <c r="AX309">
        <v>91669.203999999998</v>
      </c>
      <c r="AY309">
        <v>93087.394</v>
      </c>
      <c r="AZ309">
        <v>94164.18</v>
      </c>
      <c r="BA309">
        <v>96798.05</v>
      </c>
      <c r="BB309">
        <v>100000</v>
      </c>
      <c r="BC309">
        <v>100000</v>
      </c>
      <c r="BD309">
        <v>101589.726</v>
      </c>
      <c r="BE309">
        <v>106295.712</v>
      </c>
      <c r="BF309">
        <v>110193.28</v>
      </c>
      <c r="BG309">
        <v>119645.424</v>
      </c>
      <c r="BH309">
        <v>127698</v>
      </c>
      <c r="BI309">
        <v>137713.79399999999</v>
      </c>
      <c r="BJ309">
        <v>139806</v>
      </c>
      <c r="BK309">
        <v>150000</v>
      </c>
      <c r="BL309">
        <v>161820.22</v>
      </c>
      <c r="BM309">
        <v>190199.99999999991</v>
      </c>
      <c r="BN309">
        <v>213800</v>
      </c>
      <c r="BO309">
        <v>259913.9999999998</v>
      </c>
      <c r="BP309">
        <v>440000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</row>
    <row r="310" spans="1:89" x14ac:dyDescent="0.35">
      <c r="A310">
        <v>337732</v>
      </c>
      <c r="B310" t="s">
        <v>388</v>
      </c>
      <c r="C310" t="s">
        <v>389</v>
      </c>
      <c r="D310" s="1">
        <v>45780</v>
      </c>
      <c r="E310">
        <v>53850</v>
      </c>
      <c r="F310">
        <v>195</v>
      </c>
      <c r="G310" t="s">
        <v>290</v>
      </c>
      <c r="H310" t="s">
        <v>48</v>
      </c>
      <c r="I310" t="s">
        <v>49</v>
      </c>
      <c r="K310">
        <v>202505027944756</v>
      </c>
      <c r="L310">
        <v>1953300029029</v>
      </c>
      <c r="M310">
        <v>20250502</v>
      </c>
      <c r="N310" t="s">
        <v>392</v>
      </c>
      <c r="Q310" t="s">
        <v>58</v>
      </c>
      <c r="R310">
        <v>105000</v>
      </c>
      <c r="S310">
        <v>0</v>
      </c>
      <c r="T310">
        <v>3033333</v>
      </c>
      <c r="U310" t="s">
        <v>679</v>
      </c>
      <c r="V310" t="s">
        <v>680</v>
      </c>
      <c r="W310" t="s">
        <v>66</v>
      </c>
      <c r="X310" t="s">
        <v>175</v>
      </c>
      <c r="Y310" t="s">
        <v>51</v>
      </c>
      <c r="AH310">
        <v>0</v>
      </c>
      <c r="AI310">
        <v>202505</v>
      </c>
      <c r="AJ310" t="s">
        <v>168</v>
      </c>
      <c r="AK310">
        <v>1</v>
      </c>
      <c r="AL310">
        <v>1</v>
      </c>
      <c r="AO310">
        <v>0</v>
      </c>
      <c r="AP310">
        <v>999</v>
      </c>
      <c r="AQ310">
        <v>615</v>
      </c>
      <c r="AR310">
        <v>615999</v>
      </c>
      <c r="AT310">
        <v>1</v>
      </c>
      <c r="AU310" t="s">
        <v>61</v>
      </c>
      <c r="AV310">
        <v>85050</v>
      </c>
      <c r="AW310">
        <v>89030</v>
      </c>
      <c r="AX310">
        <v>91669.203999999998</v>
      </c>
      <c r="AY310">
        <v>93087.394</v>
      </c>
      <c r="AZ310">
        <v>94164.18</v>
      </c>
      <c r="BA310">
        <v>96798.05</v>
      </c>
      <c r="BB310">
        <v>100000</v>
      </c>
      <c r="BC310">
        <v>100000</v>
      </c>
      <c r="BD310">
        <v>101589.726</v>
      </c>
      <c r="BE310">
        <v>106295.712</v>
      </c>
      <c r="BF310">
        <v>110193.28</v>
      </c>
      <c r="BG310">
        <v>119645.424</v>
      </c>
      <c r="BH310">
        <v>127698</v>
      </c>
      <c r="BI310">
        <v>137713.79399999999</v>
      </c>
      <c r="BJ310">
        <v>139806</v>
      </c>
      <c r="BK310">
        <v>150000</v>
      </c>
      <c r="BL310">
        <v>161820.22</v>
      </c>
      <c r="BM310">
        <v>190199.99999999991</v>
      </c>
      <c r="BN310">
        <v>213800</v>
      </c>
      <c r="BO310">
        <v>259913.9999999998</v>
      </c>
      <c r="BP310">
        <v>440000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 x14ac:dyDescent="0.35">
      <c r="A311">
        <v>337730</v>
      </c>
      <c r="B311" t="s">
        <v>388</v>
      </c>
      <c r="C311" t="s">
        <v>389</v>
      </c>
      <c r="D311" s="1">
        <v>45780</v>
      </c>
      <c r="E311">
        <v>53850</v>
      </c>
      <c r="F311">
        <v>128</v>
      </c>
      <c r="G311" t="s">
        <v>274</v>
      </c>
      <c r="H311" t="s">
        <v>48</v>
      </c>
      <c r="I311" t="s">
        <v>49</v>
      </c>
      <c r="K311" t="s">
        <v>350</v>
      </c>
      <c r="L311">
        <v>1283300001665</v>
      </c>
      <c r="M311">
        <v>20250502</v>
      </c>
      <c r="N311" t="s">
        <v>262</v>
      </c>
      <c r="Q311" t="s">
        <v>58</v>
      </c>
      <c r="R311">
        <v>123705.37</v>
      </c>
      <c r="S311">
        <v>4000</v>
      </c>
      <c r="T311">
        <v>4254896</v>
      </c>
      <c r="U311">
        <v>6234730726</v>
      </c>
      <c r="V311" t="s">
        <v>410</v>
      </c>
      <c r="W311" t="s">
        <v>56</v>
      </c>
      <c r="X311" t="s">
        <v>411</v>
      </c>
      <c r="Y311" t="s">
        <v>51</v>
      </c>
      <c r="Z311">
        <v>1919</v>
      </c>
      <c r="AH311">
        <v>0</v>
      </c>
      <c r="AI311">
        <v>202505</v>
      </c>
      <c r="AJ311" t="s">
        <v>63</v>
      </c>
      <c r="AK311">
        <v>0</v>
      </c>
      <c r="AL311">
        <v>1</v>
      </c>
      <c r="AO311">
        <v>1</v>
      </c>
      <c r="AP311">
        <v>999</v>
      </c>
      <c r="AQ311">
        <v>430</v>
      </c>
      <c r="AR311">
        <v>430999</v>
      </c>
      <c r="AT311">
        <v>1</v>
      </c>
      <c r="AU311" t="s">
        <v>57</v>
      </c>
      <c r="AV311">
        <v>101552.46</v>
      </c>
      <c r="AW311">
        <v>114647.6485</v>
      </c>
      <c r="AX311">
        <v>118167.008</v>
      </c>
      <c r="AY311">
        <v>123559.05899999999</v>
      </c>
      <c r="AZ311">
        <v>128796.368</v>
      </c>
      <c r="BA311">
        <v>130000</v>
      </c>
      <c r="BB311">
        <v>135819.11300000001</v>
      </c>
      <c r="BC311">
        <v>145008.255</v>
      </c>
      <c r="BD311">
        <v>146226.546</v>
      </c>
      <c r="BE311">
        <v>148171.67300000001</v>
      </c>
      <c r="BF311">
        <v>156533.16500000001</v>
      </c>
      <c r="BG311">
        <v>167340.8915</v>
      </c>
      <c r="BH311">
        <v>179808.78</v>
      </c>
      <c r="BI311">
        <v>187222.14799999999</v>
      </c>
      <c r="BJ311">
        <v>206328.26500000001</v>
      </c>
      <c r="BK311">
        <v>220390.6225</v>
      </c>
      <c r="BL311">
        <v>239280.00000000009</v>
      </c>
      <c r="BM311">
        <v>298738.61</v>
      </c>
      <c r="BN311">
        <v>365407.64500000002</v>
      </c>
      <c r="BO311">
        <v>399465.49400000001</v>
      </c>
      <c r="BP311">
        <v>515709.15</v>
      </c>
      <c r="BQ311">
        <v>1</v>
      </c>
      <c r="BR311">
        <v>1</v>
      </c>
      <c r="BS311">
        <v>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 x14ac:dyDescent="0.35">
      <c r="A312">
        <v>360667</v>
      </c>
      <c r="B312" t="s">
        <v>388</v>
      </c>
      <c r="C312" t="s">
        <v>389</v>
      </c>
      <c r="D312" s="1">
        <v>45839</v>
      </c>
      <c r="E312">
        <v>53850</v>
      </c>
      <c r="F312">
        <v>102</v>
      </c>
      <c r="G312" t="s">
        <v>55</v>
      </c>
      <c r="H312" t="s">
        <v>48</v>
      </c>
      <c r="I312" t="s">
        <v>49</v>
      </c>
      <c r="K312">
        <v>202506308141600</v>
      </c>
      <c r="L312">
        <v>1023306272895</v>
      </c>
      <c r="M312">
        <v>20250630</v>
      </c>
      <c r="N312" t="s">
        <v>400</v>
      </c>
      <c r="Q312" t="s">
        <v>58</v>
      </c>
      <c r="R312">
        <v>433000</v>
      </c>
      <c r="S312">
        <v>0</v>
      </c>
      <c r="T312">
        <v>52472</v>
      </c>
      <c r="U312" t="s">
        <v>681</v>
      </c>
      <c r="V312" t="s">
        <v>682</v>
      </c>
      <c r="W312" t="s">
        <v>50</v>
      </c>
      <c r="Y312" t="s">
        <v>51</v>
      </c>
      <c r="Z312">
        <v>1431</v>
      </c>
      <c r="AH312">
        <v>0</v>
      </c>
      <c r="AI312">
        <v>202506</v>
      </c>
      <c r="AJ312" t="s">
        <v>168</v>
      </c>
      <c r="AK312">
        <v>1</v>
      </c>
      <c r="AL312">
        <v>1</v>
      </c>
      <c r="AO312">
        <v>0</v>
      </c>
      <c r="AP312">
        <v>999</v>
      </c>
      <c r="AQ312">
        <v>600</v>
      </c>
      <c r="AR312">
        <v>600999</v>
      </c>
      <c r="AS312" t="s">
        <v>52</v>
      </c>
      <c r="AU312" t="s">
        <v>52</v>
      </c>
      <c r="AV312">
        <v>107500</v>
      </c>
      <c r="AW312">
        <v>109625</v>
      </c>
      <c r="AX312">
        <v>110000</v>
      </c>
      <c r="AY312">
        <v>112750</v>
      </c>
      <c r="AZ312">
        <v>120738</v>
      </c>
      <c r="BA312">
        <v>129508.75</v>
      </c>
      <c r="BB312">
        <v>130380</v>
      </c>
      <c r="BC312">
        <v>133610</v>
      </c>
      <c r="BD312">
        <v>133800</v>
      </c>
      <c r="BE312">
        <v>141080</v>
      </c>
      <c r="BF312">
        <v>147500</v>
      </c>
      <c r="BG312">
        <v>155382.03049999999</v>
      </c>
      <c r="BH312">
        <v>165585.11799999999</v>
      </c>
      <c r="BI312">
        <v>166416.67000000001</v>
      </c>
      <c r="BJ312">
        <v>166416.67000000001</v>
      </c>
      <c r="BK312">
        <v>173582.95749999999</v>
      </c>
      <c r="BL312">
        <v>190388.68799999999</v>
      </c>
      <c r="BM312">
        <v>212150</v>
      </c>
      <c r="BN312">
        <v>283513.16900000011</v>
      </c>
      <c r="BO312">
        <v>415377.23</v>
      </c>
      <c r="BP312">
        <v>415377.23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</row>
    <row r="313" spans="1:89" x14ac:dyDescent="0.35">
      <c r="A313">
        <v>360660</v>
      </c>
      <c r="B313" t="s">
        <v>388</v>
      </c>
      <c r="C313" t="s">
        <v>389</v>
      </c>
      <c r="D313" s="1">
        <v>45839</v>
      </c>
      <c r="E313">
        <v>53850</v>
      </c>
      <c r="F313">
        <v>226</v>
      </c>
      <c r="G313" t="s">
        <v>174</v>
      </c>
      <c r="H313" t="s">
        <v>48</v>
      </c>
      <c r="I313" t="s">
        <v>49</v>
      </c>
      <c r="K313">
        <v>202506308142355</v>
      </c>
      <c r="L313">
        <v>2263300012169</v>
      </c>
      <c r="M313">
        <v>20250630</v>
      </c>
      <c r="N313" t="s">
        <v>392</v>
      </c>
      <c r="Q313" t="s">
        <v>58</v>
      </c>
      <c r="R313">
        <v>500000</v>
      </c>
      <c r="S313">
        <v>0</v>
      </c>
      <c r="T313">
        <v>3746226</v>
      </c>
      <c r="U313" t="s">
        <v>683</v>
      </c>
      <c r="V313" t="s">
        <v>684</v>
      </c>
      <c r="W313" t="s">
        <v>50</v>
      </c>
      <c r="Y313" t="s">
        <v>51</v>
      </c>
      <c r="AH313">
        <v>0</v>
      </c>
      <c r="AI313">
        <v>202506</v>
      </c>
      <c r="AJ313" t="s">
        <v>168</v>
      </c>
      <c r="AK313">
        <v>1</v>
      </c>
      <c r="AL313">
        <v>1</v>
      </c>
      <c r="AO313">
        <v>0</v>
      </c>
      <c r="AP313">
        <v>999</v>
      </c>
      <c r="AQ313">
        <v>600</v>
      </c>
      <c r="AR313">
        <v>600999</v>
      </c>
      <c r="AS313" t="s">
        <v>52</v>
      </c>
      <c r="AU313" t="s">
        <v>52</v>
      </c>
      <c r="AV313">
        <v>107500</v>
      </c>
      <c r="AW313">
        <v>109625</v>
      </c>
      <c r="AX313">
        <v>110000</v>
      </c>
      <c r="AY313">
        <v>112750</v>
      </c>
      <c r="AZ313">
        <v>120738</v>
      </c>
      <c r="BA313">
        <v>129508.75</v>
      </c>
      <c r="BB313">
        <v>130380</v>
      </c>
      <c r="BC313">
        <v>133610</v>
      </c>
      <c r="BD313">
        <v>133800</v>
      </c>
      <c r="BE313">
        <v>141080</v>
      </c>
      <c r="BF313">
        <v>147500</v>
      </c>
      <c r="BG313">
        <v>155382.03049999999</v>
      </c>
      <c r="BH313">
        <v>165585.11799999999</v>
      </c>
      <c r="BI313">
        <v>166416.67000000001</v>
      </c>
      <c r="BJ313">
        <v>166416.67000000001</v>
      </c>
      <c r="BK313">
        <v>173582.95749999999</v>
      </c>
      <c r="BL313">
        <v>190388.68799999999</v>
      </c>
      <c r="BM313">
        <v>212150</v>
      </c>
      <c r="BN313">
        <v>283513.16900000011</v>
      </c>
      <c r="BO313">
        <v>415377.23</v>
      </c>
      <c r="BP313">
        <v>415377.23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</row>
    <row r="314" spans="1:89" x14ac:dyDescent="0.35">
      <c r="A314">
        <v>360658</v>
      </c>
      <c r="B314" t="s">
        <v>388</v>
      </c>
      <c r="C314" t="s">
        <v>389</v>
      </c>
      <c r="D314" s="1">
        <v>45839</v>
      </c>
      <c r="E314">
        <v>53850</v>
      </c>
      <c r="F314">
        <v>268</v>
      </c>
      <c r="G314" t="s">
        <v>178</v>
      </c>
      <c r="H314" t="s">
        <v>48</v>
      </c>
      <c r="I314" t="s">
        <v>49</v>
      </c>
      <c r="K314">
        <v>202506308142448</v>
      </c>
      <c r="L314">
        <v>2683300006704</v>
      </c>
      <c r="M314">
        <v>20250630</v>
      </c>
      <c r="N314" t="s">
        <v>392</v>
      </c>
      <c r="Q314" t="s">
        <v>58</v>
      </c>
      <c r="R314">
        <v>101313.23</v>
      </c>
      <c r="S314">
        <v>0</v>
      </c>
      <c r="T314">
        <v>1705138</v>
      </c>
      <c r="U314">
        <v>3015600798</v>
      </c>
      <c r="V314" t="s">
        <v>685</v>
      </c>
      <c r="W314" t="s">
        <v>56</v>
      </c>
      <c r="X314" t="s">
        <v>686</v>
      </c>
      <c r="Y314" t="s">
        <v>51</v>
      </c>
      <c r="Z314">
        <v>1891</v>
      </c>
      <c r="AH314">
        <v>0</v>
      </c>
      <c r="AI314">
        <v>202506</v>
      </c>
      <c r="AJ314" t="s">
        <v>168</v>
      </c>
      <c r="AK314">
        <v>1</v>
      </c>
      <c r="AL314">
        <v>1</v>
      </c>
      <c r="AO314">
        <v>0</v>
      </c>
      <c r="AP314">
        <v>431</v>
      </c>
      <c r="AQ314">
        <v>430</v>
      </c>
      <c r="AR314">
        <v>430431</v>
      </c>
      <c r="AS314" t="s">
        <v>61</v>
      </c>
      <c r="AU314" t="s">
        <v>61</v>
      </c>
      <c r="AV314">
        <v>85050</v>
      </c>
      <c r="AW314">
        <v>89030</v>
      </c>
      <c r="AX314">
        <v>91669.203999999998</v>
      </c>
      <c r="AY314">
        <v>93087.394</v>
      </c>
      <c r="AZ314">
        <v>94164.18</v>
      </c>
      <c r="BA314">
        <v>96798.05</v>
      </c>
      <c r="BB314">
        <v>100000</v>
      </c>
      <c r="BC314">
        <v>100000</v>
      </c>
      <c r="BD314">
        <v>101589.726</v>
      </c>
      <c r="BE314">
        <v>106295.712</v>
      </c>
      <c r="BF314">
        <v>110193.28</v>
      </c>
      <c r="BG314">
        <v>119645.424</v>
      </c>
      <c r="BH314">
        <v>127698</v>
      </c>
      <c r="BI314">
        <v>137713.79399999999</v>
      </c>
      <c r="BJ314">
        <v>139806</v>
      </c>
      <c r="BK314">
        <v>150000</v>
      </c>
      <c r="BL314">
        <v>161820.22</v>
      </c>
      <c r="BM314">
        <v>190199.99999999991</v>
      </c>
      <c r="BN314">
        <v>213800</v>
      </c>
      <c r="BO314">
        <v>259913.9999999998</v>
      </c>
      <c r="BP314">
        <v>440000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 x14ac:dyDescent="0.35">
      <c r="A315">
        <v>360657</v>
      </c>
      <c r="B315" t="s">
        <v>388</v>
      </c>
      <c r="C315" t="s">
        <v>389</v>
      </c>
      <c r="D315" s="1">
        <v>45839</v>
      </c>
      <c r="E315">
        <v>53850</v>
      </c>
      <c r="F315">
        <v>226</v>
      </c>
      <c r="G315" t="s">
        <v>174</v>
      </c>
      <c r="H315" t="s">
        <v>48</v>
      </c>
      <c r="I315" t="s">
        <v>49</v>
      </c>
      <c r="K315">
        <v>202506308142355</v>
      </c>
      <c r="L315">
        <v>2263300012169</v>
      </c>
      <c r="M315">
        <v>20250630</v>
      </c>
      <c r="N315" t="s">
        <v>392</v>
      </c>
      <c r="Q315" t="s">
        <v>58</v>
      </c>
      <c r="R315">
        <v>500000</v>
      </c>
      <c r="S315">
        <v>0</v>
      </c>
      <c r="T315">
        <v>3746217</v>
      </c>
      <c r="U315" t="s">
        <v>687</v>
      </c>
      <c r="V315" t="s">
        <v>688</v>
      </c>
      <c r="W315" t="s">
        <v>50</v>
      </c>
      <c r="Y315" t="s">
        <v>51</v>
      </c>
      <c r="AH315">
        <v>0</v>
      </c>
      <c r="AI315">
        <v>202506</v>
      </c>
      <c r="AJ315" t="s">
        <v>168</v>
      </c>
      <c r="AK315">
        <v>1</v>
      </c>
      <c r="AL315">
        <v>1</v>
      </c>
      <c r="AO315">
        <v>0</v>
      </c>
      <c r="AP315">
        <v>999</v>
      </c>
      <c r="AQ315">
        <v>600</v>
      </c>
      <c r="AR315">
        <v>600999</v>
      </c>
      <c r="AS315" t="s">
        <v>52</v>
      </c>
      <c r="AU315" t="s">
        <v>52</v>
      </c>
      <c r="AV315">
        <v>107500</v>
      </c>
      <c r="AW315">
        <v>109625</v>
      </c>
      <c r="AX315">
        <v>110000</v>
      </c>
      <c r="AY315">
        <v>112750</v>
      </c>
      <c r="AZ315">
        <v>120738</v>
      </c>
      <c r="BA315">
        <v>129508.75</v>
      </c>
      <c r="BB315">
        <v>130380</v>
      </c>
      <c r="BC315">
        <v>133610</v>
      </c>
      <c r="BD315">
        <v>133800</v>
      </c>
      <c r="BE315">
        <v>141080</v>
      </c>
      <c r="BF315">
        <v>147500</v>
      </c>
      <c r="BG315">
        <v>155382.03049999999</v>
      </c>
      <c r="BH315">
        <v>165585.11799999999</v>
      </c>
      <c r="BI315">
        <v>166416.67000000001</v>
      </c>
      <c r="BJ315">
        <v>166416.67000000001</v>
      </c>
      <c r="BK315">
        <v>173582.95749999999</v>
      </c>
      <c r="BL315">
        <v>190388.68799999999</v>
      </c>
      <c r="BM315">
        <v>212150</v>
      </c>
      <c r="BN315">
        <v>283513.16900000011</v>
      </c>
      <c r="BO315">
        <v>415377.23</v>
      </c>
      <c r="BP315">
        <v>415377.23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</row>
    <row r="316" spans="1:89" x14ac:dyDescent="0.35">
      <c r="A316">
        <v>360656</v>
      </c>
      <c r="B316" t="s">
        <v>388</v>
      </c>
      <c r="C316" t="s">
        <v>389</v>
      </c>
      <c r="D316" s="1">
        <v>45839</v>
      </c>
      <c r="E316">
        <v>53850</v>
      </c>
      <c r="F316">
        <v>103</v>
      </c>
      <c r="G316" t="s">
        <v>59</v>
      </c>
      <c r="H316" t="s">
        <v>48</v>
      </c>
      <c r="I316" t="s">
        <v>49</v>
      </c>
      <c r="K316">
        <v>202506308141649</v>
      </c>
      <c r="L316">
        <v>1033300511030</v>
      </c>
      <c r="M316">
        <v>20250630</v>
      </c>
      <c r="N316" t="s">
        <v>392</v>
      </c>
      <c r="Q316" t="s">
        <v>58</v>
      </c>
      <c r="R316">
        <v>130000</v>
      </c>
      <c r="S316">
        <v>0</v>
      </c>
      <c r="T316">
        <v>51103</v>
      </c>
      <c r="U316" t="s">
        <v>689</v>
      </c>
      <c r="V316" t="s">
        <v>690</v>
      </c>
      <c r="W316" t="s">
        <v>50</v>
      </c>
      <c r="Y316" t="s">
        <v>51</v>
      </c>
      <c r="Z316">
        <v>407</v>
      </c>
      <c r="AH316">
        <v>0</v>
      </c>
      <c r="AI316">
        <v>202506</v>
      </c>
      <c r="AJ316" t="s">
        <v>168</v>
      </c>
      <c r="AK316">
        <v>1</v>
      </c>
      <c r="AL316">
        <v>1</v>
      </c>
      <c r="AO316">
        <v>0</v>
      </c>
      <c r="AP316">
        <v>999</v>
      </c>
      <c r="AQ316">
        <v>600</v>
      </c>
      <c r="AR316">
        <v>600999</v>
      </c>
      <c r="AS316" t="s">
        <v>52</v>
      </c>
      <c r="AU316" t="s">
        <v>52</v>
      </c>
      <c r="AV316">
        <v>107500</v>
      </c>
      <c r="AW316">
        <v>109625</v>
      </c>
      <c r="AX316">
        <v>110000</v>
      </c>
      <c r="AY316">
        <v>112750</v>
      </c>
      <c r="AZ316">
        <v>120738</v>
      </c>
      <c r="BA316">
        <v>129508.75</v>
      </c>
      <c r="BB316">
        <v>130380</v>
      </c>
      <c r="BC316">
        <v>133610</v>
      </c>
      <c r="BD316">
        <v>133800</v>
      </c>
      <c r="BE316">
        <v>141080</v>
      </c>
      <c r="BF316">
        <v>147500</v>
      </c>
      <c r="BG316">
        <v>155382.03049999999</v>
      </c>
      <c r="BH316">
        <v>165585.11799999999</v>
      </c>
      <c r="BI316">
        <v>166416.67000000001</v>
      </c>
      <c r="BJ316">
        <v>166416.67000000001</v>
      </c>
      <c r="BK316">
        <v>173582.95749999999</v>
      </c>
      <c r="BL316">
        <v>190388.68799999999</v>
      </c>
      <c r="BM316">
        <v>212150</v>
      </c>
      <c r="BN316">
        <v>283513.16900000011</v>
      </c>
      <c r="BO316">
        <v>415377.23</v>
      </c>
      <c r="BP316">
        <v>415377.23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 x14ac:dyDescent="0.35">
      <c r="A317">
        <v>360655</v>
      </c>
      <c r="B317" t="s">
        <v>388</v>
      </c>
      <c r="C317" t="s">
        <v>389</v>
      </c>
      <c r="D317" s="1">
        <v>45839</v>
      </c>
      <c r="E317">
        <v>53850</v>
      </c>
      <c r="F317">
        <v>109</v>
      </c>
      <c r="G317" t="s">
        <v>68</v>
      </c>
      <c r="H317" t="s">
        <v>48</v>
      </c>
      <c r="I317" t="s">
        <v>49</v>
      </c>
      <c r="K317">
        <v>202506308141756</v>
      </c>
      <c r="L317">
        <v>1093300002993</v>
      </c>
      <c r="M317">
        <v>20250630</v>
      </c>
      <c r="N317" t="s">
        <v>392</v>
      </c>
      <c r="Q317" t="s">
        <v>58</v>
      </c>
      <c r="R317">
        <v>119300</v>
      </c>
      <c r="S317">
        <v>0</v>
      </c>
      <c r="T317">
        <v>4035986</v>
      </c>
      <c r="U317" t="s">
        <v>691</v>
      </c>
      <c r="V317" t="s">
        <v>692</v>
      </c>
      <c r="W317" t="s">
        <v>50</v>
      </c>
      <c r="Y317" t="s">
        <v>51</v>
      </c>
      <c r="Z317">
        <v>929</v>
      </c>
      <c r="AH317">
        <v>0</v>
      </c>
      <c r="AI317">
        <v>202506</v>
      </c>
      <c r="AJ317" t="s">
        <v>168</v>
      </c>
      <c r="AK317">
        <v>1</v>
      </c>
      <c r="AL317">
        <v>1</v>
      </c>
      <c r="AO317">
        <v>0</v>
      </c>
      <c r="AP317">
        <v>999</v>
      </c>
      <c r="AQ317">
        <v>600</v>
      </c>
      <c r="AR317">
        <v>600999</v>
      </c>
      <c r="AS317" t="s">
        <v>52</v>
      </c>
      <c r="AU317" t="s">
        <v>52</v>
      </c>
      <c r="AV317">
        <v>107500</v>
      </c>
      <c r="AW317">
        <v>109625</v>
      </c>
      <c r="AX317">
        <v>110000</v>
      </c>
      <c r="AY317">
        <v>112750</v>
      </c>
      <c r="AZ317">
        <v>120738</v>
      </c>
      <c r="BA317">
        <v>129508.75</v>
      </c>
      <c r="BB317">
        <v>130380</v>
      </c>
      <c r="BC317">
        <v>133610</v>
      </c>
      <c r="BD317">
        <v>133800</v>
      </c>
      <c r="BE317">
        <v>141080</v>
      </c>
      <c r="BF317">
        <v>147500</v>
      </c>
      <c r="BG317">
        <v>155382.03049999999</v>
      </c>
      <c r="BH317">
        <v>165585.11799999999</v>
      </c>
      <c r="BI317">
        <v>166416.67000000001</v>
      </c>
      <c r="BJ317">
        <v>166416.67000000001</v>
      </c>
      <c r="BK317">
        <v>173582.95749999999</v>
      </c>
      <c r="BL317">
        <v>190388.68799999999</v>
      </c>
      <c r="BM317">
        <v>212150</v>
      </c>
      <c r="BN317">
        <v>283513.16900000011</v>
      </c>
      <c r="BO317">
        <v>415377.23</v>
      </c>
      <c r="BP317">
        <v>415377.23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 x14ac:dyDescent="0.35">
      <c r="A318">
        <v>360654</v>
      </c>
      <c r="B318" t="s">
        <v>388</v>
      </c>
      <c r="C318" t="s">
        <v>389</v>
      </c>
      <c r="D318" s="1">
        <v>45839</v>
      </c>
      <c r="E318">
        <v>53850</v>
      </c>
      <c r="F318">
        <v>128</v>
      </c>
      <c r="G318" t="s">
        <v>274</v>
      </c>
      <c r="H318" t="s">
        <v>48</v>
      </c>
      <c r="I318" t="s">
        <v>49</v>
      </c>
      <c r="K318" t="s">
        <v>351</v>
      </c>
      <c r="L318">
        <v>1093306672844</v>
      </c>
      <c r="M318">
        <v>20250630</v>
      </c>
      <c r="N318" t="s">
        <v>262</v>
      </c>
      <c r="Q318" t="s">
        <v>58</v>
      </c>
      <c r="R318">
        <v>101400</v>
      </c>
      <c r="S318">
        <v>1400</v>
      </c>
      <c r="T318">
        <v>440311</v>
      </c>
      <c r="U318">
        <v>3550290724</v>
      </c>
      <c r="V318" t="s">
        <v>237</v>
      </c>
      <c r="W318" t="s">
        <v>56</v>
      </c>
      <c r="X318" t="s">
        <v>238</v>
      </c>
      <c r="Y318" t="s">
        <v>51</v>
      </c>
      <c r="Z318">
        <v>1903</v>
      </c>
      <c r="AH318">
        <v>0</v>
      </c>
      <c r="AI318">
        <v>202506</v>
      </c>
      <c r="AJ318" t="s">
        <v>169</v>
      </c>
      <c r="AK318">
        <v>1</v>
      </c>
      <c r="AL318">
        <v>1</v>
      </c>
      <c r="AM318">
        <v>440311</v>
      </c>
      <c r="AN318">
        <v>1</v>
      </c>
      <c r="AO318">
        <v>1</v>
      </c>
      <c r="AP318">
        <v>451</v>
      </c>
      <c r="AQ318">
        <v>430</v>
      </c>
      <c r="AR318">
        <v>430451</v>
      </c>
      <c r="AS318" t="s">
        <v>61</v>
      </c>
      <c r="AU318" t="s">
        <v>61</v>
      </c>
      <c r="AV318">
        <v>85050</v>
      </c>
      <c r="AW318">
        <v>89030</v>
      </c>
      <c r="AX318">
        <v>91669.203999999998</v>
      </c>
      <c r="AY318">
        <v>93087.394</v>
      </c>
      <c r="AZ318">
        <v>94164.18</v>
      </c>
      <c r="BA318">
        <v>96798.05</v>
      </c>
      <c r="BB318">
        <v>100000</v>
      </c>
      <c r="BC318">
        <v>100000</v>
      </c>
      <c r="BD318">
        <v>101589.726</v>
      </c>
      <c r="BE318">
        <v>106295.712</v>
      </c>
      <c r="BF318">
        <v>110193.28</v>
      </c>
      <c r="BG318">
        <v>119645.424</v>
      </c>
      <c r="BH318">
        <v>127698</v>
      </c>
      <c r="BI318">
        <v>137713.79399999999</v>
      </c>
      <c r="BJ318">
        <v>139806</v>
      </c>
      <c r="BK318">
        <v>150000</v>
      </c>
      <c r="BL318">
        <v>161820.22</v>
      </c>
      <c r="BM318">
        <v>190199.99999999991</v>
      </c>
      <c r="BN318">
        <v>213800</v>
      </c>
      <c r="BO318">
        <v>259913.9999999998</v>
      </c>
      <c r="BP318">
        <v>440000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 x14ac:dyDescent="0.35">
      <c r="A319">
        <v>360649</v>
      </c>
      <c r="B319" t="s">
        <v>388</v>
      </c>
      <c r="C319" t="s">
        <v>389</v>
      </c>
      <c r="D319" s="1">
        <v>45839</v>
      </c>
      <c r="E319">
        <v>53850</v>
      </c>
      <c r="F319">
        <v>161</v>
      </c>
      <c r="G319" t="s">
        <v>95</v>
      </c>
      <c r="H319" t="s">
        <v>48</v>
      </c>
      <c r="I319" t="s">
        <v>49</v>
      </c>
      <c r="K319">
        <v>202506308142034</v>
      </c>
      <c r="L319">
        <v>1613300032598</v>
      </c>
      <c r="M319">
        <v>20250630</v>
      </c>
      <c r="N319" t="s">
        <v>392</v>
      </c>
      <c r="Q319" t="s">
        <v>58</v>
      </c>
      <c r="R319">
        <v>107146.85</v>
      </c>
      <c r="S319">
        <v>0</v>
      </c>
      <c r="T319">
        <v>4103078</v>
      </c>
      <c r="U319">
        <v>272810722</v>
      </c>
      <c r="V319" t="s">
        <v>614</v>
      </c>
      <c r="W319" t="s">
        <v>56</v>
      </c>
      <c r="X319" t="s">
        <v>294</v>
      </c>
      <c r="Y319" t="s">
        <v>51</v>
      </c>
      <c r="Z319">
        <v>1903</v>
      </c>
      <c r="AH319">
        <v>0</v>
      </c>
      <c r="AI319">
        <v>202506</v>
      </c>
      <c r="AJ319" t="s">
        <v>169</v>
      </c>
      <c r="AK319">
        <v>1</v>
      </c>
      <c r="AL319">
        <v>1</v>
      </c>
      <c r="AO319">
        <v>0</v>
      </c>
      <c r="AP319">
        <v>999</v>
      </c>
      <c r="AQ319">
        <v>430</v>
      </c>
      <c r="AR319">
        <v>430999</v>
      </c>
      <c r="AT319">
        <v>1</v>
      </c>
      <c r="AU319" t="s">
        <v>57</v>
      </c>
      <c r="AV319">
        <v>101552.46</v>
      </c>
      <c r="AW319">
        <v>114647.6485</v>
      </c>
      <c r="AX319">
        <v>118167.008</v>
      </c>
      <c r="AY319">
        <v>123559.05899999999</v>
      </c>
      <c r="AZ319">
        <v>128796.368</v>
      </c>
      <c r="BA319">
        <v>130000</v>
      </c>
      <c r="BB319">
        <v>135819.11300000001</v>
      </c>
      <c r="BC319">
        <v>145008.255</v>
      </c>
      <c r="BD319">
        <v>146226.546</v>
      </c>
      <c r="BE319">
        <v>148171.67300000001</v>
      </c>
      <c r="BF319">
        <v>156533.16500000001</v>
      </c>
      <c r="BG319">
        <v>167340.8915</v>
      </c>
      <c r="BH319">
        <v>179808.78</v>
      </c>
      <c r="BI319">
        <v>187222.14799999999</v>
      </c>
      <c r="BJ319">
        <v>206328.26500000001</v>
      </c>
      <c r="BK319">
        <v>220390.6225</v>
      </c>
      <c r="BL319">
        <v>239280.00000000009</v>
      </c>
      <c r="BM319">
        <v>298738.61</v>
      </c>
      <c r="BN319">
        <v>365407.64500000002</v>
      </c>
      <c r="BO319">
        <v>399465.49400000001</v>
      </c>
      <c r="BP319">
        <v>515709.15</v>
      </c>
      <c r="BQ319">
        <v>1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 x14ac:dyDescent="0.35">
      <c r="A320">
        <v>360647</v>
      </c>
      <c r="B320" t="s">
        <v>388</v>
      </c>
      <c r="C320" t="s">
        <v>389</v>
      </c>
      <c r="D320" s="1">
        <v>45839</v>
      </c>
      <c r="E320">
        <v>53850</v>
      </c>
      <c r="F320">
        <v>102</v>
      </c>
      <c r="G320" t="s">
        <v>55</v>
      </c>
      <c r="H320" t="s">
        <v>48</v>
      </c>
      <c r="I320" t="s">
        <v>49</v>
      </c>
      <c r="K320" t="s">
        <v>351</v>
      </c>
      <c r="L320">
        <v>1023308717655</v>
      </c>
      <c r="M320">
        <v>20250630</v>
      </c>
      <c r="N320" t="s">
        <v>262</v>
      </c>
      <c r="Q320" t="s">
        <v>58</v>
      </c>
      <c r="R320">
        <v>189404.49</v>
      </c>
      <c r="S320">
        <v>0</v>
      </c>
      <c r="T320">
        <v>4226959</v>
      </c>
      <c r="U320">
        <v>6150080726</v>
      </c>
      <c r="V320" t="s">
        <v>390</v>
      </c>
      <c r="W320" t="s">
        <v>56</v>
      </c>
      <c r="X320" t="s">
        <v>391</v>
      </c>
      <c r="Y320" t="s">
        <v>51</v>
      </c>
      <c r="Z320">
        <v>739</v>
      </c>
      <c r="AH320">
        <v>0</v>
      </c>
      <c r="AI320">
        <v>202506</v>
      </c>
      <c r="AJ320" t="s">
        <v>168</v>
      </c>
      <c r="AK320">
        <v>1</v>
      </c>
      <c r="AL320">
        <v>1</v>
      </c>
      <c r="AO320">
        <v>1</v>
      </c>
      <c r="AP320">
        <v>999</v>
      </c>
      <c r="AQ320">
        <v>430</v>
      </c>
      <c r="AR320">
        <v>430999</v>
      </c>
      <c r="AT320">
        <v>1</v>
      </c>
      <c r="AU320" t="s">
        <v>57</v>
      </c>
      <c r="AV320">
        <v>101552.46</v>
      </c>
      <c r="AW320">
        <v>114647.6485</v>
      </c>
      <c r="AX320">
        <v>118167.008</v>
      </c>
      <c r="AY320">
        <v>123559.05899999999</v>
      </c>
      <c r="AZ320">
        <v>128796.368</v>
      </c>
      <c r="BA320">
        <v>130000</v>
      </c>
      <c r="BB320">
        <v>135819.11300000001</v>
      </c>
      <c r="BC320">
        <v>145008.255</v>
      </c>
      <c r="BD320">
        <v>146226.546</v>
      </c>
      <c r="BE320">
        <v>148171.67300000001</v>
      </c>
      <c r="BF320">
        <v>156533.16500000001</v>
      </c>
      <c r="BG320">
        <v>167340.8915</v>
      </c>
      <c r="BH320">
        <v>179808.78</v>
      </c>
      <c r="BI320">
        <v>187222.14799999999</v>
      </c>
      <c r="BJ320">
        <v>206328.26500000001</v>
      </c>
      <c r="BK320">
        <v>220390.6225</v>
      </c>
      <c r="BL320">
        <v>239280.00000000009</v>
      </c>
      <c r="BM320">
        <v>298738.61</v>
      </c>
      <c r="BN320">
        <v>365407.64500000002</v>
      </c>
      <c r="BO320">
        <v>399465.49400000001</v>
      </c>
      <c r="BP320">
        <v>515709.15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 x14ac:dyDescent="0.35">
      <c r="A321">
        <v>360643</v>
      </c>
      <c r="B321" t="s">
        <v>388</v>
      </c>
      <c r="C321" t="s">
        <v>389</v>
      </c>
      <c r="D321" s="1">
        <v>45839</v>
      </c>
      <c r="E321">
        <v>53850</v>
      </c>
      <c r="F321">
        <v>121</v>
      </c>
      <c r="G321" t="s">
        <v>71</v>
      </c>
      <c r="H321" t="s">
        <v>48</v>
      </c>
      <c r="I321" t="s">
        <v>49</v>
      </c>
      <c r="K321">
        <v>202506308141858</v>
      </c>
      <c r="L321">
        <v>1213300002971</v>
      </c>
      <c r="M321">
        <v>20250630</v>
      </c>
      <c r="N321" t="s">
        <v>392</v>
      </c>
      <c r="Q321" t="s">
        <v>58</v>
      </c>
      <c r="R321">
        <v>246000</v>
      </c>
      <c r="S321">
        <v>0</v>
      </c>
      <c r="T321">
        <v>4859756</v>
      </c>
      <c r="U321">
        <v>7229510727</v>
      </c>
      <c r="V321" t="s">
        <v>574</v>
      </c>
      <c r="W321" t="s">
        <v>56</v>
      </c>
      <c r="X321" t="s">
        <v>575</v>
      </c>
      <c r="Y321" t="s">
        <v>51</v>
      </c>
      <c r="Z321">
        <v>1058</v>
      </c>
      <c r="AH321">
        <v>0</v>
      </c>
      <c r="AI321">
        <v>202506</v>
      </c>
      <c r="AJ321" t="s">
        <v>168</v>
      </c>
      <c r="AK321">
        <v>1</v>
      </c>
      <c r="AL321">
        <v>1</v>
      </c>
      <c r="AO321">
        <v>0</v>
      </c>
      <c r="AP321">
        <v>999</v>
      </c>
      <c r="AQ321">
        <v>430</v>
      </c>
      <c r="AR321">
        <v>430999</v>
      </c>
      <c r="AT321">
        <v>1</v>
      </c>
      <c r="AU321" t="s">
        <v>57</v>
      </c>
      <c r="AV321">
        <v>101552.46</v>
      </c>
      <c r="AW321">
        <v>114647.6485</v>
      </c>
      <c r="AX321">
        <v>118167.008</v>
      </c>
      <c r="AY321">
        <v>123559.05899999999</v>
      </c>
      <c r="AZ321">
        <v>128796.368</v>
      </c>
      <c r="BA321">
        <v>130000</v>
      </c>
      <c r="BB321">
        <v>135819.11300000001</v>
      </c>
      <c r="BC321">
        <v>145008.255</v>
      </c>
      <c r="BD321">
        <v>146226.546</v>
      </c>
      <c r="BE321">
        <v>148171.67300000001</v>
      </c>
      <c r="BF321">
        <v>156533.16500000001</v>
      </c>
      <c r="BG321">
        <v>167340.8915</v>
      </c>
      <c r="BH321">
        <v>179808.78</v>
      </c>
      <c r="BI321">
        <v>187222.14799999999</v>
      </c>
      <c r="BJ321">
        <v>206328.26500000001</v>
      </c>
      <c r="BK321">
        <v>220390.6225</v>
      </c>
      <c r="BL321">
        <v>239280.00000000009</v>
      </c>
      <c r="BM321">
        <v>298738.61</v>
      </c>
      <c r="BN321">
        <v>365407.64500000002</v>
      </c>
      <c r="BO321">
        <v>399465.49400000001</v>
      </c>
      <c r="BP321">
        <v>515709.15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0</v>
      </c>
      <c r="CI321">
        <v>0</v>
      </c>
      <c r="CJ321">
        <v>0</v>
      </c>
      <c r="CK321">
        <v>0</v>
      </c>
    </row>
    <row r="322" spans="1:89" x14ac:dyDescent="0.35">
      <c r="A322">
        <v>360642</v>
      </c>
      <c r="B322" t="s">
        <v>388</v>
      </c>
      <c r="C322" t="s">
        <v>389</v>
      </c>
      <c r="D322" s="1">
        <v>45839</v>
      </c>
      <c r="E322">
        <v>53850</v>
      </c>
      <c r="F322">
        <v>129</v>
      </c>
      <c r="G322" t="s">
        <v>283</v>
      </c>
      <c r="H322" t="s">
        <v>48</v>
      </c>
      <c r="I322" t="s">
        <v>49</v>
      </c>
      <c r="K322" t="s">
        <v>351</v>
      </c>
      <c r="L322">
        <v>2343300010453</v>
      </c>
      <c r="M322">
        <v>20250630</v>
      </c>
      <c r="N322" t="s">
        <v>262</v>
      </c>
      <c r="Q322" t="s">
        <v>58</v>
      </c>
      <c r="R322">
        <v>224735.1</v>
      </c>
      <c r="S322">
        <v>0</v>
      </c>
      <c r="T322">
        <v>4247777</v>
      </c>
      <c r="U322">
        <v>233470236</v>
      </c>
      <c r="V322" t="s">
        <v>260</v>
      </c>
      <c r="W322" t="s">
        <v>56</v>
      </c>
      <c r="X322" t="s">
        <v>72</v>
      </c>
      <c r="Y322" t="s">
        <v>51</v>
      </c>
      <c r="Z322">
        <v>1696</v>
      </c>
      <c r="AH322">
        <v>0</v>
      </c>
      <c r="AI322">
        <v>202506</v>
      </c>
      <c r="AJ322" t="s">
        <v>168</v>
      </c>
      <c r="AK322">
        <v>1</v>
      </c>
      <c r="AL322">
        <v>1</v>
      </c>
      <c r="AM322">
        <v>4247777</v>
      </c>
      <c r="AN322">
        <v>1</v>
      </c>
      <c r="AO322">
        <v>1</v>
      </c>
      <c r="AP322">
        <v>463</v>
      </c>
      <c r="AQ322">
        <v>430</v>
      </c>
      <c r="AR322">
        <v>430463</v>
      </c>
      <c r="AS322" t="s">
        <v>61</v>
      </c>
      <c r="AU322" t="s">
        <v>61</v>
      </c>
      <c r="AV322">
        <v>85050</v>
      </c>
      <c r="AW322">
        <v>89030</v>
      </c>
      <c r="AX322">
        <v>91669.203999999998</v>
      </c>
      <c r="AY322">
        <v>93087.394</v>
      </c>
      <c r="AZ322">
        <v>94164.18</v>
      </c>
      <c r="BA322">
        <v>96798.05</v>
      </c>
      <c r="BB322">
        <v>100000</v>
      </c>
      <c r="BC322">
        <v>100000</v>
      </c>
      <c r="BD322">
        <v>101589.726</v>
      </c>
      <c r="BE322">
        <v>106295.712</v>
      </c>
      <c r="BF322">
        <v>110193.28</v>
      </c>
      <c r="BG322">
        <v>119645.424</v>
      </c>
      <c r="BH322">
        <v>127698</v>
      </c>
      <c r="BI322">
        <v>137713.79399999999</v>
      </c>
      <c r="BJ322">
        <v>139806</v>
      </c>
      <c r="BK322">
        <v>150000</v>
      </c>
      <c r="BL322">
        <v>161820.22</v>
      </c>
      <c r="BM322">
        <v>190199.99999999991</v>
      </c>
      <c r="BN322">
        <v>213800</v>
      </c>
      <c r="BO322">
        <v>259913.9999999998</v>
      </c>
      <c r="BP322">
        <v>440000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0</v>
      </c>
      <c r="CK322">
        <v>0</v>
      </c>
    </row>
    <row r="323" spans="1:89" x14ac:dyDescent="0.35">
      <c r="A323">
        <v>360638</v>
      </c>
      <c r="B323" t="s">
        <v>388</v>
      </c>
      <c r="C323" t="s">
        <v>389</v>
      </c>
      <c r="D323" s="1">
        <v>45839</v>
      </c>
      <c r="E323">
        <v>53850</v>
      </c>
      <c r="F323">
        <v>267</v>
      </c>
      <c r="G323" t="s">
        <v>170</v>
      </c>
      <c r="H323" t="s">
        <v>48</v>
      </c>
      <c r="I323" t="s">
        <v>49</v>
      </c>
      <c r="K323" t="s">
        <v>351</v>
      </c>
      <c r="L323">
        <v>2673300010274</v>
      </c>
      <c r="M323">
        <v>20250630</v>
      </c>
      <c r="N323" t="s">
        <v>392</v>
      </c>
      <c r="Q323" t="s">
        <v>58</v>
      </c>
      <c r="R323">
        <v>109129.54</v>
      </c>
      <c r="S323">
        <v>0</v>
      </c>
      <c r="T323">
        <v>4992646</v>
      </c>
      <c r="U323">
        <v>3152440792</v>
      </c>
      <c r="V323" t="s">
        <v>236</v>
      </c>
      <c r="W323" t="s">
        <v>56</v>
      </c>
      <c r="X323" t="s">
        <v>74</v>
      </c>
      <c r="Y323" t="s">
        <v>51</v>
      </c>
      <c r="Z323">
        <v>1627</v>
      </c>
      <c r="AH323">
        <v>0</v>
      </c>
      <c r="AI323">
        <v>202506</v>
      </c>
      <c r="AJ323" t="s">
        <v>168</v>
      </c>
      <c r="AK323">
        <v>1</v>
      </c>
      <c r="AL323">
        <v>1</v>
      </c>
      <c r="AO323">
        <v>0</v>
      </c>
      <c r="AP323">
        <v>999</v>
      </c>
      <c r="AQ323">
        <v>430</v>
      </c>
      <c r="AR323">
        <v>430999</v>
      </c>
      <c r="AT323">
        <v>1</v>
      </c>
      <c r="AU323" t="s">
        <v>57</v>
      </c>
      <c r="AV323">
        <v>101552.46</v>
      </c>
      <c r="AW323">
        <v>114647.6485</v>
      </c>
      <c r="AX323">
        <v>118167.008</v>
      </c>
      <c r="AY323">
        <v>123559.05899999999</v>
      </c>
      <c r="AZ323">
        <v>128796.368</v>
      </c>
      <c r="BA323">
        <v>130000</v>
      </c>
      <c r="BB323">
        <v>135819.11300000001</v>
      </c>
      <c r="BC323">
        <v>145008.255</v>
      </c>
      <c r="BD323">
        <v>146226.546</v>
      </c>
      <c r="BE323">
        <v>148171.67300000001</v>
      </c>
      <c r="BF323">
        <v>156533.16500000001</v>
      </c>
      <c r="BG323">
        <v>167340.8915</v>
      </c>
      <c r="BH323">
        <v>179808.78</v>
      </c>
      <c r="BI323">
        <v>187222.14799999999</v>
      </c>
      <c r="BJ323">
        <v>206328.26500000001</v>
      </c>
      <c r="BK323">
        <v>220390.6225</v>
      </c>
      <c r="BL323">
        <v>239280.00000000009</v>
      </c>
      <c r="BM323">
        <v>298738.61</v>
      </c>
      <c r="BN323">
        <v>365407.64500000002</v>
      </c>
      <c r="BO323">
        <v>399465.49400000001</v>
      </c>
      <c r="BP323">
        <v>515709.15</v>
      </c>
      <c r="BQ323">
        <v>1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 x14ac:dyDescent="0.35">
      <c r="A324">
        <v>360635</v>
      </c>
      <c r="B324" t="s">
        <v>388</v>
      </c>
      <c r="C324" t="s">
        <v>389</v>
      </c>
      <c r="D324" s="1">
        <v>45839</v>
      </c>
      <c r="E324">
        <v>53850</v>
      </c>
      <c r="F324">
        <v>161</v>
      </c>
      <c r="G324" t="s">
        <v>95</v>
      </c>
      <c r="H324" t="s">
        <v>48</v>
      </c>
      <c r="I324" t="s">
        <v>49</v>
      </c>
      <c r="K324" t="s">
        <v>351</v>
      </c>
      <c r="L324">
        <v>1613300029653</v>
      </c>
      <c r="M324">
        <v>20250630</v>
      </c>
      <c r="N324" t="s">
        <v>262</v>
      </c>
      <c r="Q324" t="s">
        <v>58</v>
      </c>
      <c r="R324">
        <v>259946.2</v>
      </c>
      <c r="S324">
        <v>7000</v>
      </c>
      <c r="T324">
        <v>4088769</v>
      </c>
      <c r="U324">
        <v>5150120722</v>
      </c>
      <c r="V324" t="s">
        <v>407</v>
      </c>
      <c r="W324" t="s">
        <v>56</v>
      </c>
      <c r="X324" t="s">
        <v>78</v>
      </c>
      <c r="Y324" t="s">
        <v>51</v>
      </c>
      <c r="Z324">
        <v>1903</v>
      </c>
      <c r="AH324">
        <v>0</v>
      </c>
      <c r="AI324">
        <v>202506</v>
      </c>
      <c r="AJ324" t="s">
        <v>63</v>
      </c>
      <c r="AK324">
        <v>0</v>
      </c>
      <c r="AL324">
        <v>1</v>
      </c>
      <c r="AM324">
        <v>4088769</v>
      </c>
      <c r="AN324">
        <v>1</v>
      </c>
      <c r="AO324">
        <v>1</v>
      </c>
      <c r="AP324">
        <v>464</v>
      </c>
      <c r="AQ324">
        <v>430</v>
      </c>
      <c r="AR324">
        <v>430464</v>
      </c>
      <c r="AS324" t="s">
        <v>79</v>
      </c>
      <c r="AU324" t="s">
        <v>79</v>
      </c>
      <c r="AV324">
        <v>76382.789999999994</v>
      </c>
      <c r="AW324">
        <v>79891.56</v>
      </c>
      <c r="AX324">
        <v>79937.08</v>
      </c>
      <c r="AY324">
        <v>88865.89</v>
      </c>
      <c r="AZ324">
        <v>94634.78</v>
      </c>
      <c r="BA324">
        <v>97229.53</v>
      </c>
      <c r="BB324">
        <v>98360.01</v>
      </c>
      <c r="BC324">
        <v>100000</v>
      </c>
      <c r="BD324">
        <v>104738.68</v>
      </c>
      <c r="BE324">
        <v>108176.82</v>
      </c>
      <c r="BF324">
        <v>110891.36</v>
      </c>
      <c r="BG324">
        <v>115427.47</v>
      </c>
      <c r="BH324">
        <v>118009.65</v>
      </c>
      <c r="BI324">
        <v>136718.03</v>
      </c>
      <c r="BJ324">
        <v>148758.49</v>
      </c>
      <c r="BK324">
        <v>182944.14</v>
      </c>
      <c r="BL324">
        <v>217448.27</v>
      </c>
      <c r="BM324">
        <v>222704.65</v>
      </c>
      <c r="BN324">
        <v>225130.1</v>
      </c>
      <c r="BO324">
        <v>259946.2</v>
      </c>
      <c r="BP324">
        <v>270019.89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0</v>
      </c>
    </row>
    <row r="325" spans="1:89" x14ac:dyDescent="0.35">
      <c r="A325">
        <v>360633</v>
      </c>
      <c r="B325" t="s">
        <v>388</v>
      </c>
      <c r="C325" t="s">
        <v>389</v>
      </c>
      <c r="D325" s="1">
        <v>45839</v>
      </c>
      <c r="E325">
        <v>53850</v>
      </c>
      <c r="F325">
        <v>192</v>
      </c>
      <c r="G325" t="s">
        <v>73</v>
      </c>
      <c r="H325" t="s">
        <v>48</v>
      </c>
      <c r="I325" t="s">
        <v>49</v>
      </c>
      <c r="K325" t="s">
        <v>351</v>
      </c>
      <c r="L325">
        <v>1923300180351</v>
      </c>
      <c r="M325">
        <v>20250630</v>
      </c>
      <c r="N325" t="s">
        <v>262</v>
      </c>
      <c r="Q325" t="s">
        <v>58</v>
      </c>
      <c r="R325">
        <v>280497.34000000003</v>
      </c>
      <c r="S325">
        <v>0</v>
      </c>
      <c r="T325">
        <v>4365602</v>
      </c>
      <c r="U325">
        <v>2514190731</v>
      </c>
      <c r="V325" t="s">
        <v>403</v>
      </c>
      <c r="W325" t="s">
        <v>56</v>
      </c>
      <c r="X325" t="s">
        <v>87</v>
      </c>
      <c r="Y325" t="s">
        <v>51</v>
      </c>
      <c r="Z325">
        <v>1066</v>
      </c>
      <c r="AH325">
        <v>0</v>
      </c>
      <c r="AI325">
        <v>202506</v>
      </c>
      <c r="AJ325" t="s">
        <v>168</v>
      </c>
      <c r="AK325">
        <v>1</v>
      </c>
      <c r="AL325">
        <v>1</v>
      </c>
      <c r="AO325">
        <v>1</v>
      </c>
      <c r="AP325">
        <v>999</v>
      </c>
      <c r="AQ325">
        <v>430</v>
      </c>
      <c r="AR325">
        <v>430999</v>
      </c>
      <c r="AT325">
        <v>1</v>
      </c>
      <c r="AU325" t="s">
        <v>57</v>
      </c>
      <c r="AV325">
        <v>101552.46</v>
      </c>
      <c r="AW325">
        <v>114647.6485</v>
      </c>
      <c r="AX325">
        <v>118167.008</v>
      </c>
      <c r="AY325">
        <v>123559.05899999999</v>
      </c>
      <c r="AZ325">
        <v>128796.368</v>
      </c>
      <c r="BA325">
        <v>130000</v>
      </c>
      <c r="BB325">
        <v>135819.11300000001</v>
      </c>
      <c r="BC325">
        <v>145008.255</v>
      </c>
      <c r="BD325">
        <v>146226.546</v>
      </c>
      <c r="BE325">
        <v>148171.67300000001</v>
      </c>
      <c r="BF325">
        <v>156533.16500000001</v>
      </c>
      <c r="BG325">
        <v>167340.8915</v>
      </c>
      <c r="BH325">
        <v>179808.78</v>
      </c>
      <c r="BI325">
        <v>187222.14799999999</v>
      </c>
      <c r="BJ325">
        <v>206328.26500000001</v>
      </c>
      <c r="BK325">
        <v>220390.6225</v>
      </c>
      <c r="BL325">
        <v>239280.00000000009</v>
      </c>
      <c r="BM325">
        <v>298738.61</v>
      </c>
      <c r="BN325">
        <v>365407.64500000002</v>
      </c>
      <c r="BO325">
        <v>399465.49400000001</v>
      </c>
      <c r="BP325">
        <v>515709.15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0</v>
      </c>
      <c r="CI325">
        <v>0</v>
      </c>
      <c r="CJ325">
        <v>0</v>
      </c>
      <c r="CK325">
        <v>0</v>
      </c>
    </row>
    <row r="326" spans="1:89" x14ac:dyDescent="0.35">
      <c r="A326">
        <v>360632</v>
      </c>
      <c r="B326" t="s">
        <v>388</v>
      </c>
      <c r="C326" t="s">
        <v>389</v>
      </c>
      <c r="D326" s="1">
        <v>45839</v>
      </c>
      <c r="E326">
        <v>53850</v>
      </c>
      <c r="F326">
        <v>108</v>
      </c>
      <c r="G326" t="s">
        <v>89</v>
      </c>
      <c r="H326" t="s">
        <v>48</v>
      </c>
      <c r="I326" t="s">
        <v>49</v>
      </c>
      <c r="K326">
        <v>202506308141731</v>
      </c>
      <c r="L326">
        <v>1083306289591</v>
      </c>
      <c r="M326">
        <v>20250630</v>
      </c>
      <c r="N326" t="s">
        <v>392</v>
      </c>
      <c r="Q326" t="s">
        <v>58</v>
      </c>
      <c r="R326">
        <v>138780.82999999999</v>
      </c>
      <c r="S326">
        <v>0</v>
      </c>
      <c r="T326">
        <v>4709106</v>
      </c>
      <c r="U326">
        <v>7342200727</v>
      </c>
      <c r="V326" t="s">
        <v>693</v>
      </c>
      <c r="W326" t="s">
        <v>56</v>
      </c>
      <c r="X326" t="s">
        <v>87</v>
      </c>
      <c r="Y326" t="s">
        <v>51</v>
      </c>
      <c r="Z326">
        <v>1118</v>
      </c>
      <c r="AH326">
        <v>0</v>
      </c>
      <c r="AI326">
        <v>202506</v>
      </c>
      <c r="AJ326" t="s">
        <v>168</v>
      </c>
      <c r="AK326">
        <v>1</v>
      </c>
      <c r="AL326">
        <v>1</v>
      </c>
      <c r="AO326">
        <v>0</v>
      </c>
      <c r="AP326">
        <v>999</v>
      </c>
      <c r="AQ326">
        <v>430</v>
      </c>
      <c r="AR326">
        <v>430999</v>
      </c>
      <c r="AT326">
        <v>1</v>
      </c>
      <c r="AU326" t="s">
        <v>57</v>
      </c>
      <c r="AV326">
        <v>101552.46</v>
      </c>
      <c r="AW326">
        <v>114647.6485</v>
      </c>
      <c r="AX326">
        <v>118167.008</v>
      </c>
      <c r="AY326">
        <v>123559.05899999999</v>
      </c>
      <c r="AZ326">
        <v>128796.368</v>
      </c>
      <c r="BA326">
        <v>130000</v>
      </c>
      <c r="BB326">
        <v>135819.11300000001</v>
      </c>
      <c r="BC326">
        <v>145008.255</v>
      </c>
      <c r="BD326">
        <v>146226.546</v>
      </c>
      <c r="BE326">
        <v>148171.67300000001</v>
      </c>
      <c r="BF326">
        <v>156533.16500000001</v>
      </c>
      <c r="BG326">
        <v>167340.8915</v>
      </c>
      <c r="BH326">
        <v>179808.78</v>
      </c>
      <c r="BI326">
        <v>187222.14799999999</v>
      </c>
      <c r="BJ326">
        <v>206328.26500000001</v>
      </c>
      <c r="BK326">
        <v>220390.6225</v>
      </c>
      <c r="BL326">
        <v>239280.00000000009</v>
      </c>
      <c r="BM326">
        <v>298738.61</v>
      </c>
      <c r="BN326">
        <v>365407.64500000002</v>
      </c>
      <c r="BO326">
        <v>399465.49400000001</v>
      </c>
      <c r="BP326">
        <v>515709.15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 x14ac:dyDescent="0.35">
      <c r="A327">
        <v>360631</v>
      </c>
      <c r="B327" t="s">
        <v>388</v>
      </c>
      <c r="C327" t="s">
        <v>389</v>
      </c>
      <c r="D327" s="1">
        <v>45839</v>
      </c>
      <c r="E327">
        <v>53850</v>
      </c>
      <c r="F327">
        <v>141</v>
      </c>
      <c r="G327" t="s">
        <v>75</v>
      </c>
      <c r="H327" t="s">
        <v>48</v>
      </c>
      <c r="I327" t="s">
        <v>49</v>
      </c>
      <c r="K327" t="s">
        <v>351</v>
      </c>
      <c r="L327">
        <v>1413300004393</v>
      </c>
      <c r="M327">
        <v>20250630</v>
      </c>
      <c r="N327" t="s">
        <v>262</v>
      </c>
      <c r="Q327" t="s">
        <v>58</v>
      </c>
      <c r="R327">
        <v>244056.98</v>
      </c>
      <c r="S327">
        <v>35370</v>
      </c>
      <c r="T327">
        <v>3743595</v>
      </c>
      <c r="U327">
        <v>5408440757</v>
      </c>
      <c r="V327" t="s">
        <v>326</v>
      </c>
      <c r="W327" t="s">
        <v>77</v>
      </c>
      <c r="X327" t="s">
        <v>241</v>
      </c>
      <c r="Y327" t="s">
        <v>51</v>
      </c>
      <c r="Z327">
        <v>862</v>
      </c>
      <c r="AH327">
        <v>0</v>
      </c>
      <c r="AI327">
        <v>202506</v>
      </c>
      <c r="AJ327" t="s">
        <v>168</v>
      </c>
      <c r="AK327">
        <v>1</v>
      </c>
      <c r="AL327">
        <v>1</v>
      </c>
      <c r="AM327">
        <v>3743595</v>
      </c>
      <c r="AN327">
        <v>1</v>
      </c>
      <c r="AO327">
        <v>1</v>
      </c>
      <c r="AP327">
        <v>999</v>
      </c>
      <c r="AQ327">
        <v>501</v>
      </c>
      <c r="AR327">
        <v>501999</v>
      </c>
      <c r="AT327">
        <v>1</v>
      </c>
      <c r="AU327" t="s">
        <v>61</v>
      </c>
      <c r="AV327">
        <v>85050</v>
      </c>
      <c r="AW327">
        <v>89030</v>
      </c>
      <c r="AX327">
        <v>91669.203999999998</v>
      </c>
      <c r="AY327">
        <v>93087.394</v>
      </c>
      <c r="AZ327">
        <v>94164.18</v>
      </c>
      <c r="BA327">
        <v>96798.05</v>
      </c>
      <c r="BB327">
        <v>100000</v>
      </c>
      <c r="BC327">
        <v>100000</v>
      </c>
      <c r="BD327">
        <v>101589.726</v>
      </c>
      <c r="BE327">
        <v>106295.712</v>
      </c>
      <c r="BF327">
        <v>110193.28</v>
      </c>
      <c r="BG327">
        <v>119645.424</v>
      </c>
      <c r="BH327">
        <v>127698</v>
      </c>
      <c r="BI327">
        <v>137713.79399999999</v>
      </c>
      <c r="BJ327">
        <v>139806</v>
      </c>
      <c r="BK327">
        <v>150000</v>
      </c>
      <c r="BL327">
        <v>161820.22</v>
      </c>
      <c r="BM327">
        <v>190199.99999999991</v>
      </c>
      <c r="BN327">
        <v>213800</v>
      </c>
      <c r="BO327">
        <v>259913.9999999998</v>
      </c>
      <c r="BP327">
        <v>440000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0</v>
      </c>
      <c r="CK327">
        <v>0</v>
      </c>
    </row>
    <row r="328" spans="1:89" x14ac:dyDescent="0.35">
      <c r="A328">
        <v>360630</v>
      </c>
      <c r="B328" t="s">
        <v>388</v>
      </c>
      <c r="C328" t="s">
        <v>389</v>
      </c>
      <c r="D328" s="1">
        <v>45839</v>
      </c>
      <c r="E328">
        <v>53850</v>
      </c>
      <c r="F328">
        <v>170</v>
      </c>
      <c r="G328" t="s">
        <v>82</v>
      </c>
      <c r="H328" t="s">
        <v>48</v>
      </c>
      <c r="I328" t="s">
        <v>49</v>
      </c>
      <c r="K328" t="s">
        <v>351</v>
      </c>
      <c r="L328">
        <v>1703306288421</v>
      </c>
      <c r="M328">
        <v>20250630</v>
      </c>
      <c r="N328" t="s">
        <v>262</v>
      </c>
      <c r="Q328" t="s">
        <v>58</v>
      </c>
      <c r="R328">
        <v>209016.74</v>
      </c>
      <c r="S328">
        <v>0</v>
      </c>
      <c r="T328">
        <v>4803929</v>
      </c>
      <c r="U328">
        <v>4829870726</v>
      </c>
      <c r="V328" t="s">
        <v>395</v>
      </c>
      <c r="W328" t="s">
        <v>56</v>
      </c>
      <c r="X328" t="s">
        <v>396</v>
      </c>
      <c r="Y328" t="s">
        <v>51</v>
      </c>
      <c r="Z328">
        <v>1696</v>
      </c>
      <c r="AH328">
        <v>0</v>
      </c>
      <c r="AI328">
        <v>202506</v>
      </c>
      <c r="AJ328" t="s">
        <v>168</v>
      </c>
      <c r="AK328">
        <v>1</v>
      </c>
      <c r="AL328">
        <v>1</v>
      </c>
      <c r="AO328">
        <v>1</v>
      </c>
      <c r="AP328">
        <v>999</v>
      </c>
      <c r="AQ328">
        <v>430</v>
      </c>
      <c r="AR328">
        <v>430999</v>
      </c>
      <c r="AT328">
        <v>1</v>
      </c>
      <c r="AU328" t="s">
        <v>57</v>
      </c>
      <c r="AV328">
        <v>101552.46</v>
      </c>
      <c r="AW328">
        <v>114647.6485</v>
      </c>
      <c r="AX328">
        <v>118167.008</v>
      </c>
      <c r="AY328">
        <v>123559.05899999999</v>
      </c>
      <c r="AZ328">
        <v>128796.368</v>
      </c>
      <c r="BA328">
        <v>130000</v>
      </c>
      <c r="BB328">
        <v>135819.11300000001</v>
      </c>
      <c r="BC328">
        <v>145008.255</v>
      </c>
      <c r="BD328">
        <v>146226.546</v>
      </c>
      <c r="BE328">
        <v>148171.67300000001</v>
      </c>
      <c r="BF328">
        <v>156533.16500000001</v>
      </c>
      <c r="BG328">
        <v>167340.8915</v>
      </c>
      <c r="BH328">
        <v>179808.78</v>
      </c>
      <c r="BI328">
        <v>187222.14799999999</v>
      </c>
      <c r="BJ328">
        <v>206328.26500000001</v>
      </c>
      <c r="BK328">
        <v>220390.6225</v>
      </c>
      <c r="BL328">
        <v>239280.00000000009</v>
      </c>
      <c r="BM328">
        <v>298738.61</v>
      </c>
      <c r="BN328">
        <v>365407.64500000002</v>
      </c>
      <c r="BO328">
        <v>399465.49400000001</v>
      </c>
      <c r="BP328">
        <v>515709.15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 x14ac:dyDescent="0.35">
      <c r="A329">
        <v>360628</v>
      </c>
      <c r="B329" t="s">
        <v>388</v>
      </c>
      <c r="C329" t="s">
        <v>389</v>
      </c>
      <c r="D329" s="1">
        <v>45839</v>
      </c>
      <c r="E329">
        <v>53850</v>
      </c>
      <c r="F329">
        <v>153</v>
      </c>
      <c r="G329" t="s">
        <v>316</v>
      </c>
      <c r="H329" t="s">
        <v>48</v>
      </c>
      <c r="I329" t="s">
        <v>49</v>
      </c>
      <c r="K329">
        <v>202506308141995</v>
      </c>
      <c r="L329">
        <v>1533300662905</v>
      </c>
      <c r="M329">
        <v>20250630</v>
      </c>
      <c r="N329" t="s">
        <v>392</v>
      </c>
      <c r="Q329" t="s">
        <v>58</v>
      </c>
      <c r="R329">
        <v>114534.2</v>
      </c>
      <c r="S329">
        <v>0</v>
      </c>
      <c r="T329">
        <v>4165339</v>
      </c>
      <c r="U329">
        <v>5612950633</v>
      </c>
      <c r="V329" t="s">
        <v>502</v>
      </c>
      <c r="W329" t="s">
        <v>56</v>
      </c>
      <c r="X329" t="s">
        <v>503</v>
      </c>
      <c r="Y329" t="s">
        <v>51</v>
      </c>
      <c r="Z329">
        <v>982</v>
      </c>
      <c r="AH329">
        <v>0</v>
      </c>
      <c r="AI329">
        <v>202506</v>
      </c>
      <c r="AJ329" t="s">
        <v>63</v>
      </c>
      <c r="AK329">
        <v>0</v>
      </c>
      <c r="AL329">
        <v>1</v>
      </c>
      <c r="AO329">
        <v>0</v>
      </c>
      <c r="AP329">
        <v>236</v>
      </c>
      <c r="AQ329">
        <v>430</v>
      </c>
      <c r="AR329">
        <v>430236</v>
      </c>
      <c r="AS329" t="s">
        <v>61</v>
      </c>
      <c r="AU329" t="s">
        <v>61</v>
      </c>
      <c r="AV329">
        <v>85050</v>
      </c>
      <c r="AW329">
        <v>89030</v>
      </c>
      <c r="AX329">
        <v>91669.203999999998</v>
      </c>
      <c r="AY329">
        <v>93087.394</v>
      </c>
      <c r="AZ329">
        <v>94164.18</v>
      </c>
      <c r="BA329">
        <v>96798.05</v>
      </c>
      <c r="BB329">
        <v>100000</v>
      </c>
      <c r="BC329">
        <v>100000</v>
      </c>
      <c r="BD329">
        <v>101589.726</v>
      </c>
      <c r="BE329">
        <v>106295.712</v>
      </c>
      <c r="BF329">
        <v>110193.28</v>
      </c>
      <c r="BG329">
        <v>119645.424</v>
      </c>
      <c r="BH329">
        <v>127698</v>
      </c>
      <c r="BI329">
        <v>137713.79399999999</v>
      </c>
      <c r="BJ329">
        <v>139806</v>
      </c>
      <c r="BK329">
        <v>150000</v>
      </c>
      <c r="BL329">
        <v>161820.22</v>
      </c>
      <c r="BM329">
        <v>190199.99999999991</v>
      </c>
      <c r="BN329">
        <v>213800</v>
      </c>
      <c r="BO329">
        <v>259913.9999999998</v>
      </c>
      <c r="BP329">
        <v>440000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 x14ac:dyDescent="0.35">
      <c r="A330">
        <v>360616</v>
      </c>
      <c r="B330" t="s">
        <v>388</v>
      </c>
      <c r="C330" t="s">
        <v>389</v>
      </c>
      <c r="D330" s="1">
        <v>45839</v>
      </c>
      <c r="E330">
        <v>53850</v>
      </c>
      <c r="F330">
        <v>128</v>
      </c>
      <c r="G330" t="s">
        <v>274</v>
      </c>
      <c r="H330" t="s">
        <v>48</v>
      </c>
      <c r="I330" t="s">
        <v>49</v>
      </c>
      <c r="K330" t="s">
        <v>351</v>
      </c>
      <c r="L330">
        <v>1283300001665</v>
      </c>
      <c r="M330">
        <v>20250630</v>
      </c>
      <c r="N330" t="s">
        <v>262</v>
      </c>
      <c r="Q330" t="s">
        <v>58</v>
      </c>
      <c r="R330">
        <v>272187.84999999998</v>
      </c>
      <c r="S330">
        <v>0</v>
      </c>
      <c r="T330">
        <v>4254896</v>
      </c>
      <c r="U330">
        <v>6234730726</v>
      </c>
      <c r="V330" t="s">
        <v>410</v>
      </c>
      <c r="W330" t="s">
        <v>56</v>
      </c>
      <c r="X330" t="s">
        <v>411</v>
      </c>
      <c r="Y330" t="s">
        <v>51</v>
      </c>
      <c r="Z330">
        <v>1919</v>
      </c>
      <c r="AH330">
        <v>0</v>
      </c>
      <c r="AI330">
        <v>202506</v>
      </c>
      <c r="AJ330" t="s">
        <v>168</v>
      </c>
      <c r="AK330">
        <v>1</v>
      </c>
      <c r="AL330">
        <v>1</v>
      </c>
      <c r="AO330">
        <v>1</v>
      </c>
      <c r="AP330">
        <v>999</v>
      </c>
      <c r="AQ330">
        <v>430</v>
      </c>
      <c r="AR330">
        <v>430999</v>
      </c>
      <c r="AT330">
        <v>1</v>
      </c>
      <c r="AU330" t="s">
        <v>57</v>
      </c>
      <c r="AV330">
        <v>101552.46</v>
      </c>
      <c r="AW330">
        <v>114647.6485</v>
      </c>
      <c r="AX330">
        <v>118167.008</v>
      </c>
      <c r="AY330">
        <v>123559.05899999999</v>
      </c>
      <c r="AZ330">
        <v>128796.368</v>
      </c>
      <c r="BA330">
        <v>130000</v>
      </c>
      <c r="BB330">
        <v>135819.11300000001</v>
      </c>
      <c r="BC330">
        <v>145008.255</v>
      </c>
      <c r="BD330">
        <v>146226.546</v>
      </c>
      <c r="BE330">
        <v>148171.67300000001</v>
      </c>
      <c r="BF330">
        <v>156533.16500000001</v>
      </c>
      <c r="BG330">
        <v>167340.8915</v>
      </c>
      <c r="BH330">
        <v>179808.78</v>
      </c>
      <c r="BI330">
        <v>187222.14799999999</v>
      </c>
      <c r="BJ330">
        <v>206328.26500000001</v>
      </c>
      <c r="BK330">
        <v>220390.6225</v>
      </c>
      <c r="BL330">
        <v>239280.00000000009</v>
      </c>
      <c r="BM330">
        <v>298738.61</v>
      </c>
      <c r="BN330">
        <v>365407.64500000002</v>
      </c>
      <c r="BO330">
        <v>399465.49400000001</v>
      </c>
      <c r="BP330">
        <v>515709.15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0</v>
      </c>
      <c r="CI330">
        <v>0</v>
      </c>
      <c r="CJ330">
        <v>0</v>
      </c>
      <c r="CK330">
        <v>0</v>
      </c>
    </row>
    <row r="331" spans="1:89" x14ac:dyDescent="0.35">
      <c r="A331">
        <v>360615</v>
      </c>
      <c r="B331" t="s">
        <v>388</v>
      </c>
      <c r="C331" t="s">
        <v>389</v>
      </c>
      <c r="D331" s="1">
        <v>45839</v>
      </c>
      <c r="E331">
        <v>53850</v>
      </c>
      <c r="F331">
        <v>104</v>
      </c>
      <c r="G331" t="s">
        <v>53</v>
      </c>
      <c r="H331" t="s">
        <v>48</v>
      </c>
      <c r="I331" t="s">
        <v>49</v>
      </c>
      <c r="K331" t="s">
        <v>351</v>
      </c>
      <c r="L331">
        <v>1043304173550</v>
      </c>
      <c r="M331">
        <v>20250630</v>
      </c>
      <c r="N331" t="s">
        <v>262</v>
      </c>
      <c r="Q331" t="s">
        <v>58</v>
      </c>
      <c r="R331">
        <v>192719.84</v>
      </c>
      <c r="S331">
        <v>0</v>
      </c>
      <c r="T331">
        <v>417355</v>
      </c>
      <c r="U331">
        <v>374690725</v>
      </c>
      <c r="V331" t="s">
        <v>397</v>
      </c>
      <c r="W331" t="s">
        <v>56</v>
      </c>
      <c r="X331" t="s">
        <v>78</v>
      </c>
      <c r="Y331" t="s">
        <v>51</v>
      </c>
      <c r="Z331">
        <v>1919</v>
      </c>
      <c r="AH331">
        <v>0</v>
      </c>
      <c r="AI331">
        <v>202506</v>
      </c>
      <c r="AJ331" t="s">
        <v>168</v>
      </c>
      <c r="AK331">
        <v>1</v>
      </c>
      <c r="AL331">
        <v>1</v>
      </c>
      <c r="AM331">
        <v>417355</v>
      </c>
      <c r="AN331">
        <v>1</v>
      </c>
      <c r="AO331">
        <v>1</v>
      </c>
      <c r="AP331">
        <v>464</v>
      </c>
      <c r="AQ331">
        <v>430</v>
      </c>
      <c r="AR331">
        <v>430464</v>
      </c>
      <c r="AS331" t="s">
        <v>79</v>
      </c>
      <c r="AU331" t="s">
        <v>79</v>
      </c>
      <c r="AV331">
        <v>76382.789999999994</v>
      </c>
      <c r="AW331">
        <v>79891.56</v>
      </c>
      <c r="AX331">
        <v>79937.08</v>
      </c>
      <c r="AY331">
        <v>88865.89</v>
      </c>
      <c r="AZ331">
        <v>94634.78</v>
      </c>
      <c r="BA331">
        <v>97229.53</v>
      </c>
      <c r="BB331">
        <v>98360.01</v>
      </c>
      <c r="BC331">
        <v>100000</v>
      </c>
      <c r="BD331">
        <v>104738.68</v>
      </c>
      <c r="BE331">
        <v>108176.82</v>
      </c>
      <c r="BF331">
        <v>110891.36</v>
      </c>
      <c r="BG331">
        <v>115427.47</v>
      </c>
      <c r="BH331">
        <v>118009.65</v>
      </c>
      <c r="BI331">
        <v>136718.03</v>
      </c>
      <c r="BJ331">
        <v>148758.49</v>
      </c>
      <c r="BK331">
        <v>182944.14</v>
      </c>
      <c r="BL331">
        <v>217448.27</v>
      </c>
      <c r="BM331">
        <v>222704.65</v>
      </c>
      <c r="BN331">
        <v>225130.1</v>
      </c>
      <c r="BO331">
        <v>259946.2</v>
      </c>
      <c r="BP331">
        <v>270019.89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 x14ac:dyDescent="0.35">
      <c r="A332">
        <v>360613</v>
      </c>
      <c r="B332" t="s">
        <v>388</v>
      </c>
      <c r="C332" t="s">
        <v>389</v>
      </c>
      <c r="D332" s="1">
        <v>45839</v>
      </c>
      <c r="E332">
        <v>53850</v>
      </c>
      <c r="F332">
        <v>108</v>
      </c>
      <c r="G332" t="s">
        <v>89</v>
      </c>
      <c r="H332" t="s">
        <v>48</v>
      </c>
      <c r="I332" t="s">
        <v>49</v>
      </c>
      <c r="K332" t="s">
        <v>351</v>
      </c>
      <c r="L332">
        <v>1083300011180</v>
      </c>
      <c r="M332">
        <v>20250630</v>
      </c>
      <c r="N332" t="s">
        <v>262</v>
      </c>
      <c r="Q332" t="s">
        <v>58</v>
      </c>
      <c r="R332">
        <v>152195.67000000001</v>
      </c>
      <c r="S332">
        <v>0</v>
      </c>
      <c r="T332">
        <v>1118</v>
      </c>
      <c r="U332">
        <v>3246700722</v>
      </c>
      <c r="V332" t="s">
        <v>416</v>
      </c>
      <c r="W332" t="s">
        <v>56</v>
      </c>
      <c r="X332" t="s">
        <v>411</v>
      </c>
      <c r="Y332" t="s">
        <v>51</v>
      </c>
      <c r="Z332">
        <v>1058</v>
      </c>
      <c r="AH332">
        <v>0</v>
      </c>
      <c r="AI332">
        <v>202506</v>
      </c>
      <c r="AJ332" t="s">
        <v>168</v>
      </c>
      <c r="AK332">
        <v>1</v>
      </c>
      <c r="AL332">
        <v>1</v>
      </c>
      <c r="AO332">
        <v>1</v>
      </c>
      <c r="AP332">
        <v>999</v>
      </c>
      <c r="AQ332">
        <v>430</v>
      </c>
      <c r="AR332">
        <v>430999</v>
      </c>
      <c r="AT332">
        <v>1</v>
      </c>
      <c r="AU332" t="s">
        <v>57</v>
      </c>
      <c r="AV332">
        <v>101552.46</v>
      </c>
      <c r="AW332">
        <v>114647.6485</v>
      </c>
      <c r="AX332">
        <v>118167.008</v>
      </c>
      <c r="AY332">
        <v>123559.05899999999</v>
      </c>
      <c r="AZ332">
        <v>128796.368</v>
      </c>
      <c r="BA332">
        <v>130000</v>
      </c>
      <c r="BB332">
        <v>135819.11300000001</v>
      </c>
      <c r="BC332">
        <v>145008.255</v>
      </c>
      <c r="BD332">
        <v>146226.546</v>
      </c>
      <c r="BE332">
        <v>148171.67300000001</v>
      </c>
      <c r="BF332">
        <v>156533.16500000001</v>
      </c>
      <c r="BG332">
        <v>167340.8915</v>
      </c>
      <c r="BH332">
        <v>179808.78</v>
      </c>
      <c r="BI332">
        <v>187222.14799999999</v>
      </c>
      <c r="BJ332">
        <v>206328.26500000001</v>
      </c>
      <c r="BK332">
        <v>220390.6225</v>
      </c>
      <c r="BL332">
        <v>239280.00000000009</v>
      </c>
      <c r="BM332">
        <v>298738.61</v>
      </c>
      <c r="BN332">
        <v>365407.64500000002</v>
      </c>
      <c r="BO332">
        <v>399465.49400000001</v>
      </c>
      <c r="BP332">
        <v>515709.15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 x14ac:dyDescent="0.35">
      <c r="A333">
        <v>360610</v>
      </c>
      <c r="B333" t="s">
        <v>388</v>
      </c>
      <c r="C333" t="s">
        <v>389</v>
      </c>
      <c r="D333" s="1">
        <v>45839</v>
      </c>
      <c r="E333">
        <v>53850</v>
      </c>
      <c r="F333">
        <v>102</v>
      </c>
      <c r="G333" t="s">
        <v>55</v>
      </c>
      <c r="H333" t="s">
        <v>48</v>
      </c>
      <c r="I333" t="s">
        <v>49</v>
      </c>
      <c r="K333" t="s">
        <v>351</v>
      </c>
      <c r="L333">
        <v>1023300660520</v>
      </c>
      <c r="M333">
        <v>20250630</v>
      </c>
      <c r="N333" t="s">
        <v>262</v>
      </c>
      <c r="Q333" t="s">
        <v>58</v>
      </c>
      <c r="R333">
        <v>110530</v>
      </c>
      <c r="S333">
        <v>40285</v>
      </c>
      <c r="T333">
        <v>66052</v>
      </c>
      <c r="U333">
        <v>398110726</v>
      </c>
      <c r="V333" t="s">
        <v>287</v>
      </c>
      <c r="W333" t="s">
        <v>56</v>
      </c>
      <c r="X333" t="s">
        <v>235</v>
      </c>
      <c r="Y333" t="s">
        <v>51</v>
      </c>
      <c r="Z333">
        <v>1203</v>
      </c>
      <c r="AH333">
        <v>0</v>
      </c>
      <c r="AI333">
        <v>202506</v>
      </c>
      <c r="AJ333" t="s">
        <v>169</v>
      </c>
      <c r="AK333">
        <v>1</v>
      </c>
      <c r="AL333">
        <v>1</v>
      </c>
      <c r="AM333">
        <v>66052</v>
      </c>
      <c r="AN333">
        <v>1</v>
      </c>
      <c r="AO333">
        <v>1</v>
      </c>
      <c r="AP333">
        <v>999</v>
      </c>
      <c r="AQ333">
        <v>430</v>
      </c>
      <c r="AR333">
        <v>430999</v>
      </c>
      <c r="AT333">
        <v>1</v>
      </c>
      <c r="AU333" t="s">
        <v>57</v>
      </c>
      <c r="AV333">
        <v>101552.46</v>
      </c>
      <c r="AW333">
        <v>114647.6485</v>
      </c>
      <c r="AX333">
        <v>118167.008</v>
      </c>
      <c r="AY333">
        <v>123559.05899999999</v>
      </c>
      <c r="AZ333">
        <v>128796.368</v>
      </c>
      <c r="BA333">
        <v>130000</v>
      </c>
      <c r="BB333">
        <v>135819.11300000001</v>
      </c>
      <c r="BC333">
        <v>145008.255</v>
      </c>
      <c r="BD333">
        <v>146226.546</v>
      </c>
      <c r="BE333">
        <v>148171.67300000001</v>
      </c>
      <c r="BF333">
        <v>156533.16500000001</v>
      </c>
      <c r="BG333">
        <v>167340.8915</v>
      </c>
      <c r="BH333">
        <v>179808.78</v>
      </c>
      <c r="BI333">
        <v>187222.14799999999</v>
      </c>
      <c r="BJ333">
        <v>206328.26500000001</v>
      </c>
      <c r="BK333">
        <v>220390.6225</v>
      </c>
      <c r="BL333">
        <v>239280.00000000009</v>
      </c>
      <c r="BM333">
        <v>298738.61</v>
      </c>
      <c r="BN333">
        <v>365407.64500000002</v>
      </c>
      <c r="BO333">
        <v>399465.49400000001</v>
      </c>
      <c r="BP333">
        <v>515709.15</v>
      </c>
      <c r="BQ333">
        <v>1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 x14ac:dyDescent="0.35">
      <c r="A334">
        <v>360607</v>
      </c>
      <c r="B334" t="s">
        <v>388</v>
      </c>
      <c r="C334" t="s">
        <v>389</v>
      </c>
      <c r="D334" s="1">
        <v>45839</v>
      </c>
      <c r="E334">
        <v>53850</v>
      </c>
      <c r="F334">
        <v>226</v>
      </c>
      <c r="G334" t="s">
        <v>174</v>
      </c>
      <c r="H334" t="s">
        <v>48</v>
      </c>
      <c r="I334" t="s">
        <v>49</v>
      </c>
      <c r="K334">
        <v>202506308142356</v>
      </c>
      <c r="L334">
        <v>2263300012166</v>
      </c>
      <c r="M334">
        <v>20250630</v>
      </c>
      <c r="N334" t="s">
        <v>392</v>
      </c>
      <c r="Q334" t="s">
        <v>58</v>
      </c>
      <c r="R334">
        <v>300000</v>
      </c>
      <c r="S334">
        <v>0</v>
      </c>
      <c r="T334">
        <v>3746195</v>
      </c>
      <c r="U334">
        <v>8613210726</v>
      </c>
      <c r="V334" t="s">
        <v>694</v>
      </c>
      <c r="W334" t="s">
        <v>56</v>
      </c>
      <c r="X334" t="s">
        <v>235</v>
      </c>
      <c r="Y334" t="s">
        <v>51</v>
      </c>
      <c r="Z334">
        <v>1530</v>
      </c>
      <c r="AH334">
        <v>0</v>
      </c>
      <c r="AI334">
        <v>202506</v>
      </c>
      <c r="AJ334" t="s">
        <v>168</v>
      </c>
      <c r="AK334">
        <v>1</v>
      </c>
      <c r="AL334">
        <v>1</v>
      </c>
      <c r="AO334">
        <v>0</v>
      </c>
      <c r="AP334">
        <v>999</v>
      </c>
      <c r="AQ334">
        <v>430</v>
      </c>
      <c r="AR334">
        <v>430999</v>
      </c>
      <c r="AT334">
        <v>1</v>
      </c>
      <c r="AU334" t="s">
        <v>57</v>
      </c>
      <c r="AV334">
        <v>101552.46</v>
      </c>
      <c r="AW334">
        <v>114647.6485</v>
      </c>
      <c r="AX334">
        <v>118167.008</v>
      </c>
      <c r="AY334">
        <v>123559.05899999999</v>
      </c>
      <c r="AZ334">
        <v>128796.368</v>
      </c>
      <c r="BA334">
        <v>130000</v>
      </c>
      <c r="BB334">
        <v>135819.11300000001</v>
      </c>
      <c r="BC334">
        <v>145008.255</v>
      </c>
      <c r="BD334">
        <v>146226.546</v>
      </c>
      <c r="BE334">
        <v>148171.67300000001</v>
      </c>
      <c r="BF334">
        <v>156533.16500000001</v>
      </c>
      <c r="BG334">
        <v>167340.8915</v>
      </c>
      <c r="BH334">
        <v>179808.78</v>
      </c>
      <c r="BI334">
        <v>187222.14799999999</v>
      </c>
      <c r="BJ334">
        <v>206328.26500000001</v>
      </c>
      <c r="BK334">
        <v>220390.6225</v>
      </c>
      <c r="BL334">
        <v>239280.00000000009</v>
      </c>
      <c r="BM334">
        <v>298738.61</v>
      </c>
      <c r="BN334">
        <v>365407.64500000002</v>
      </c>
      <c r="BO334">
        <v>399465.49400000001</v>
      </c>
      <c r="BP334">
        <v>515709.15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0</v>
      </c>
      <c r="CJ334">
        <v>0</v>
      </c>
      <c r="CK334">
        <v>0</v>
      </c>
    </row>
    <row r="335" spans="1:89" x14ac:dyDescent="0.35">
      <c r="A335">
        <v>360604</v>
      </c>
      <c r="B335" t="s">
        <v>388</v>
      </c>
      <c r="C335" t="s">
        <v>389</v>
      </c>
      <c r="D335" s="1">
        <v>45839</v>
      </c>
      <c r="E335">
        <v>53850</v>
      </c>
      <c r="F335">
        <v>102</v>
      </c>
      <c r="G335" t="s">
        <v>55</v>
      </c>
      <c r="H335" t="s">
        <v>48</v>
      </c>
      <c r="I335" t="s">
        <v>49</v>
      </c>
      <c r="K335">
        <v>202506308141600</v>
      </c>
      <c r="L335">
        <v>1023306272895</v>
      </c>
      <c r="M335">
        <v>20250630</v>
      </c>
      <c r="N335" t="s">
        <v>400</v>
      </c>
      <c r="Q335" t="s">
        <v>58</v>
      </c>
      <c r="R335">
        <v>433000</v>
      </c>
      <c r="S335">
        <v>0</v>
      </c>
      <c r="T335">
        <v>135922</v>
      </c>
      <c r="U335" t="s">
        <v>695</v>
      </c>
      <c r="V335" t="s">
        <v>696</v>
      </c>
      <c r="W335" t="s">
        <v>50</v>
      </c>
      <c r="Y335" t="s">
        <v>51</v>
      </c>
      <c r="Z335">
        <v>1335</v>
      </c>
      <c r="AH335">
        <v>0</v>
      </c>
      <c r="AI335">
        <v>202506</v>
      </c>
      <c r="AJ335" t="s">
        <v>168</v>
      </c>
      <c r="AK335">
        <v>1</v>
      </c>
      <c r="AL335">
        <v>1</v>
      </c>
      <c r="AO335">
        <v>0</v>
      </c>
      <c r="AP335">
        <v>999</v>
      </c>
      <c r="AQ335">
        <v>600</v>
      </c>
      <c r="AR335">
        <v>600999</v>
      </c>
      <c r="AS335" t="s">
        <v>52</v>
      </c>
      <c r="AU335" t="s">
        <v>52</v>
      </c>
      <c r="AV335">
        <v>107500</v>
      </c>
      <c r="AW335">
        <v>109625</v>
      </c>
      <c r="AX335">
        <v>110000</v>
      </c>
      <c r="AY335">
        <v>112750</v>
      </c>
      <c r="AZ335">
        <v>120738</v>
      </c>
      <c r="BA335">
        <v>129508.75</v>
      </c>
      <c r="BB335">
        <v>130380</v>
      </c>
      <c r="BC335">
        <v>133610</v>
      </c>
      <c r="BD335">
        <v>133800</v>
      </c>
      <c r="BE335">
        <v>141080</v>
      </c>
      <c r="BF335">
        <v>147500</v>
      </c>
      <c r="BG335">
        <v>155382.03049999999</v>
      </c>
      <c r="BH335">
        <v>165585.11799999999</v>
      </c>
      <c r="BI335">
        <v>166416.67000000001</v>
      </c>
      <c r="BJ335">
        <v>166416.67000000001</v>
      </c>
      <c r="BK335">
        <v>173582.95749999999</v>
      </c>
      <c r="BL335">
        <v>190388.68799999999</v>
      </c>
      <c r="BM335">
        <v>212150</v>
      </c>
      <c r="BN335">
        <v>283513.16900000011</v>
      </c>
      <c r="BO335">
        <v>415377.23</v>
      </c>
      <c r="BP335">
        <v>415377.23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</row>
    <row r="336" spans="1:89" x14ac:dyDescent="0.35">
      <c r="A336">
        <v>360599</v>
      </c>
      <c r="B336" t="s">
        <v>388</v>
      </c>
      <c r="C336" t="s">
        <v>389</v>
      </c>
      <c r="D336" s="1">
        <v>45839</v>
      </c>
      <c r="E336">
        <v>53850</v>
      </c>
      <c r="F336">
        <v>287</v>
      </c>
      <c r="G336" t="s">
        <v>301</v>
      </c>
      <c r="H336" t="s">
        <v>48</v>
      </c>
      <c r="I336" t="s">
        <v>49</v>
      </c>
      <c r="K336" t="s">
        <v>351</v>
      </c>
      <c r="L336">
        <v>2873300001853</v>
      </c>
      <c r="M336">
        <v>20250630</v>
      </c>
      <c r="N336" t="s">
        <v>392</v>
      </c>
      <c r="Q336" t="s">
        <v>58</v>
      </c>
      <c r="R336">
        <v>100855.32</v>
      </c>
      <c r="S336">
        <v>0</v>
      </c>
      <c r="T336">
        <v>3722213</v>
      </c>
      <c r="U336">
        <v>2021570698</v>
      </c>
      <c r="V336" t="s">
        <v>302</v>
      </c>
      <c r="W336" t="s">
        <v>56</v>
      </c>
      <c r="X336" t="s">
        <v>72</v>
      </c>
      <c r="Y336" t="s">
        <v>51</v>
      </c>
      <c r="Z336">
        <v>1877</v>
      </c>
      <c r="AH336">
        <v>0</v>
      </c>
      <c r="AI336">
        <v>202506</v>
      </c>
      <c r="AJ336" t="s">
        <v>168</v>
      </c>
      <c r="AK336">
        <v>1</v>
      </c>
      <c r="AL336">
        <v>1</v>
      </c>
      <c r="AM336">
        <v>3722213</v>
      </c>
      <c r="AN336">
        <v>1</v>
      </c>
      <c r="AO336">
        <v>0</v>
      </c>
      <c r="AP336">
        <v>463</v>
      </c>
      <c r="AQ336">
        <v>430</v>
      </c>
      <c r="AR336">
        <v>430463</v>
      </c>
      <c r="AS336" t="s">
        <v>61</v>
      </c>
      <c r="AU336" t="s">
        <v>61</v>
      </c>
      <c r="AV336">
        <v>85050</v>
      </c>
      <c r="AW336">
        <v>89030</v>
      </c>
      <c r="AX336">
        <v>91669.203999999998</v>
      </c>
      <c r="AY336">
        <v>93087.394</v>
      </c>
      <c r="AZ336">
        <v>94164.18</v>
      </c>
      <c r="BA336">
        <v>96798.05</v>
      </c>
      <c r="BB336">
        <v>100000</v>
      </c>
      <c r="BC336">
        <v>100000</v>
      </c>
      <c r="BD336">
        <v>101589.726</v>
      </c>
      <c r="BE336">
        <v>106295.712</v>
      </c>
      <c r="BF336">
        <v>110193.28</v>
      </c>
      <c r="BG336">
        <v>119645.424</v>
      </c>
      <c r="BH336">
        <v>127698</v>
      </c>
      <c r="BI336">
        <v>137713.79399999999</v>
      </c>
      <c r="BJ336">
        <v>139806</v>
      </c>
      <c r="BK336">
        <v>150000</v>
      </c>
      <c r="BL336">
        <v>161820.22</v>
      </c>
      <c r="BM336">
        <v>190199.99999999991</v>
      </c>
      <c r="BN336">
        <v>213800</v>
      </c>
      <c r="BO336">
        <v>259913.9999999998</v>
      </c>
      <c r="BP336">
        <v>440000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 x14ac:dyDescent="0.35">
      <c r="A337">
        <v>360598</v>
      </c>
      <c r="B337" t="s">
        <v>388</v>
      </c>
      <c r="C337" t="s">
        <v>389</v>
      </c>
      <c r="D337" s="1">
        <v>45839</v>
      </c>
      <c r="E337">
        <v>53850</v>
      </c>
      <c r="F337">
        <v>175</v>
      </c>
      <c r="G337" t="s">
        <v>65</v>
      </c>
      <c r="H337" t="s">
        <v>48</v>
      </c>
      <c r="I337" t="s">
        <v>49</v>
      </c>
      <c r="K337" t="s">
        <v>351</v>
      </c>
      <c r="L337">
        <v>1753302203127</v>
      </c>
      <c r="M337">
        <v>20250630</v>
      </c>
      <c r="N337" t="s">
        <v>262</v>
      </c>
      <c r="Q337" t="s">
        <v>58</v>
      </c>
      <c r="R337">
        <v>191299.57</v>
      </c>
      <c r="S337">
        <v>28600</v>
      </c>
      <c r="T337">
        <v>4160138</v>
      </c>
      <c r="U337">
        <v>484200779</v>
      </c>
      <c r="V337" t="s">
        <v>279</v>
      </c>
      <c r="W337" t="s">
        <v>56</v>
      </c>
      <c r="X337" t="s">
        <v>280</v>
      </c>
      <c r="Y337" t="s">
        <v>51</v>
      </c>
      <c r="Z337">
        <v>739</v>
      </c>
      <c r="AH337">
        <v>0</v>
      </c>
      <c r="AI337">
        <v>202506</v>
      </c>
      <c r="AJ337" t="s">
        <v>168</v>
      </c>
      <c r="AK337">
        <v>1</v>
      </c>
      <c r="AL337">
        <v>1</v>
      </c>
      <c r="AM337">
        <v>4160138</v>
      </c>
      <c r="AN337">
        <v>1</v>
      </c>
      <c r="AO337">
        <v>1</v>
      </c>
      <c r="AP337">
        <v>999</v>
      </c>
      <c r="AQ337">
        <v>430</v>
      </c>
      <c r="AR337">
        <v>430999</v>
      </c>
      <c r="AT337">
        <v>1</v>
      </c>
      <c r="AU337" t="s">
        <v>57</v>
      </c>
      <c r="AV337">
        <v>101552.46</v>
      </c>
      <c r="AW337">
        <v>114647.6485</v>
      </c>
      <c r="AX337">
        <v>118167.008</v>
      </c>
      <c r="AY337">
        <v>123559.05899999999</v>
      </c>
      <c r="AZ337">
        <v>128796.368</v>
      </c>
      <c r="BA337">
        <v>130000</v>
      </c>
      <c r="BB337">
        <v>135819.11300000001</v>
      </c>
      <c r="BC337">
        <v>145008.255</v>
      </c>
      <c r="BD337">
        <v>146226.546</v>
      </c>
      <c r="BE337">
        <v>148171.67300000001</v>
      </c>
      <c r="BF337">
        <v>156533.16500000001</v>
      </c>
      <c r="BG337">
        <v>167340.8915</v>
      </c>
      <c r="BH337">
        <v>179808.78</v>
      </c>
      <c r="BI337">
        <v>187222.14799999999</v>
      </c>
      <c r="BJ337">
        <v>206328.26500000001</v>
      </c>
      <c r="BK337">
        <v>220390.6225</v>
      </c>
      <c r="BL337">
        <v>239280.00000000009</v>
      </c>
      <c r="BM337">
        <v>298738.61</v>
      </c>
      <c r="BN337">
        <v>365407.64500000002</v>
      </c>
      <c r="BO337">
        <v>399465.49400000001</v>
      </c>
      <c r="BP337">
        <v>515709.15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 x14ac:dyDescent="0.35">
      <c r="A338">
        <v>360579</v>
      </c>
      <c r="B338" t="s">
        <v>388</v>
      </c>
      <c r="C338" t="s">
        <v>389</v>
      </c>
      <c r="D338" s="1">
        <v>45836</v>
      </c>
      <c r="E338">
        <v>53850</v>
      </c>
      <c r="F338">
        <v>103</v>
      </c>
      <c r="G338" t="s">
        <v>59</v>
      </c>
      <c r="H338" t="s">
        <v>48</v>
      </c>
      <c r="I338" t="s">
        <v>49</v>
      </c>
      <c r="K338">
        <v>202506278131152</v>
      </c>
      <c r="L338">
        <v>1033306979706</v>
      </c>
      <c r="M338">
        <v>20250627</v>
      </c>
      <c r="N338" t="s">
        <v>392</v>
      </c>
      <c r="Q338" t="s">
        <v>58</v>
      </c>
      <c r="R338">
        <v>139960</v>
      </c>
      <c r="S338">
        <v>0</v>
      </c>
      <c r="T338">
        <v>4963589</v>
      </c>
      <c r="U338">
        <v>8530200727</v>
      </c>
      <c r="V338" t="s">
        <v>569</v>
      </c>
      <c r="W338" t="s">
        <v>56</v>
      </c>
      <c r="X338" t="s">
        <v>62</v>
      </c>
      <c r="Y338" t="s">
        <v>51</v>
      </c>
      <c r="Z338">
        <v>1175</v>
      </c>
      <c r="AH338">
        <v>0</v>
      </c>
      <c r="AI338">
        <v>202506</v>
      </c>
      <c r="AJ338" t="s">
        <v>168</v>
      </c>
      <c r="AK338">
        <v>1</v>
      </c>
      <c r="AL338">
        <v>1</v>
      </c>
      <c r="AO338">
        <v>0</v>
      </c>
      <c r="AP338">
        <v>412</v>
      </c>
      <c r="AQ338">
        <v>430</v>
      </c>
      <c r="AR338">
        <v>430412</v>
      </c>
      <c r="AS338" t="s">
        <v>61</v>
      </c>
      <c r="AU338" t="s">
        <v>61</v>
      </c>
      <c r="AV338">
        <v>85050</v>
      </c>
      <c r="AW338">
        <v>89030</v>
      </c>
      <c r="AX338">
        <v>91669.203999999998</v>
      </c>
      <c r="AY338">
        <v>93087.394</v>
      </c>
      <c r="AZ338">
        <v>94164.18</v>
      </c>
      <c r="BA338">
        <v>96798.05</v>
      </c>
      <c r="BB338">
        <v>100000</v>
      </c>
      <c r="BC338">
        <v>100000</v>
      </c>
      <c r="BD338">
        <v>101589.726</v>
      </c>
      <c r="BE338">
        <v>106295.712</v>
      </c>
      <c r="BF338">
        <v>110193.28</v>
      </c>
      <c r="BG338">
        <v>119645.424</v>
      </c>
      <c r="BH338">
        <v>127698</v>
      </c>
      <c r="BI338">
        <v>137713.79399999999</v>
      </c>
      <c r="BJ338">
        <v>139806</v>
      </c>
      <c r="BK338">
        <v>150000</v>
      </c>
      <c r="BL338">
        <v>161820.22</v>
      </c>
      <c r="BM338">
        <v>190199.99999999991</v>
      </c>
      <c r="BN338">
        <v>213800</v>
      </c>
      <c r="BO338">
        <v>259913.9999999998</v>
      </c>
      <c r="BP338">
        <v>440000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 x14ac:dyDescent="0.35">
      <c r="A339">
        <v>360578</v>
      </c>
      <c r="B339" t="s">
        <v>388</v>
      </c>
      <c r="C339" t="s">
        <v>389</v>
      </c>
      <c r="D339" s="1">
        <v>45836</v>
      </c>
      <c r="E339">
        <v>53850</v>
      </c>
      <c r="F339">
        <v>198</v>
      </c>
      <c r="G339" t="s">
        <v>354</v>
      </c>
      <c r="H339" t="s">
        <v>48</v>
      </c>
      <c r="I339" t="s">
        <v>49</v>
      </c>
      <c r="K339">
        <v>202506278131535</v>
      </c>
      <c r="L339">
        <v>1983300003802</v>
      </c>
      <c r="M339">
        <v>20250627</v>
      </c>
      <c r="N339" t="s">
        <v>400</v>
      </c>
      <c r="Q339" t="s">
        <v>58</v>
      </c>
      <c r="R339">
        <v>225000</v>
      </c>
      <c r="S339">
        <v>0</v>
      </c>
      <c r="T339">
        <v>3732842</v>
      </c>
      <c r="U339" t="s">
        <v>697</v>
      </c>
      <c r="V339" t="s">
        <v>698</v>
      </c>
      <c r="W339" t="s">
        <v>50</v>
      </c>
      <c r="Y339" t="s">
        <v>51</v>
      </c>
      <c r="AH339">
        <v>0</v>
      </c>
      <c r="AI339">
        <v>202506</v>
      </c>
      <c r="AJ339" t="s">
        <v>168</v>
      </c>
      <c r="AK339">
        <v>1</v>
      </c>
      <c r="AL339">
        <v>1</v>
      </c>
      <c r="AO339">
        <v>0</v>
      </c>
      <c r="AP339">
        <v>999</v>
      </c>
      <c r="AQ339">
        <v>600</v>
      </c>
      <c r="AR339">
        <v>600999</v>
      </c>
      <c r="AS339" t="s">
        <v>52</v>
      </c>
      <c r="AU339" t="s">
        <v>52</v>
      </c>
      <c r="AV339">
        <v>107500</v>
      </c>
      <c r="AW339">
        <v>109625</v>
      </c>
      <c r="AX339">
        <v>110000</v>
      </c>
      <c r="AY339">
        <v>112750</v>
      </c>
      <c r="AZ339">
        <v>120738</v>
      </c>
      <c r="BA339">
        <v>129508.75</v>
      </c>
      <c r="BB339">
        <v>130380</v>
      </c>
      <c r="BC339">
        <v>133610</v>
      </c>
      <c r="BD339">
        <v>133800</v>
      </c>
      <c r="BE339">
        <v>141080</v>
      </c>
      <c r="BF339">
        <v>147500</v>
      </c>
      <c r="BG339">
        <v>155382.03049999999</v>
      </c>
      <c r="BH339">
        <v>165585.11799999999</v>
      </c>
      <c r="BI339">
        <v>166416.67000000001</v>
      </c>
      <c r="BJ339">
        <v>166416.67000000001</v>
      </c>
      <c r="BK339">
        <v>173582.95749999999</v>
      </c>
      <c r="BL339">
        <v>190388.68799999999</v>
      </c>
      <c r="BM339">
        <v>212150</v>
      </c>
      <c r="BN339">
        <v>283513.16900000011</v>
      </c>
      <c r="BO339">
        <v>415377.23</v>
      </c>
      <c r="BP339">
        <v>415377.23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0</v>
      </c>
      <c r="CJ339">
        <v>0</v>
      </c>
      <c r="CK339">
        <v>0</v>
      </c>
    </row>
    <row r="340" spans="1:89" x14ac:dyDescent="0.35">
      <c r="A340">
        <v>360577</v>
      </c>
      <c r="B340" t="s">
        <v>388</v>
      </c>
      <c r="C340" t="s">
        <v>389</v>
      </c>
      <c r="D340" s="1">
        <v>45836</v>
      </c>
      <c r="E340">
        <v>53850</v>
      </c>
      <c r="F340">
        <v>282</v>
      </c>
      <c r="G340" t="s">
        <v>353</v>
      </c>
      <c r="H340" t="s">
        <v>48</v>
      </c>
      <c r="I340" t="s">
        <v>49</v>
      </c>
      <c r="K340">
        <v>202506278131668</v>
      </c>
      <c r="L340">
        <v>2823300002892</v>
      </c>
      <c r="M340">
        <v>20250627</v>
      </c>
      <c r="N340" t="s">
        <v>392</v>
      </c>
      <c r="Q340" t="s">
        <v>58</v>
      </c>
      <c r="R340">
        <v>135118.66</v>
      </c>
      <c r="S340">
        <v>0</v>
      </c>
      <c r="T340">
        <v>1706728</v>
      </c>
      <c r="U340">
        <v>2018990693</v>
      </c>
      <c r="V340" t="s">
        <v>666</v>
      </c>
      <c r="W340" t="s">
        <v>56</v>
      </c>
      <c r="X340" t="s">
        <v>235</v>
      </c>
      <c r="Y340" t="s">
        <v>51</v>
      </c>
      <c r="Z340">
        <v>1877</v>
      </c>
      <c r="AH340">
        <v>0</v>
      </c>
      <c r="AI340">
        <v>202506</v>
      </c>
      <c r="AJ340" t="s">
        <v>169</v>
      </c>
      <c r="AK340">
        <v>1</v>
      </c>
      <c r="AL340">
        <v>1</v>
      </c>
      <c r="AO340">
        <v>0</v>
      </c>
      <c r="AP340">
        <v>999</v>
      </c>
      <c r="AQ340">
        <v>430</v>
      </c>
      <c r="AR340">
        <v>430999</v>
      </c>
      <c r="AT340">
        <v>1</v>
      </c>
      <c r="AU340" t="s">
        <v>57</v>
      </c>
      <c r="AV340">
        <v>101552.46</v>
      </c>
      <c r="AW340">
        <v>114647.6485</v>
      </c>
      <c r="AX340">
        <v>118167.008</v>
      </c>
      <c r="AY340">
        <v>123559.05899999999</v>
      </c>
      <c r="AZ340">
        <v>128796.368</v>
      </c>
      <c r="BA340">
        <v>130000</v>
      </c>
      <c r="BB340">
        <v>135819.11300000001</v>
      </c>
      <c r="BC340">
        <v>145008.255</v>
      </c>
      <c r="BD340">
        <v>146226.546</v>
      </c>
      <c r="BE340">
        <v>148171.67300000001</v>
      </c>
      <c r="BF340">
        <v>156533.16500000001</v>
      </c>
      <c r="BG340">
        <v>167340.8915</v>
      </c>
      <c r="BH340">
        <v>179808.78</v>
      </c>
      <c r="BI340">
        <v>187222.14799999999</v>
      </c>
      <c r="BJ340">
        <v>206328.26500000001</v>
      </c>
      <c r="BK340">
        <v>220390.6225</v>
      </c>
      <c r="BL340">
        <v>239280.00000000009</v>
      </c>
      <c r="BM340">
        <v>298738.61</v>
      </c>
      <c r="BN340">
        <v>365407.64500000002</v>
      </c>
      <c r="BO340">
        <v>399465.49400000001</v>
      </c>
      <c r="BP340">
        <v>515709.15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 x14ac:dyDescent="0.35">
      <c r="A341">
        <v>360564</v>
      </c>
      <c r="B341" t="s">
        <v>388</v>
      </c>
      <c r="C341" t="s">
        <v>389</v>
      </c>
      <c r="D341" s="1">
        <v>45836</v>
      </c>
      <c r="E341">
        <v>53850</v>
      </c>
      <c r="F341">
        <v>161</v>
      </c>
      <c r="G341" t="s">
        <v>95</v>
      </c>
      <c r="H341" t="s">
        <v>48</v>
      </c>
      <c r="I341" t="s">
        <v>49</v>
      </c>
      <c r="K341" t="s">
        <v>356</v>
      </c>
      <c r="L341">
        <v>1613300032598</v>
      </c>
      <c r="M341">
        <v>20250627</v>
      </c>
      <c r="N341" t="s">
        <v>262</v>
      </c>
      <c r="Q341" t="s">
        <v>58</v>
      </c>
      <c r="R341">
        <v>147045.51</v>
      </c>
      <c r="S341">
        <v>0</v>
      </c>
      <c r="T341">
        <v>4103078</v>
      </c>
      <c r="U341">
        <v>272810722</v>
      </c>
      <c r="V341" t="s">
        <v>614</v>
      </c>
      <c r="W341" t="s">
        <v>56</v>
      </c>
      <c r="X341" t="s">
        <v>294</v>
      </c>
      <c r="Y341" t="s">
        <v>51</v>
      </c>
      <c r="Z341">
        <v>1903</v>
      </c>
      <c r="AH341">
        <v>0</v>
      </c>
      <c r="AI341">
        <v>202506</v>
      </c>
      <c r="AJ341" t="s">
        <v>169</v>
      </c>
      <c r="AK341">
        <v>1</v>
      </c>
      <c r="AL341">
        <v>1</v>
      </c>
      <c r="AO341">
        <v>1</v>
      </c>
      <c r="AP341">
        <v>999</v>
      </c>
      <c r="AQ341">
        <v>430</v>
      </c>
      <c r="AR341">
        <v>430999</v>
      </c>
      <c r="AT341">
        <v>1</v>
      </c>
      <c r="AU341" t="s">
        <v>57</v>
      </c>
      <c r="AV341">
        <v>101552.46</v>
      </c>
      <c r="AW341">
        <v>114647.6485</v>
      </c>
      <c r="AX341">
        <v>118167.008</v>
      </c>
      <c r="AY341">
        <v>123559.05899999999</v>
      </c>
      <c r="AZ341">
        <v>128796.368</v>
      </c>
      <c r="BA341">
        <v>130000</v>
      </c>
      <c r="BB341">
        <v>135819.11300000001</v>
      </c>
      <c r="BC341">
        <v>145008.255</v>
      </c>
      <c r="BD341">
        <v>146226.546</v>
      </c>
      <c r="BE341">
        <v>148171.67300000001</v>
      </c>
      <c r="BF341">
        <v>156533.16500000001</v>
      </c>
      <c r="BG341">
        <v>167340.8915</v>
      </c>
      <c r="BH341">
        <v>179808.78</v>
      </c>
      <c r="BI341">
        <v>187222.14799999999</v>
      </c>
      <c r="BJ341">
        <v>206328.26500000001</v>
      </c>
      <c r="BK341">
        <v>220390.6225</v>
      </c>
      <c r="BL341">
        <v>239280.00000000009</v>
      </c>
      <c r="BM341">
        <v>298738.61</v>
      </c>
      <c r="BN341">
        <v>365407.64500000002</v>
      </c>
      <c r="BO341">
        <v>399465.49400000001</v>
      </c>
      <c r="BP341">
        <v>515709.15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 x14ac:dyDescent="0.35">
      <c r="A342">
        <v>360562</v>
      </c>
      <c r="B342" t="s">
        <v>388</v>
      </c>
      <c r="C342" t="s">
        <v>389</v>
      </c>
      <c r="D342" s="1">
        <v>45836</v>
      </c>
      <c r="E342">
        <v>53850</v>
      </c>
      <c r="F342">
        <v>103</v>
      </c>
      <c r="G342" t="s">
        <v>59</v>
      </c>
      <c r="H342" t="s">
        <v>48</v>
      </c>
      <c r="I342" t="s">
        <v>49</v>
      </c>
      <c r="K342">
        <v>202506278131142</v>
      </c>
      <c r="L342">
        <v>1033306986188</v>
      </c>
      <c r="M342">
        <v>20250627</v>
      </c>
      <c r="N342" t="s">
        <v>265</v>
      </c>
      <c r="Q342" t="s">
        <v>58</v>
      </c>
      <c r="R342">
        <v>194500</v>
      </c>
      <c r="S342">
        <v>0</v>
      </c>
      <c r="T342">
        <v>4318742</v>
      </c>
      <c r="U342" t="s">
        <v>699</v>
      </c>
      <c r="V342" t="s">
        <v>700</v>
      </c>
      <c r="W342" t="s">
        <v>50</v>
      </c>
      <c r="Y342" t="s">
        <v>51</v>
      </c>
      <c r="Z342">
        <v>1657</v>
      </c>
      <c r="AH342">
        <v>0</v>
      </c>
      <c r="AI342">
        <v>202506</v>
      </c>
      <c r="AJ342" t="s">
        <v>168</v>
      </c>
      <c r="AK342">
        <v>1</v>
      </c>
      <c r="AL342">
        <v>1</v>
      </c>
      <c r="AO342">
        <v>0</v>
      </c>
      <c r="AP342">
        <v>999</v>
      </c>
      <c r="AQ342">
        <v>600</v>
      </c>
      <c r="AR342">
        <v>600999</v>
      </c>
      <c r="AS342" t="s">
        <v>52</v>
      </c>
      <c r="AU342" t="s">
        <v>52</v>
      </c>
      <c r="AV342">
        <v>107500</v>
      </c>
      <c r="AW342">
        <v>109625</v>
      </c>
      <c r="AX342">
        <v>110000</v>
      </c>
      <c r="AY342">
        <v>112750</v>
      </c>
      <c r="AZ342">
        <v>120738</v>
      </c>
      <c r="BA342">
        <v>129508.75</v>
      </c>
      <c r="BB342">
        <v>130380</v>
      </c>
      <c r="BC342">
        <v>133610</v>
      </c>
      <c r="BD342">
        <v>133800</v>
      </c>
      <c r="BE342">
        <v>141080</v>
      </c>
      <c r="BF342">
        <v>147500</v>
      </c>
      <c r="BG342">
        <v>155382.03049999999</v>
      </c>
      <c r="BH342">
        <v>165585.11799999999</v>
      </c>
      <c r="BI342">
        <v>166416.67000000001</v>
      </c>
      <c r="BJ342">
        <v>166416.67000000001</v>
      </c>
      <c r="BK342">
        <v>173582.95749999999</v>
      </c>
      <c r="BL342">
        <v>190388.68799999999</v>
      </c>
      <c r="BM342">
        <v>212150</v>
      </c>
      <c r="BN342">
        <v>283513.16900000011</v>
      </c>
      <c r="BO342">
        <v>415377.23</v>
      </c>
      <c r="BP342">
        <v>415377.23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0</v>
      </c>
      <c r="CI342">
        <v>0</v>
      </c>
      <c r="CJ342">
        <v>0</v>
      </c>
      <c r="CK342">
        <v>0</v>
      </c>
    </row>
    <row r="343" spans="1:89" x14ac:dyDescent="0.35">
      <c r="A343">
        <v>360559</v>
      </c>
      <c r="B343" t="s">
        <v>388</v>
      </c>
      <c r="C343" t="s">
        <v>389</v>
      </c>
      <c r="D343" s="1">
        <v>45836</v>
      </c>
      <c r="E343">
        <v>53850</v>
      </c>
      <c r="F343">
        <v>121</v>
      </c>
      <c r="G343" t="s">
        <v>71</v>
      </c>
      <c r="H343" t="s">
        <v>48</v>
      </c>
      <c r="I343" t="s">
        <v>49</v>
      </c>
      <c r="K343" t="s">
        <v>356</v>
      </c>
      <c r="L343">
        <v>1213300002600</v>
      </c>
      <c r="M343">
        <v>20250627</v>
      </c>
      <c r="N343" t="s">
        <v>262</v>
      </c>
      <c r="Q343" t="s">
        <v>58</v>
      </c>
      <c r="R343">
        <v>695126.13</v>
      </c>
      <c r="S343">
        <v>0</v>
      </c>
      <c r="T343">
        <v>4939345</v>
      </c>
      <c r="U343">
        <v>5754810728</v>
      </c>
      <c r="V343" t="s">
        <v>176</v>
      </c>
      <c r="W343" t="s">
        <v>56</v>
      </c>
      <c r="X343" t="s">
        <v>72</v>
      </c>
      <c r="Y343" t="s">
        <v>51</v>
      </c>
      <c r="Z343">
        <v>1058</v>
      </c>
      <c r="AH343">
        <v>0</v>
      </c>
      <c r="AI343">
        <v>202506</v>
      </c>
      <c r="AJ343" t="s">
        <v>169</v>
      </c>
      <c r="AK343">
        <v>1</v>
      </c>
      <c r="AL343">
        <v>1</v>
      </c>
      <c r="AO343">
        <v>1</v>
      </c>
      <c r="AP343">
        <v>463</v>
      </c>
      <c r="AQ343">
        <v>430</v>
      </c>
      <c r="AR343">
        <v>430463</v>
      </c>
      <c r="AS343" t="s">
        <v>61</v>
      </c>
      <c r="AU343" t="s">
        <v>61</v>
      </c>
      <c r="AV343">
        <v>85050</v>
      </c>
      <c r="AW343">
        <v>89030</v>
      </c>
      <c r="AX343">
        <v>91669.203999999998</v>
      </c>
      <c r="AY343">
        <v>93087.394</v>
      </c>
      <c r="AZ343">
        <v>94164.18</v>
      </c>
      <c r="BA343">
        <v>96798.05</v>
      </c>
      <c r="BB343">
        <v>100000</v>
      </c>
      <c r="BC343">
        <v>100000</v>
      </c>
      <c r="BD343">
        <v>101589.726</v>
      </c>
      <c r="BE343">
        <v>106295.712</v>
      </c>
      <c r="BF343">
        <v>110193.28</v>
      </c>
      <c r="BG343">
        <v>119645.424</v>
      </c>
      <c r="BH343">
        <v>127698</v>
      </c>
      <c r="BI343">
        <v>137713.79399999999</v>
      </c>
      <c r="BJ343">
        <v>139806</v>
      </c>
      <c r="BK343">
        <v>150000</v>
      </c>
      <c r="BL343">
        <v>161820.22</v>
      </c>
      <c r="BM343">
        <v>190199.99999999991</v>
      </c>
      <c r="BN343">
        <v>213800</v>
      </c>
      <c r="BO343">
        <v>259913.9999999998</v>
      </c>
      <c r="BP343">
        <v>440000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</row>
    <row r="344" spans="1:89" x14ac:dyDescent="0.35">
      <c r="A344">
        <v>360558</v>
      </c>
      <c r="B344" t="s">
        <v>388</v>
      </c>
      <c r="C344" t="s">
        <v>389</v>
      </c>
      <c r="D344" s="1">
        <v>45836</v>
      </c>
      <c r="E344">
        <v>53850</v>
      </c>
      <c r="F344">
        <v>103</v>
      </c>
      <c r="G344" t="s">
        <v>59</v>
      </c>
      <c r="H344" t="s">
        <v>48</v>
      </c>
      <c r="I344" t="s">
        <v>49</v>
      </c>
      <c r="K344">
        <v>202506278131142</v>
      </c>
      <c r="L344">
        <v>1033306986188</v>
      </c>
      <c r="M344">
        <v>20250627</v>
      </c>
      <c r="N344" t="s">
        <v>265</v>
      </c>
      <c r="Q344" t="s">
        <v>58</v>
      </c>
      <c r="R344">
        <v>194500</v>
      </c>
      <c r="S344">
        <v>0</v>
      </c>
      <c r="T344">
        <v>446772</v>
      </c>
      <c r="U344" t="s">
        <v>701</v>
      </c>
      <c r="V344" t="s">
        <v>702</v>
      </c>
      <c r="W344" t="s">
        <v>50</v>
      </c>
      <c r="Y344" t="s">
        <v>51</v>
      </c>
      <c r="Z344">
        <v>1657</v>
      </c>
      <c r="AH344">
        <v>0</v>
      </c>
      <c r="AI344">
        <v>202506</v>
      </c>
      <c r="AJ344" t="s">
        <v>168</v>
      </c>
      <c r="AK344">
        <v>1</v>
      </c>
      <c r="AL344">
        <v>1</v>
      </c>
      <c r="AO344">
        <v>0</v>
      </c>
      <c r="AP344">
        <v>999</v>
      </c>
      <c r="AQ344">
        <v>600</v>
      </c>
      <c r="AR344">
        <v>600999</v>
      </c>
      <c r="AS344" t="s">
        <v>52</v>
      </c>
      <c r="AU344" t="s">
        <v>52</v>
      </c>
      <c r="AV344">
        <v>107500</v>
      </c>
      <c r="AW344">
        <v>109625</v>
      </c>
      <c r="AX344">
        <v>110000</v>
      </c>
      <c r="AY344">
        <v>112750</v>
      </c>
      <c r="AZ344">
        <v>120738</v>
      </c>
      <c r="BA344">
        <v>129508.75</v>
      </c>
      <c r="BB344">
        <v>130380</v>
      </c>
      <c r="BC344">
        <v>133610</v>
      </c>
      <c r="BD344">
        <v>133800</v>
      </c>
      <c r="BE344">
        <v>141080</v>
      </c>
      <c r="BF344">
        <v>147500</v>
      </c>
      <c r="BG344">
        <v>155382.03049999999</v>
      </c>
      <c r="BH344">
        <v>165585.11799999999</v>
      </c>
      <c r="BI344">
        <v>166416.67000000001</v>
      </c>
      <c r="BJ344">
        <v>166416.67000000001</v>
      </c>
      <c r="BK344">
        <v>173582.95749999999</v>
      </c>
      <c r="BL344">
        <v>190388.68799999999</v>
      </c>
      <c r="BM344">
        <v>212150</v>
      </c>
      <c r="BN344">
        <v>283513.16900000011</v>
      </c>
      <c r="BO344">
        <v>415377.23</v>
      </c>
      <c r="BP344">
        <v>415377.23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0</v>
      </c>
      <c r="CI344">
        <v>0</v>
      </c>
      <c r="CJ344">
        <v>0</v>
      </c>
      <c r="CK344">
        <v>0</v>
      </c>
    </row>
    <row r="345" spans="1:89" x14ac:dyDescent="0.35">
      <c r="A345">
        <v>360552</v>
      </c>
      <c r="B345" t="s">
        <v>388</v>
      </c>
      <c r="C345" t="s">
        <v>389</v>
      </c>
      <c r="D345" s="1">
        <v>45836</v>
      </c>
      <c r="E345">
        <v>53850</v>
      </c>
      <c r="F345">
        <v>148</v>
      </c>
      <c r="G345" t="s">
        <v>91</v>
      </c>
      <c r="H345" t="s">
        <v>48</v>
      </c>
      <c r="I345" t="s">
        <v>49</v>
      </c>
      <c r="K345">
        <v>202506278131340</v>
      </c>
      <c r="L345">
        <v>1483300005166</v>
      </c>
      <c r="M345">
        <v>20250627</v>
      </c>
      <c r="N345" t="s">
        <v>417</v>
      </c>
      <c r="Q345" t="s">
        <v>58</v>
      </c>
      <c r="R345">
        <v>100000</v>
      </c>
      <c r="S345">
        <v>0</v>
      </c>
      <c r="T345">
        <v>4956823</v>
      </c>
      <c r="U345">
        <v>1776340620</v>
      </c>
      <c r="V345" t="s">
        <v>703</v>
      </c>
      <c r="W345" t="s">
        <v>56</v>
      </c>
      <c r="X345" t="s">
        <v>78</v>
      </c>
      <c r="Y345" t="s">
        <v>51</v>
      </c>
      <c r="Z345">
        <v>1340</v>
      </c>
      <c r="AH345">
        <v>0</v>
      </c>
      <c r="AI345">
        <v>202506</v>
      </c>
      <c r="AJ345" t="s">
        <v>63</v>
      </c>
      <c r="AK345">
        <v>0</v>
      </c>
      <c r="AL345">
        <v>1</v>
      </c>
      <c r="AO345">
        <v>0</v>
      </c>
      <c r="AP345">
        <v>464</v>
      </c>
      <c r="AQ345">
        <v>430</v>
      </c>
      <c r="AR345">
        <v>430464</v>
      </c>
      <c r="AS345" t="s">
        <v>79</v>
      </c>
      <c r="AU345" t="s">
        <v>79</v>
      </c>
      <c r="AV345">
        <v>76382.789999999994</v>
      </c>
      <c r="AW345">
        <v>79891.56</v>
      </c>
      <c r="AX345">
        <v>79937.08</v>
      </c>
      <c r="AY345">
        <v>88865.89</v>
      </c>
      <c r="AZ345">
        <v>94634.78</v>
      </c>
      <c r="BA345">
        <v>97229.53</v>
      </c>
      <c r="BB345">
        <v>98360.01</v>
      </c>
      <c r="BC345">
        <v>100000</v>
      </c>
      <c r="BD345">
        <v>104738.68</v>
      </c>
      <c r="BE345">
        <v>108176.82</v>
      </c>
      <c r="BF345">
        <v>110891.36</v>
      </c>
      <c r="BG345">
        <v>115427.47</v>
      </c>
      <c r="BH345">
        <v>118009.65</v>
      </c>
      <c r="BI345">
        <v>136718.03</v>
      </c>
      <c r="BJ345">
        <v>148758.49</v>
      </c>
      <c r="BK345">
        <v>182944.14</v>
      </c>
      <c r="BL345">
        <v>217448.27</v>
      </c>
      <c r="BM345">
        <v>222704.65</v>
      </c>
      <c r="BN345">
        <v>225130.1</v>
      </c>
      <c r="BO345">
        <v>259946.2</v>
      </c>
      <c r="BP345">
        <v>270019.89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 x14ac:dyDescent="0.35">
      <c r="A346">
        <v>360551</v>
      </c>
      <c r="B346" t="s">
        <v>388</v>
      </c>
      <c r="C346" t="s">
        <v>389</v>
      </c>
      <c r="D346" s="1">
        <v>45836</v>
      </c>
      <c r="E346">
        <v>53850</v>
      </c>
      <c r="F346">
        <v>176</v>
      </c>
      <c r="G346" t="s">
        <v>276</v>
      </c>
      <c r="H346" t="s">
        <v>48</v>
      </c>
      <c r="I346" t="s">
        <v>49</v>
      </c>
      <c r="K346" t="s">
        <v>356</v>
      </c>
      <c r="L346">
        <v>1763300019867</v>
      </c>
      <c r="M346">
        <v>20250627</v>
      </c>
      <c r="N346" t="s">
        <v>262</v>
      </c>
      <c r="Q346" t="s">
        <v>58</v>
      </c>
      <c r="R346">
        <v>110000</v>
      </c>
      <c r="S346">
        <v>0</v>
      </c>
      <c r="T346">
        <v>4924115</v>
      </c>
      <c r="U346" t="s">
        <v>704</v>
      </c>
      <c r="V346" t="s">
        <v>705</v>
      </c>
      <c r="W346" t="s">
        <v>66</v>
      </c>
      <c r="X346" t="s">
        <v>447</v>
      </c>
      <c r="Y346" t="s">
        <v>51</v>
      </c>
      <c r="Z346">
        <v>672</v>
      </c>
      <c r="AH346">
        <v>0</v>
      </c>
      <c r="AI346">
        <v>202506</v>
      </c>
      <c r="AJ346" t="s">
        <v>168</v>
      </c>
      <c r="AK346">
        <v>1</v>
      </c>
      <c r="AL346">
        <v>1</v>
      </c>
      <c r="AO346">
        <v>1</v>
      </c>
      <c r="AP346">
        <v>999</v>
      </c>
      <c r="AQ346">
        <v>615</v>
      </c>
      <c r="AR346">
        <v>615999</v>
      </c>
      <c r="AT346">
        <v>1</v>
      </c>
      <c r="AU346" t="s">
        <v>61</v>
      </c>
      <c r="AV346">
        <v>85050</v>
      </c>
      <c r="AW346">
        <v>89030</v>
      </c>
      <c r="AX346">
        <v>91669.203999999998</v>
      </c>
      <c r="AY346">
        <v>93087.394</v>
      </c>
      <c r="AZ346">
        <v>94164.18</v>
      </c>
      <c r="BA346">
        <v>96798.05</v>
      </c>
      <c r="BB346">
        <v>100000</v>
      </c>
      <c r="BC346">
        <v>100000</v>
      </c>
      <c r="BD346">
        <v>101589.726</v>
      </c>
      <c r="BE346">
        <v>106295.712</v>
      </c>
      <c r="BF346">
        <v>110193.28</v>
      </c>
      <c r="BG346">
        <v>119645.424</v>
      </c>
      <c r="BH346">
        <v>127698</v>
      </c>
      <c r="BI346">
        <v>137713.79399999999</v>
      </c>
      <c r="BJ346">
        <v>139806</v>
      </c>
      <c r="BK346">
        <v>150000</v>
      </c>
      <c r="BL346">
        <v>161820.22</v>
      </c>
      <c r="BM346">
        <v>190199.99999999991</v>
      </c>
      <c r="BN346">
        <v>213800</v>
      </c>
      <c r="BO346">
        <v>259913.9999999998</v>
      </c>
      <c r="BP346">
        <v>440000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 x14ac:dyDescent="0.35">
      <c r="A347">
        <v>360539</v>
      </c>
      <c r="B347" t="s">
        <v>388</v>
      </c>
      <c r="C347" t="s">
        <v>389</v>
      </c>
      <c r="D347" s="1">
        <v>45835</v>
      </c>
      <c r="E347">
        <v>53850</v>
      </c>
      <c r="F347">
        <v>171</v>
      </c>
      <c r="G347" t="s">
        <v>70</v>
      </c>
      <c r="H347" t="s">
        <v>48</v>
      </c>
      <c r="I347" t="s">
        <v>49</v>
      </c>
      <c r="K347" t="s">
        <v>357</v>
      </c>
      <c r="L347">
        <v>1713305728950</v>
      </c>
      <c r="M347">
        <v>20250626</v>
      </c>
      <c r="N347" t="s">
        <v>253</v>
      </c>
      <c r="Q347" t="s">
        <v>58</v>
      </c>
      <c r="R347">
        <v>433206.55</v>
      </c>
      <c r="S347">
        <v>433206.55</v>
      </c>
      <c r="T347">
        <v>572895</v>
      </c>
      <c r="U347">
        <v>4161600723</v>
      </c>
      <c r="V347" t="s">
        <v>257</v>
      </c>
      <c r="W347" t="s">
        <v>56</v>
      </c>
      <c r="X347" t="s">
        <v>258</v>
      </c>
      <c r="Y347" t="s">
        <v>51</v>
      </c>
      <c r="Z347">
        <v>1903</v>
      </c>
      <c r="AH347">
        <v>0</v>
      </c>
      <c r="AI347">
        <v>202506</v>
      </c>
      <c r="AJ347" t="s">
        <v>169</v>
      </c>
      <c r="AK347">
        <v>1</v>
      </c>
      <c r="AL347">
        <v>1</v>
      </c>
      <c r="AM347">
        <v>572895</v>
      </c>
      <c r="AN347">
        <v>1</v>
      </c>
      <c r="AO347">
        <v>0</v>
      </c>
      <c r="AP347">
        <v>999</v>
      </c>
      <c r="AQ347">
        <v>430</v>
      </c>
      <c r="AR347">
        <v>430999</v>
      </c>
      <c r="AT347">
        <v>1</v>
      </c>
      <c r="AU347" t="s">
        <v>57</v>
      </c>
      <c r="AV347">
        <v>101552.46</v>
      </c>
      <c r="AW347">
        <v>114647.6485</v>
      </c>
      <c r="AX347">
        <v>118167.008</v>
      </c>
      <c r="AY347">
        <v>123559.05899999999</v>
      </c>
      <c r="AZ347">
        <v>128796.368</v>
      </c>
      <c r="BA347">
        <v>130000</v>
      </c>
      <c r="BB347">
        <v>135819.11300000001</v>
      </c>
      <c r="BC347">
        <v>145008.255</v>
      </c>
      <c r="BD347">
        <v>146226.546</v>
      </c>
      <c r="BE347">
        <v>148171.67300000001</v>
      </c>
      <c r="BF347">
        <v>156533.16500000001</v>
      </c>
      <c r="BG347">
        <v>167340.8915</v>
      </c>
      <c r="BH347">
        <v>179808.78</v>
      </c>
      <c r="BI347">
        <v>187222.14799999999</v>
      </c>
      <c r="BJ347">
        <v>206328.26500000001</v>
      </c>
      <c r="BK347">
        <v>220390.6225</v>
      </c>
      <c r="BL347">
        <v>239280.00000000009</v>
      </c>
      <c r="BM347">
        <v>298738.61</v>
      </c>
      <c r="BN347">
        <v>365407.64500000002</v>
      </c>
      <c r="BO347">
        <v>399465.49400000001</v>
      </c>
      <c r="BP347">
        <v>515709.15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0</v>
      </c>
    </row>
    <row r="348" spans="1:89" x14ac:dyDescent="0.35">
      <c r="A348">
        <v>360533</v>
      </c>
      <c r="B348" t="s">
        <v>388</v>
      </c>
      <c r="C348" t="s">
        <v>389</v>
      </c>
      <c r="D348" s="1">
        <v>45835</v>
      </c>
      <c r="E348">
        <v>53850</v>
      </c>
      <c r="F348">
        <v>103</v>
      </c>
      <c r="G348" t="s">
        <v>59</v>
      </c>
      <c r="H348" t="s">
        <v>48</v>
      </c>
      <c r="I348" t="s">
        <v>49</v>
      </c>
      <c r="K348">
        <v>202506268127451</v>
      </c>
      <c r="L348">
        <v>1033306985372</v>
      </c>
      <c r="M348">
        <v>20250626</v>
      </c>
      <c r="N348" t="s">
        <v>400</v>
      </c>
      <c r="Q348" t="s">
        <v>58</v>
      </c>
      <c r="R348">
        <v>175000</v>
      </c>
      <c r="S348">
        <v>0</v>
      </c>
      <c r="T348">
        <v>78893</v>
      </c>
      <c r="U348" t="s">
        <v>706</v>
      </c>
      <c r="V348" t="s">
        <v>707</v>
      </c>
      <c r="W348" t="s">
        <v>50</v>
      </c>
      <c r="Y348" t="s">
        <v>51</v>
      </c>
      <c r="Z348">
        <v>806</v>
      </c>
      <c r="AH348">
        <v>0</v>
      </c>
      <c r="AI348">
        <v>202506</v>
      </c>
      <c r="AJ348" t="s">
        <v>168</v>
      </c>
      <c r="AK348">
        <v>1</v>
      </c>
      <c r="AL348">
        <v>1</v>
      </c>
      <c r="AO348">
        <v>0</v>
      </c>
      <c r="AP348">
        <v>999</v>
      </c>
      <c r="AQ348">
        <v>600</v>
      </c>
      <c r="AR348">
        <v>600999</v>
      </c>
      <c r="AS348" t="s">
        <v>52</v>
      </c>
      <c r="AU348" t="s">
        <v>52</v>
      </c>
      <c r="AV348">
        <v>107500</v>
      </c>
      <c r="AW348">
        <v>109625</v>
      </c>
      <c r="AX348">
        <v>110000</v>
      </c>
      <c r="AY348">
        <v>112750</v>
      </c>
      <c r="AZ348">
        <v>120738</v>
      </c>
      <c r="BA348">
        <v>129508.75</v>
      </c>
      <c r="BB348">
        <v>130380</v>
      </c>
      <c r="BC348">
        <v>133610</v>
      </c>
      <c r="BD348">
        <v>133800</v>
      </c>
      <c r="BE348">
        <v>141080</v>
      </c>
      <c r="BF348">
        <v>147500</v>
      </c>
      <c r="BG348">
        <v>155382.03049999999</v>
      </c>
      <c r="BH348">
        <v>165585.11799999999</v>
      </c>
      <c r="BI348">
        <v>166416.67000000001</v>
      </c>
      <c r="BJ348">
        <v>166416.67000000001</v>
      </c>
      <c r="BK348">
        <v>173582.95749999999</v>
      </c>
      <c r="BL348">
        <v>190388.68799999999</v>
      </c>
      <c r="BM348">
        <v>212150</v>
      </c>
      <c r="BN348">
        <v>283513.16900000011</v>
      </c>
      <c r="BO348">
        <v>415377.23</v>
      </c>
      <c r="BP348">
        <v>415377.23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 x14ac:dyDescent="0.35">
      <c r="A349">
        <v>360531</v>
      </c>
      <c r="B349" t="s">
        <v>388</v>
      </c>
      <c r="C349" t="s">
        <v>389</v>
      </c>
      <c r="D349" s="1">
        <v>45835</v>
      </c>
      <c r="E349">
        <v>53850</v>
      </c>
      <c r="F349">
        <v>268</v>
      </c>
      <c r="G349" t="s">
        <v>178</v>
      </c>
      <c r="H349" t="s">
        <v>48</v>
      </c>
      <c r="I349" t="s">
        <v>49</v>
      </c>
      <c r="K349">
        <v>202506268127808</v>
      </c>
      <c r="L349">
        <v>2683300006613</v>
      </c>
      <c r="M349">
        <v>20250626</v>
      </c>
      <c r="N349" t="s">
        <v>400</v>
      </c>
      <c r="Q349" t="s">
        <v>58</v>
      </c>
      <c r="R349">
        <v>191000</v>
      </c>
      <c r="S349">
        <v>0</v>
      </c>
      <c r="T349">
        <v>1704019</v>
      </c>
      <c r="U349" t="s">
        <v>708</v>
      </c>
      <c r="V349" t="s">
        <v>709</v>
      </c>
      <c r="W349" t="s">
        <v>66</v>
      </c>
      <c r="X349" t="s">
        <v>241</v>
      </c>
      <c r="Y349" t="s">
        <v>51</v>
      </c>
      <c r="Z349">
        <v>1852</v>
      </c>
      <c r="AH349">
        <v>0</v>
      </c>
      <c r="AI349">
        <v>202506</v>
      </c>
      <c r="AJ349" t="s">
        <v>168</v>
      </c>
      <c r="AK349">
        <v>1</v>
      </c>
      <c r="AL349">
        <v>1</v>
      </c>
      <c r="AO349">
        <v>0</v>
      </c>
      <c r="AP349">
        <v>999</v>
      </c>
      <c r="AQ349">
        <v>615</v>
      </c>
      <c r="AR349">
        <v>615999</v>
      </c>
      <c r="AT349">
        <v>1</v>
      </c>
      <c r="AU349" t="s">
        <v>61</v>
      </c>
      <c r="AV349">
        <v>85050</v>
      </c>
      <c r="AW349">
        <v>89030</v>
      </c>
      <c r="AX349">
        <v>91669.203999999998</v>
      </c>
      <c r="AY349">
        <v>93087.394</v>
      </c>
      <c r="AZ349">
        <v>94164.18</v>
      </c>
      <c r="BA349">
        <v>96798.05</v>
      </c>
      <c r="BB349">
        <v>100000</v>
      </c>
      <c r="BC349">
        <v>100000</v>
      </c>
      <c r="BD349">
        <v>101589.726</v>
      </c>
      <c r="BE349">
        <v>106295.712</v>
      </c>
      <c r="BF349">
        <v>110193.28</v>
      </c>
      <c r="BG349">
        <v>119645.424</v>
      </c>
      <c r="BH349">
        <v>127698</v>
      </c>
      <c r="BI349">
        <v>137713.79399999999</v>
      </c>
      <c r="BJ349">
        <v>139806</v>
      </c>
      <c r="BK349">
        <v>150000</v>
      </c>
      <c r="BL349">
        <v>161820.22</v>
      </c>
      <c r="BM349">
        <v>190199.99999999991</v>
      </c>
      <c r="BN349">
        <v>213800</v>
      </c>
      <c r="BO349">
        <v>259913.9999999998</v>
      </c>
      <c r="BP349">
        <v>440000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0</v>
      </c>
      <c r="CJ349">
        <v>0</v>
      </c>
      <c r="CK349">
        <v>0</v>
      </c>
    </row>
    <row r="350" spans="1:89" x14ac:dyDescent="0.35">
      <c r="A350">
        <v>360527</v>
      </c>
      <c r="B350" t="s">
        <v>388</v>
      </c>
      <c r="C350" t="s">
        <v>389</v>
      </c>
      <c r="D350" s="1">
        <v>45835</v>
      </c>
      <c r="E350">
        <v>53850</v>
      </c>
      <c r="F350">
        <v>116</v>
      </c>
      <c r="G350" t="s">
        <v>259</v>
      </c>
      <c r="H350" t="s">
        <v>48</v>
      </c>
      <c r="I350" t="s">
        <v>49</v>
      </c>
      <c r="K350" t="s">
        <v>357</v>
      </c>
      <c r="L350">
        <v>2343300010453</v>
      </c>
      <c r="M350">
        <v>20250626</v>
      </c>
      <c r="N350" t="s">
        <v>253</v>
      </c>
      <c r="Q350" t="s">
        <v>58</v>
      </c>
      <c r="R350">
        <v>203564</v>
      </c>
      <c r="S350">
        <v>203564</v>
      </c>
      <c r="T350">
        <v>4247777</v>
      </c>
      <c r="U350">
        <v>233470236</v>
      </c>
      <c r="V350" t="s">
        <v>260</v>
      </c>
      <c r="W350" t="s">
        <v>56</v>
      </c>
      <c r="X350" t="s">
        <v>72</v>
      </c>
      <c r="Y350" t="s">
        <v>51</v>
      </c>
      <c r="Z350">
        <v>1696</v>
      </c>
      <c r="AH350">
        <v>0</v>
      </c>
      <c r="AI350">
        <v>202506</v>
      </c>
      <c r="AJ350" t="s">
        <v>168</v>
      </c>
      <c r="AK350">
        <v>1</v>
      </c>
      <c r="AL350">
        <v>1</v>
      </c>
      <c r="AM350">
        <v>4247777</v>
      </c>
      <c r="AN350">
        <v>1</v>
      </c>
      <c r="AO350">
        <v>0</v>
      </c>
      <c r="AP350">
        <v>463</v>
      </c>
      <c r="AQ350">
        <v>430</v>
      </c>
      <c r="AR350">
        <v>430463</v>
      </c>
      <c r="AS350" t="s">
        <v>61</v>
      </c>
      <c r="AU350" t="s">
        <v>61</v>
      </c>
      <c r="AV350">
        <v>85050</v>
      </c>
      <c r="AW350">
        <v>89030</v>
      </c>
      <c r="AX350">
        <v>91669.203999999998</v>
      </c>
      <c r="AY350">
        <v>93087.394</v>
      </c>
      <c r="AZ350">
        <v>94164.18</v>
      </c>
      <c r="BA350">
        <v>96798.05</v>
      </c>
      <c r="BB350">
        <v>100000</v>
      </c>
      <c r="BC350">
        <v>100000</v>
      </c>
      <c r="BD350">
        <v>101589.726</v>
      </c>
      <c r="BE350">
        <v>106295.712</v>
      </c>
      <c r="BF350">
        <v>110193.28</v>
      </c>
      <c r="BG350">
        <v>119645.424</v>
      </c>
      <c r="BH350">
        <v>127698</v>
      </c>
      <c r="BI350">
        <v>137713.79399999999</v>
      </c>
      <c r="BJ350">
        <v>139806</v>
      </c>
      <c r="BK350">
        <v>150000</v>
      </c>
      <c r="BL350">
        <v>161820.22</v>
      </c>
      <c r="BM350">
        <v>190199.99999999991</v>
      </c>
      <c r="BN350">
        <v>213800</v>
      </c>
      <c r="BO350">
        <v>259913.9999999998</v>
      </c>
      <c r="BP350">
        <v>440000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0</v>
      </c>
      <c r="CJ350">
        <v>0</v>
      </c>
      <c r="CK350">
        <v>0</v>
      </c>
    </row>
    <row r="351" spans="1:89" x14ac:dyDescent="0.35">
      <c r="A351">
        <v>360525</v>
      </c>
      <c r="B351" t="s">
        <v>388</v>
      </c>
      <c r="C351" t="s">
        <v>389</v>
      </c>
      <c r="D351" s="1">
        <v>45835</v>
      </c>
      <c r="E351">
        <v>53850</v>
      </c>
      <c r="F351">
        <v>171</v>
      </c>
      <c r="G351" t="s">
        <v>70</v>
      </c>
      <c r="H351" t="s">
        <v>48</v>
      </c>
      <c r="I351" t="s">
        <v>49</v>
      </c>
      <c r="K351" t="s">
        <v>357</v>
      </c>
      <c r="L351">
        <v>1713302214147</v>
      </c>
      <c r="M351">
        <v>20250626</v>
      </c>
      <c r="N351" t="s">
        <v>262</v>
      </c>
      <c r="Q351" t="s">
        <v>58</v>
      </c>
      <c r="R351">
        <v>190385</v>
      </c>
      <c r="S351">
        <v>190385</v>
      </c>
      <c r="T351">
        <v>4199319</v>
      </c>
      <c r="U351">
        <v>6037810725</v>
      </c>
      <c r="V351" t="s">
        <v>317</v>
      </c>
      <c r="W351" t="s">
        <v>56</v>
      </c>
      <c r="X351" t="s">
        <v>258</v>
      </c>
      <c r="Y351" t="s">
        <v>51</v>
      </c>
      <c r="Z351">
        <v>1903</v>
      </c>
      <c r="AH351">
        <v>0</v>
      </c>
      <c r="AI351">
        <v>202506</v>
      </c>
      <c r="AJ351" t="s">
        <v>168</v>
      </c>
      <c r="AK351">
        <v>1</v>
      </c>
      <c r="AL351">
        <v>1</v>
      </c>
      <c r="AM351">
        <v>4199319</v>
      </c>
      <c r="AN351">
        <v>1</v>
      </c>
      <c r="AO351">
        <v>1</v>
      </c>
      <c r="AP351">
        <v>999</v>
      </c>
      <c r="AQ351">
        <v>430</v>
      </c>
      <c r="AR351">
        <v>430999</v>
      </c>
      <c r="AT351">
        <v>1</v>
      </c>
      <c r="AU351" t="s">
        <v>57</v>
      </c>
      <c r="AV351">
        <v>101552.46</v>
      </c>
      <c r="AW351">
        <v>114647.6485</v>
      </c>
      <c r="AX351">
        <v>118167.008</v>
      </c>
      <c r="AY351">
        <v>123559.05899999999</v>
      </c>
      <c r="AZ351">
        <v>128796.368</v>
      </c>
      <c r="BA351">
        <v>130000</v>
      </c>
      <c r="BB351">
        <v>135819.11300000001</v>
      </c>
      <c r="BC351">
        <v>145008.255</v>
      </c>
      <c r="BD351">
        <v>146226.546</v>
      </c>
      <c r="BE351">
        <v>148171.67300000001</v>
      </c>
      <c r="BF351">
        <v>156533.16500000001</v>
      </c>
      <c r="BG351">
        <v>167340.8915</v>
      </c>
      <c r="BH351">
        <v>179808.78</v>
      </c>
      <c r="BI351">
        <v>187222.14799999999</v>
      </c>
      <c r="BJ351">
        <v>206328.26500000001</v>
      </c>
      <c r="BK351">
        <v>220390.6225</v>
      </c>
      <c r="BL351">
        <v>239280.00000000009</v>
      </c>
      <c r="BM351">
        <v>298738.61</v>
      </c>
      <c r="BN351">
        <v>365407.64500000002</v>
      </c>
      <c r="BO351">
        <v>399465.49400000001</v>
      </c>
      <c r="BP351">
        <v>515709.15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 x14ac:dyDescent="0.35">
      <c r="A352">
        <v>360522</v>
      </c>
      <c r="B352" t="s">
        <v>388</v>
      </c>
      <c r="C352" t="s">
        <v>389</v>
      </c>
      <c r="D352" s="1">
        <v>45835</v>
      </c>
      <c r="E352">
        <v>53850</v>
      </c>
      <c r="F352">
        <v>103</v>
      </c>
      <c r="G352" t="s">
        <v>59</v>
      </c>
      <c r="H352" t="s">
        <v>48</v>
      </c>
      <c r="I352" t="s">
        <v>49</v>
      </c>
      <c r="K352">
        <v>202506268127443</v>
      </c>
      <c r="L352">
        <v>1033300511030</v>
      </c>
      <c r="M352">
        <v>20250626</v>
      </c>
      <c r="N352" t="s">
        <v>392</v>
      </c>
      <c r="Q352" t="s">
        <v>58</v>
      </c>
      <c r="R352">
        <v>130000</v>
      </c>
      <c r="S352">
        <v>0</v>
      </c>
      <c r="T352">
        <v>51103</v>
      </c>
      <c r="U352" t="s">
        <v>689</v>
      </c>
      <c r="V352" t="s">
        <v>690</v>
      </c>
      <c r="W352" t="s">
        <v>50</v>
      </c>
      <c r="Y352" t="s">
        <v>51</v>
      </c>
      <c r="Z352">
        <v>407</v>
      </c>
      <c r="AH352">
        <v>0</v>
      </c>
      <c r="AI352">
        <v>202506</v>
      </c>
      <c r="AJ352" t="s">
        <v>168</v>
      </c>
      <c r="AK352">
        <v>1</v>
      </c>
      <c r="AL352">
        <v>1</v>
      </c>
      <c r="AO352">
        <v>0</v>
      </c>
      <c r="AP352">
        <v>999</v>
      </c>
      <c r="AQ352">
        <v>600</v>
      </c>
      <c r="AR352">
        <v>600999</v>
      </c>
      <c r="AS352" t="s">
        <v>52</v>
      </c>
      <c r="AU352" t="s">
        <v>52</v>
      </c>
      <c r="AV352">
        <v>107500</v>
      </c>
      <c r="AW352">
        <v>109625</v>
      </c>
      <c r="AX352">
        <v>110000</v>
      </c>
      <c r="AY352">
        <v>112750</v>
      </c>
      <c r="AZ352">
        <v>120738</v>
      </c>
      <c r="BA352">
        <v>129508.75</v>
      </c>
      <c r="BB352">
        <v>130380</v>
      </c>
      <c r="BC352">
        <v>133610</v>
      </c>
      <c r="BD352">
        <v>133800</v>
      </c>
      <c r="BE352">
        <v>141080</v>
      </c>
      <c r="BF352">
        <v>147500</v>
      </c>
      <c r="BG352">
        <v>155382.03049999999</v>
      </c>
      <c r="BH352">
        <v>165585.11799999999</v>
      </c>
      <c r="BI352">
        <v>166416.67000000001</v>
      </c>
      <c r="BJ352">
        <v>166416.67000000001</v>
      </c>
      <c r="BK352">
        <v>173582.95749999999</v>
      </c>
      <c r="BL352">
        <v>190388.68799999999</v>
      </c>
      <c r="BM352">
        <v>212150</v>
      </c>
      <c r="BN352">
        <v>283513.16900000011</v>
      </c>
      <c r="BO352">
        <v>415377.23</v>
      </c>
      <c r="BP352">
        <v>415377.23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 x14ac:dyDescent="0.35">
      <c r="A353">
        <v>360510</v>
      </c>
      <c r="B353" t="s">
        <v>388</v>
      </c>
      <c r="C353" t="s">
        <v>389</v>
      </c>
      <c r="D353" s="1">
        <v>45835</v>
      </c>
      <c r="E353">
        <v>53850</v>
      </c>
      <c r="F353">
        <v>108</v>
      </c>
      <c r="G353" t="s">
        <v>89</v>
      </c>
      <c r="H353" t="s">
        <v>48</v>
      </c>
      <c r="I353" t="s">
        <v>49</v>
      </c>
      <c r="K353" t="s">
        <v>357</v>
      </c>
      <c r="L353">
        <v>1083300011180</v>
      </c>
      <c r="M353">
        <v>20250626</v>
      </c>
      <c r="N353" t="s">
        <v>262</v>
      </c>
      <c r="Q353" t="s">
        <v>58</v>
      </c>
      <c r="R353">
        <v>164479.12</v>
      </c>
      <c r="S353">
        <v>1050</v>
      </c>
      <c r="T353">
        <v>1118</v>
      </c>
      <c r="U353">
        <v>3246700722</v>
      </c>
      <c r="V353" t="s">
        <v>416</v>
      </c>
      <c r="W353" t="s">
        <v>56</v>
      </c>
      <c r="X353" t="s">
        <v>411</v>
      </c>
      <c r="Y353" t="s">
        <v>51</v>
      </c>
      <c r="Z353">
        <v>1058</v>
      </c>
      <c r="AH353">
        <v>0</v>
      </c>
      <c r="AI353">
        <v>202506</v>
      </c>
      <c r="AJ353" t="s">
        <v>168</v>
      </c>
      <c r="AK353">
        <v>1</v>
      </c>
      <c r="AL353">
        <v>1</v>
      </c>
      <c r="AO353">
        <v>1</v>
      </c>
      <c r="AP353">
        <v>999</v>
      </c>
      <c r="AQ353">
        <v>430</v>
      </c>
      <c r="AR353">
        <v>430999</v>
      </c>
      <c r="AT353">
        <v>1</v>
      </c>
      <c r="AU353" t="s">
        <v>57</v>
      </c>
      <c r="AV353">
        <v>101552.46</v>
      </c>
      <c r="AW353">
        <v>114647.6485</v>
      </c>
      <c r="AX353">
        <v>118167.008</v>
      </c>
      <c r="AY353">
        <v>123559.05899999999</v>
      </c>
      <c r="AZ353">
        <v>128796.368</v>
      </c>
      <c r="BA353">
        <v>130000</v>
      </c>
      <c r="BB353">
        <v>135819.11300000001</v>
      </c>
      <c r="BC353">
        <v>145008.255</v>
      </c>
      <c r="BD353">
        <v>146226.546</v>
      </c>
      <c r="BE353">
        <v>148171.67300000001</v>
      </c>
      <c r="BF353">
        <v>156533.16500000001</v>
      </c>
      <c r="BG353">
        <v>167340.8915</v>
      </c>
      <c r="BH353">
        <v>179808.78</v>
      </c>
      <c r="BI353">
        <v>187222.14799999999</v>
      </c>
      <c r="BJ353">
        <v>206328.26500000001</v>
      </c>
      <c r="BK353">
        <v>220390.6225</v>
      </c>
      <c r="BL353">
        <v>239280.00000000009</v>
      </c>
      <c r="BM353">
        <v>298738.61</v>
      </c>
      <c r="BN353">
        <v>365407.64500000002</v>
      </c>
      <c r="BO353">
        <v>399465.49400000001</v>
      </c>
      <c r="BP353">
        <v>515709.15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 x14ac:dyDescent="0.35">
      <c r="A354">
        <v>360498</v>
      </c>
      <c r="B354" t="s">
        <v>388</v>
      </c>
      <c r="C354" t="s">
        <v>389</v>
      </c>
      <c r="D354" s="1">
        <v>45834</v>
      </c>
      <c r="E354">
        <v>53850</v>
      </c>
      <c r="F354">
        <v>174</v>
      </c>
      <c r="G354" t="s">
        <v>88</v>
      </c>
      <c r="H354" t="s">
        <v>48</v>
      </c>
      <c r="I354" t="s">
        <v>49</v>
      </c>
      <c r="K354">
        <v>202506258124771</v>
      </c>
      <c r="L354">
        <v>1963302352389</v>
      </c>
      <c r="M354">
        <v>20250625</v>
      </c>
      <c r="N354" t="s">
        <v>400</v>
      </c>
      <c r="Q354" t="s">
        <v>58</v>
      </c>
      <c r="R354">
        <v>200470</v>
      </c>
      <c r="S354">
        <v>0</v>
      </c>
      <c r="T354">
        <v>4568128</v>
      </c>
      <c r="U354">
        <v>3162580710</v>
      </c>
      <c r="V354" t="s">
        <v>710</v>
      </c>
      <c r="W354" t="s">
        <v>56</v>
      </c>
      <c r="X354" t="s">
        <v>451</v>
      </c>
      <c r="Y354" t="s">
        <v>51</v>
      </c>
      <c r="Z354">
        <v>1453</v>
      </c>
      <c r="AH354">
        <v>0</v>
      </c>
      <c r="AI354">
        <v>202506</v>
      </c>
      <c r="AJ354" t="s">
        <v>168</v>
      </c>
      <c r="AK354">
        <v>1</v>
      </c>
      <c r="AL354">
        <v>1</v>
      </c>
      <c r="AO354">
        <v>0</v>
      </c>
      <c r="AP354">
        <v>999</v>
      </c>
      <c r="AQ354">
        <v>430</v>
      </c>
      <c r="AR354">
        <v>430999</v>
      </c>
      <c r="AT354">
        <v>1</v>
      </c>
      <c r="AU354" t="s">
        <v>57</v>
      </c>
      <c r="AV354">
        <v>101552.46</v>
      </c>
      <c r="AW354">
        <v>114647.6485</v>
      </c>
      <c r="AX354">
        <v>118167.008</v>
      </c>
      <c r="AY354">
        <v>123559.05899999999</v>
      </c>
      <c r="AZ354">
        <v>128796.368</v>
      </c>
      <c r="BA354">
        <v>130000</v>
      </c>
      <c r="BB354">
        <v>135819.11300000001</v>
      </c>
      <c r="BC354">
        <v>145008.255</v>
      </c>
      <c r="BD354">
        <v>146226.546</v>
      </c>
      <c r="BE354">
        <v>148171.67300000001</v>
      </c>
      <c r="BF354">
        <v>156533.16500000001</v>
      </c>
      <c r="BG354">
        <v>167340.8915</v>
      </c>
      <c r="BH354">
        <v>179808.78</v>
      </c>
      <c r="BI354">
        <v>187222.14799999999</v>
      </c>
      <c r="BJ354">
        <v>206328.26500000001</v>
      </c>
      <c r="BK354">
        <v>220390.6225</v>
      </c>
      <c r="BL354">
        <v>239280.00000000009</v>
      </c>
      <c r="BM354">
        <v>298738.61</v>
      </c>
      <c r="BN354">
        <v>365407.64500000002</v>
      </c>
      <c r="BO354">
        <v>399465.49400000001</v>
      </c>
      <c r="BP354">
        <v>515709.15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 x14ac:dyDescent="0.35">
      <c r="A355">
        <v>360480</v>
      </c>
      <c r="B355" t="s">
        <v>388</v>
      </c>
      <c r="C355" t="s">
        <v>389</v>
      </c>
      <c r="D355" s="1">
        <v>45834</v>
      </c>
      <c r="E355">
        <v>53850</v>
      </c>
      <c r="F355">
        <v>121</v>
      </c>
      <c r="G355" t="s">
        <v>71</v>
      </c>
      <c r="H355" t="s">
        <v>48</v>
      </c>
      <c r="I355" t="s">
        <v>49</v>
      </c>
      <c r="K355" t="s">
        <v>358</v>
      </c>
      <c r="L355">
        <v>1213300002600</v>
      </c>
      <c r="M355">
        <v>20250625</v>
      </c>
      <c r="N355" t="s">
        <v>262</v>
      </c>
      <c r="Q355" t="s">
        <v>58</v>
      </c>
      <c r="R355">
        <v>473652.88</v>
      </c>
      <c r="S355">
        <v>0</v>
      </c>
      <c r="T355">
        <v>4939345</v>
      </c>
      <c r="U355">
        <v>5754810728</v>
      </c>
      <c r="V355" t="s">
        <v>176</v>
      </c>
      <c r="W355" t="s">
        <v>56</v>
      </c>
      <c r="X355" t="s">
        <v>72</v>
      </c>
      <c r="Y355" t="s">
        <v>51</v>
      </c>
      <c r="Z355">
        <v>1058</v>
      </c>
      <c r="AH355">
        <v>0</v>
      </c>
      <c r="AI355">
        <v>202506</v>
      </c>
      <c r="AJ355" t="s">
        <v>169</v>
      </c>
      <c r="AK355">
        <v>1</v>
      </c>
      <c r="AL355">
        <v>1</v>
      </c>
      <c r="AO355">
        <v>1</v>
      </c>
      <c r="AP355">
        <v>463</v>
      </c>
      <c r="AQ355">
        <v>430</v>
      </c>
      <c r="AR355">
        <v>430463</v>
      </c>
      <c r="AS355" t="s">
        <v>61</v>
      </c>
      <c r="AU355" t="s">
        <v>61</v>
      </c>
      <c r="AV355">
        <v>85050</v>
      </c>
      <c r="AW355">
        <v>89030</v>
      </c>
      <c r="AX355">
        <v>91669.203999999998</v>
      </c>
      <c r="AY355">
        <v>93087.394</v>
      </c>
      <c r="AZ355">
        <v>94164.18</v>
      </c>
      <c r="BA355">
        <v>96798.05</v>
      </c>
      <c r="BB355">
        <v>100000</v>
      </c>
      <c r="BC355">
        <v>100000</v>
      </c>
      <c r="BD355">
        <v>101589.726</v>
      </c>
      <c r="BE355">
        <v>106295.712</v>
      </c>
      <c r="BF355">
        <v>110193.28</v>
      </c>
      <c r="BG355">
        <v>119645.424</v>
      </c>
      <c r="BH355">
        <v>127698</v>
      </c>
      <c r="BI355">
        <v>137713.79399999999</v>
      </c>
      <c r="BJ355">
        <v>139806</v>
      </c>
      <c r="BK355">
        <v>150000</v>
      </c>
      <c r="BL355">
        <v>161820.22</v>
      </c>
      <c r="BM355">
        <v>190199.99999999991</v>
      </c>
      <c r="BN355">
        <v>213800</v>
      </c>
      <c r="BO355">
        <v>259913.9999999998</v>
      </c>
      <c r="BP355">
        <v>440000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</row>
    <row r="356" spans="1:89" x14ac:dyDescent="0.35">
      <c r="A356">
        <v>360473</v>
      </c>
      <c r="B356" t="s">
        <v>388</v>
      </c>
      <c r="C356" t="s">
        <v>389</v>
      </c>
      <c r="D356" s="1">
        <v>45834</v>
      </c>
      <c r="E356">
        <v>53850</v>
      </c>
      <c r="F356">
        <v>185</v>
      </c>
      <c r="G356" t="s">
        <v>179</v>
      </c>
      <c r="H356" t="s">
        <v>48</v>
      </c>
      <c r="I356" t="s">
        <v>49</v>
      </c>
      <c r="K356">
        <v>202506258124809</v>
      </c>
      <c r="L356">
        <v>1853300028022</v>
      </c>
      <c r="M356">
        <v>20250625</v>
      </c>
      <c r="N356" t="s">
        <v>392</v>
      </c>
      <c r="Q356" t="s">
        <v>58</v>
      </c>
      <c r="R356">
        <v>141199.25</v>
      </c>
      <c r="S356">
        <v>0</v>
      </c>
      <c r="T356">
        <v>4526244</v>
      </c>
      <c r="U356">
        <v>2742120732</v>
      </c>
      <c r="V356" t="s">
        <v>711</v>
      </c>
      <c r="W356" t="s">
        <v>56</v>
      </c>
      <c r="X356" t="s">
        <v>519</v>
      </c>
      <c r="Y356" t="s">
        <v>51</v>
      </c>
      <c r="Z356">
        <v>773</v>
      </c>
      <c r="AH356">
        <v>0</v>
      </c>
      <c r="AI356">
        <v>202506</v>
      </c>
      <c r="AJ356" t="s">
        <v>168</v>
      </c>
      <c r="AK356">
        <v>1</v>
      </c>
      <c r="AL356">
        <v>1</v>
      </c>
      <c r="AO356">
        <v>0</v>
      </c>
      <c r="AP356">
        <v>999</v>
      </c>
      <c r="AQ356">
        <v>430</v>
      </c>
      <c r="AR356">
        <v>430999</v>
      </c>
      <c r="AT356">
        <v>1</v>
      </c>
      <c r="AU356" t="s">
        <v>57</v>
      </c>
      <c r="AV356">
        <v>101552.46</v>
      </c>
      <c r="AW356">
        <v>114647.6485</v>
      </c>
      <c r="AX356">
        <v>118167.008</v>
      </c>
      <c r="AY356">
        <v>123559.05899999999</v>
      </c>
      <c r="AZ356">
        <v>128796.368</v>
      </c>
      <c r="BA356">
        <v>130000</v>
      </c>
      <c r="BB356">
        <v>135819.11300000001</v>
      </c>
      <c r="BC356">
        <v>145008.255</v>
      </c>
      <c r="BD356">
        <v>146226.546</v>
      </c>
      <c r="BE356">
        <v>148171.67300000001</v>
      </c>
      <c r="BF356">
        <v>156533.16500000001</v>
      </c>
      <c r="BG356">
        <v>167340.8915</v>
      </c>
      <c r="BH356">
        <v>179808.78</v>
      </c>
      <c r="BI356">
        <v>187222.14799999999</v>
      </c>
      <c r="BJ356">
        <v>206328.26500000001</v>
      </c>
      <c r="BK356">
        <v>220390.6225</v>
      </c>
      <c r="BL356">
        <v>239280.00000000009</v>
      </c>
      <c r="BM356">
        <v>298738.61</v>
      </c>
      <c r="BN356">
        <v>365407.64500000002</v>
      </c>
      <c r="BO356">
        <v>399465.49400000001</v>
      </c>
      <c r="BP356">
        <v>515709.15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 x14ac:dyDescent="0.35">
      <c r="A357">
        <v>360466</v>
      </c>
      <c r="B357" t="s">
        <v>388</v>
      </c>
      <c r="C357" t="s">
        <v>389</v>
      </c>
      <c r="D357" s="1">
        <v>45834</v>
      </c>
      <c r="E357">
        <v>53850</v>
      </c>
      <c r="F357">
        <v>106</v>
      </c>
      <c r="G357" t="s">
        <v>346</v>
      </c>
      <c r="H357" t="s">
        <v>48</v>
      </c>
      <c r="I357" t="s">
        <v>49</v>
      </c>
      <c r="K357" t="s">
        <v>358</v>
      </c>
      <c r="L357">
        <v>1063302769017</v>
      </c>
      <c r="M357">
        <v>20250625</v>
      </c>
      <c r="N357" t="s">
        <v>262</v>
      </c>
      <c r="Q357" t="s">
        <v>58</v>
      </c>
      <c r="R357">
        <v>121500</v>
      </c>
      <c r="S357">
        <v>0</v>
      </c>
      <c r="T357">
        <v>4178244</v>
      </c>
      <c r="U357">
        <v>5966130725</v>
      </c>
      <c r="V357" t="s">
        <v>580</v>
      </c>
      <c r="W357" t="s">
        <v>56</v>
      </c>
      <c r="X357" t="s">
        <v>62</v>
      </c>
      <c r="Y357" t="s">
        <v>51</v>
      </c>
      <c r="Z357">
        <v>727</v>
      </c>
      <c r="AH357">
        <v>0</v>
      </c>
      <c r="AI357">
        <v>202506</v>
      </c>
      <c r="AJ357" t="s">
        <v>168</v>
      </c>
      <c r="AK357">
        <v>1</v>
      </c>
      <c r="AL357">
        <v>1</v>
      </c>
      <c r="AO357">
        <v>1</v>
      </c>
      <c r="AP357">
        <v>412</v>
      </c>
      <c r="AQ357">
        <v>430</v>
      </c>
      <c r="AR357">
        <v>430412</v>
      </c>
      <c r="AS357" t="s">
        <v>61</v>
      </c>
      <c r="AU357" t="s">
        <v>61</v>
      </c>
      <c r="AV357">
        <v>85050</v>
      </c>
      <c r="AW357">
        <v>89030</v>
      </c>
      <c r="AX357">
        <v>91669.203999999998</v>
      </c>
      <c r="AY357">
        <v>93087.394</v>
      </c>
      <c r="AZ357">
        <v>94164.18</v>
      </c>
      <c r="BA357">
        <v>96798.05</v>
      </c>
      <c r="BB357">
        <v>100000</v>
      </c>
      <c r="BC357">
        <v>100000</v>
      </c>
      <c r="BD357">
        <v>101589.726</v>
      </c>
      <c r="BE357">
        <v>106295.712</v>
      </c>
      <c r="BF357">
        <v>110193.28</v>
      </c>
      <c r="BG357">
        <v>119645.424</v>
      </c>
      <c r="BH357">
        <v>127698</v>
      </c>
      <c r="BI357">
        <v>137713.79399999999</v>
      </c>
      <c r="BJ357">
        <v>139806</v>
      </c>
      <c r="BK357">
        <v>150000</v>
      </c>
      <c r="BL357">
        <v>161820.22</v>
      </c>
      <c r="BM357">
        <v>190199.99999999991</v>
      </c>
      <c r="BN357">
        <v>213800</v>
      </c>
      <c r="BO357">
        <v>259913.9999999998</v>
      </c>
      <c r="BP357">
        <v>440000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 x14ac:dyDescent="0.35">
      <c r="A358">
        <v>360459</v>
      </c>
      <c r="B358" t="s">
        <v>388</v>
      </c>
      <c r="C358" t="s">
        <v>389</v>
      </c>
      <c r="D358" s="1">
        <v>45833</v>
      </c>
      <c r="E358">
        <v>53850</v>
      </c>
      <c r="F358">
        <v>149</v>
      </c>
      <c r="G358" t="s">
        <v>84</v>
      </c>
      <c r="H358" t="s">
        <v>48</v>
      </c>
      <c r="I358" t="s">
        <v>49</v>
      </c>
      <c r="K358">
        <v>202506248121924</v>
      </c>
      <c r="L358">
        <v>1493300660015</v>
      </c>
      <c r="M358">
        <v>20250624</v>
      </c>
      <c r="N358" t="s">
        <v>400</v>
      </c>
      <c r="Q358" t="s">
        <v>58</v>
      </c>
      <c r="R358">
        <v>137500</v>
      </c>
      <c r="S358">
        <v>0</v>
      </c>
      <c r="T358">
        <v>4174943</v>
      </c>
      <c r="U358" t="s">
        <v>712</v>
      </c>
      <c r="V358" t="s">
        <v>713</v>
      </c>
      <c r="W358" t="s">
        <v>66</v>
      </c>
      <c r="X358" t="s">
        <v>80</v>
      </c>
      <c r="Y358" t="s">
        <v>51</v>
      </c>
      <c r="Z358">
        <v>1910</v>
      </c>
      <c r="AH358">
        <v>0</v>
      </c>
      <c r="AI358">
        <v>202506</v>
      </c>
      <c r="AJ358" t="s">
        <v>168</v>
      </c>
      <c r="AK358">
        <v>1</v>
      </c>
      <c r="AL358">
        <v>1</v>
      </c>
      <c r="AO358">
        <v>0</v>
      </c>
      <c r="AP358">
        <v>477</v>
      </c>
      <c r="AQ358">
        <v>615</v>
      </c>
      <c r="AR358">
        <v>615477</v>
      </c>
      <c r="AS358" t="s">
        <v>270</v>
      </c>
      <c r="AU358" t="s">
        <v>270</v>
      </c>
      <c r="AV358">
        <v>37615</v>
      </c>
      <c r="AW358">
        <v>38129.25</v>
      </c>
      <c r="AX358">
        <v>38617</v>
      </c>
      <c r="AY358">
        <v>38985.5</v>
      </c>
      <c r="AZ358">
        <v>39276</v>
      </c>
      <c r="BA358">
        <v>39430</v>
      </c>
      <c r="BB358">
        <v>39650</v>
      </c>
      <c r="BC358">
        <v>39925</v>
      </c>
      <c r="BD358">
        <v>40004</v>
      </c>
      <c r="BE358">
        <v>40009.5</v>
      </c>
      <c r="BF358">
        <v>40505</v>
      </c>
      <c r="BG358">
        <v>41243.25</v>
      </c>
      <c r="BH358">
        <v>43919</v>
      </c>
      <c r="BI358">
        <v>46035.25</v>
      </c>
      <c r="BJ358">
        <v>46659.5</v>
      </c>
      <c r="BK358">
        <v>48836.25</v>
      </c>
      <c r="BL358">
        <v>52876.000000000007</v>
      </c>
      <c r="BM358">
        <v>56324.25</v>
      </c>
      <c r="BN358">
        <v>59434.5</v>
      </c>
      <c r="BO358">
        <v>63675.005999999987</v>
      </c>
      <c r="BP358">
        <v>68166.679999999993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</row>
    <row r="359" spans="1:89" x14ac:dyDescent="0.35">
      <c r="A359">
        <v>360457</v>
      </c>
      <c r="B359" t="s">
        <v>388</v>
      </c>
      <c r="C359" t="s">
        <v>389</v>
      </c>
      <c r="D359" s="1">
        <v>45833</v>
      </c>
      <c r="E359">
        <v>53850</v>
      </c>
      <c r="F359">
        <v>171</v>
      </c>
      <c r="G359" t="s">
        <v>70</v>
      </c>
      <c r="H359" t="s">
        <v>48</v>
      </c>
      <c r="I359" t="s">
        <v>49</v>
      </c>
      <c r="K359" t="s">
        <v>359</v>
      </c>
      <c r="L359">
        <v>1713302214147</v>
      </c>
      <c r="M359">
        <v>20250624</v>
      </c>
      <c r="N359" t="s">
        <v>253</v>
      </c>
      <c r="Q359" t="s">
        <v>58</v>
      </c>
      <c r="R359">
        <v>108945.1</v>
      </c>
      <c r="S359">
        <v>108945.1</v>
      </c>
      <c r="T359">
        <v>4199319</v>
      </c>
      <c r="U359">
        <v>6037810725</v>
      </c>
      <c r="V359" t="s">
        <v>317</v>
      </c>
      <c r="W359" t="s">
        <v>56</v>
      </c>
      <c r="X359" t="s">
        <v>258</v>
      </c>
      <c r="Y359" t="s">
        <v>51</v>
      </c>
      <c r="Z359">
        <v>1903</v>
      </c>
      <c r="AH359">
        <v>0</v>
      </c>
      <c r="AI359">
        <v>202506</v>
      </c>
      <c r="AJ359" t="s">
        <v>168</v>
      </c>
      <c r="AK359">
        <v>1</v>
      </c>
      <c r="AL359">
        <v>1</v>
      </c>
      <c r="AM359">
        <v>4199319</v>
      </c>
      <c r="AN359">
        <v>1</v>
      </c>
      <c r="AO359">
        <v>0</v>
      </c>
      <c r="AP359">
        <v>999</v>
      </c>
      <c r="AQ359">
        <v>430</v>
      </c>
      <c r="AR359">
        <v>430999</v>
      </c>
      <c r="AT359">
        <v>1</v>
      </c>
      <c r="AU359" t="s">
        <v>57</v>
      </c>
      <c r="AV359">
        <v>101552.46</v>
      </c>
      <c r="AW359">
        <v>114647.6485</v>
      </c>
      <c r="AX359">
        <v>118167.008</v>
      </c>
      <c r="AY359">
        <v>123559.05899999999</v>
      </c>
      <c r="AZ359">
        <v>128796.368</v>
      </c>
      <c r="BA359">
        <v>130000</v>
      </c>
      <c r="BB359">
        <v>135819.11300000001</v>
      </c>
      <c r="BC359">
        <v>145008.255</v>
      </c>
      <c r="BD359">
        <v>146226.546</v>
      </c>
      <c r="BE359">
        <v>148171.67300000001</v>
      </c>
      <c r="BF359">
        <v>156533.16500000001</v>
      </c>
      <c r="BG359">
        <v>167340.8915</v>
      </c>
      <c r="BH359">
        <v>179808.78</v>
      </c>
      <c r="BI359">
        <v>187222.14799999999</v>
      </c>
      <c r="BJ359">
        <v>206328.26500000001</v>
      </c>
      <c r="BK359">
        <v>220390.6225</v>
      </c>
      <c r="BL359">
        <v>239280.00000000009</v>
      </c>
      <c r="BM359">
        <v>298738.61</v>
      </c>
      <c r="BN359">
        <v>365407.64500000002</v>
      </c>
      <c r="BO359">
        <v>399465.49400000001</v>
      </c>
      <c r="BP359">
        <v>515709.15</v>
      </c>
      <c r="BQ359">
        <v>1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 x14ac:dyDescent="0.35">
      <c r="A360">
        <v>360453</v>
      </c>
      <c r="B360" t="s">
        <v>388</v>
      </c>
      <c r="C360" t="s">
        <v>389</v>
      </c>
      <c r="D360" s="1">
        <v>45833</v>
      </c>
      <c r="E360">
        <v>53850</v>
      </c>
      <c r="F360">
        <v>106</v>
      </c>
      <c r="G360" t="s">
        <v>346</v>
      </c>
      <c r="H360" t="s">
        <v>48</v>
      </c>
      <c r="I360" t="s">
        <v>49</v>
      </c>
      <c r="K360">
        <v>202506248121789</v>
      </c>
      <c r="L360">
        <v>1063302770377</v>
      </c>
      <c r="M360">
        <v>20250624</v>
      </c>
      <c r="N360" t="s">
        <v>392</v>
      </c>
      <c r="Q360" t="s">
        <v>58</v>
      </c>
      <c r="R360">
        <v>200000</v>
      </c>
      <c r="S360">
        <v>0</v>
      </c>
      <c r="T360">
        <v>4815714</v>
      </c>
      <c r="U360" t="s">
        <v>714</v>
      </c>
      <c r="V360" t="s">
        <v>715</v>
      </c>
      <c r="W360" t="s">
        <v>50</v>
      </c>
      <c r="Y360" t="s">
        <v>51</v>
      </c>
      <c r="Z360">
        <v>1464</v>
      </c>
      <c r="AH360">
        <v>0</v>
      </c>
      <c r="AI360">
        <v>202506</v>
      </c>
      <c r="AJ360" t="s">
        <v>168</v>
      </c>
      <c r="AK360">
        <v>1</v>
      </c>
      <c r="AL360">
        <v>1</v>
      </c>
      <c r="AO360">
        <v>0</v>
      </c>
      <c r="AP360">
        <v>999</v>
      </c>
      <c r="AQ360">
        <v>600</v>
      </c>
      <c r="AR360">
        <v>600999</v>
      </c>
      <c r="AS360" t="s">
        <v>52</v>
      </c>
      <c r="AU360" t="s">
        <v>52</v>
      </c>
      <c r="AV360">
        <v>107500</v>
      </c>
      <c r="AW360">
        <v>109625</v>
      </c>
      <c r="AX360">
        <v>110000</v>
      </c>
      <c r="AY360">
        <v>112750</v>
      </c>
      <c r="AZ360">
        <v>120738</v>
      </c>
      <c r="BA360">
        <v>129508.75</v>
      </c>
      <c r="BB360">
        <v>130380</v>
      </c>
      <c r="BC360">
        <v>133610</v>
      </c>
      <c r="BD360">
        <v>133800</v>
      </c>
      <c r="BE360">
        <v>141080</v>
      </c>
      <c r="BF360">
        <v>147500</v>
      </c>
      <c r="BG360">
        <v>155382.03049999999</v>
      </c>
      <c r="BH360">
        <v>165585.11799999999</v>
      </c>
      <c r="BI360">
        <v>166416.67000000001</v>
      </c>
      <c r="BJ360">
        <v>166416.67000000001</v>
      </c>
      <c r="BK360">
        <v>173582.95749999999</v>
      </c>
      <c r="BL360">
        <v>190388.68799999999</v>
      </c>
      <c r="BM360">
        <v>212150</v>
      </c>
      <c r="BN360">
        <v>283513.16900000011</v>
      </c>
      <c r="BO360">
        <v>415377.23</v>
      </c>
      <c r="BP360">
        <v>415377.23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0</v>
      </c>
      <c r="CI360">
        <v>0</v>
      </c>
      <c r="CJ360">
        <v>0</v>
      </c>
      <c r="CK360">
        <v>0</v>
      </c>
    </row>
    <row r="361" spans="1:89" x14ac:dyDescent="0.35">
      <c r="A361">
        <v>360449</v>
      </c>
      <c r="B361" t="s">
        <v>388</v>
      </c>
      <c r="C361" t="s">
        <v>389</v>
      </c>
      <c r="D361" s="1">
        <v>45833</v>
      </c>
      <c r="E361">
        <v>53850</v>
      </c>
      <c r="F361">
        <v>117</v>
      </c>
      <c r="G361" t="s">
        <v>289</v>
      </c>
      <c r="H361" t="s">
        <v>48</v>
      </c>
      <c r="I361" t="s">
        <v>49</v>
      </c>
      <c r="K361">
        <v>202506248121855</v>
      </c>
      <c r="L361">
        <v>1173300536399</v>
      </c>
      <c r="M361">
        <v>20250624</v>
      </c>
      <c r="N361" t="s">
        <v>392</v>
      </c>
      <c r="Q361" t="s">
        <v>58</v>
      </c>
      <c r="R361">
        <v>105448.61</v>
      </c>
      <c r="S361">
        <v>0</v>
      </c>
      <c r="T361">
        <v>765950</v>
      </c>
      <c r="U361" t="s">
        <v>716</v>
      </c>
      <c r="V361" t="s">
        <v>717</v>
      </c>
      <c r="W361" t="s">
        <v>66</v>
      </c>
      <c r="X361" t="s">
        <v>447</v>
      </c>
      <c r="Y361" t="s">
        <v>51</v>
      </c>
      <c r="Z361">
        <v>1772</v>
      </c>
      <c r="AH361">
        <v>0</v>
      </c>
      <c r="AI361">
        <v>202506</v>
      </c>
      <c r="AJ361" t="s">
        <v>168</v>
      </c>
      <c r="AK361">
        <v>1</v>
      </c>
      <c r="AL361">
        <v>1</v>
      </c>
      <c r="AO361">
        <v>0</v>
      </c>
      <c r="AP361">
        <v>999</v>
      </c>
      <c r="AQ361">
        <v>615</v>
      </c>
      <c r="AR361">
        <v>615999</v>
      </c>
      <c r="AT361">
        <v>1</v>
      </c>
      <c r="AU361" t="s">
        <v>61</v>
      </c>
      <c r="AV361">
        <v>85050</v>
      </c>
      <c r="AW361">
        <v>89030</v>
      </c>
      <c r="AX361">
        <v>91669.203999999998</v>
      </c>
      <c r="AY361">
        <v>93087.394</v>
      </c>
      <c r="AZ361">
        <v>94164.18</v>
      </c>
      <c r="BA361">
        <v>96798.05</v>
      </c>
      <c r="BB361">
        <v>100000</v>
      </c>
      <c r="BC361">
        <v>100000</v>
      </c>
      <c r="BD361">
        <v>101589.726</v>
      </c>
      <c r="BE361">
        <v>106295.712</v>
      </c>
      <c r="BF361">
        <v>110193.28</v>
      </c>
      <c r="BG361">
        <v>119645.424</v>
      </c>
      <c r="BH361">
        <v>127698</v>
      </c>
      <c r="BI361">
        <v>137713.79399999999</v>
      </c>
      <c r="BJ361">
        <v>139806</v>
      </c>
      <c r="BK361">
        <v>150000</v>
      </c>
      <c r="BL361">
        <v>161820.22</v>
      </c>
      <c r="BM361">
        <v>190199.99999999991</v>
      </c>
      <c r="BN361">
        <v>213800</v>
      </c>
      <c r="BO361">
        <v>259913.9999999998</v>
      </c>
      <c r="BP361">
        <v>440000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 x14ac:dyDescent="0.35">
      <c r="A362">
        <v>360448</v>
      </c>
      <c r="B362" t="s">
        <v>388</v>
      </c>
      <c r="C362" t="s">
        <v>389</v>
      </c>
      <c r="D362" s="1">
        <v>45833</v>
      </c>
      <c r="E362">
        <v>53850</v>
      </c>
      <c r="F362">
        <v>106</v>
      </c>
      <c r="G362" t="s">
        <v>346</v>
      </c>
      <c r="H362" t="s">
        <v>48</v>
      </c>
      <c r="I362" t="s">
        <v>49</v>
      </c>
      <c r="K362">
        <v>202506248121789</v>
      </c>
      <c r="L362">
        <v>1063302770377</v>
      </c>
      <c r="M362">
        <v>20250624</v>
      </c>
      <c r="N362" t="s">
        <v>392</v>
      </c>
      <c r="Q362" t="s">
        <v>58</v>
      </c>
      <c r="R362">
        <v>200000</v>
      </c>
      <c r="S362">
        <v>0</v>
      </c>
      <c r="T362">
        <v>397027</v>
      </c>
      <c r="U362" t="s">
        <v>718</v>
      </c>
      <c r="V362" t="s">
        <v>719</v>
      </c>
      <c r="W362" t="s">
        <v>50</v>
      </c>
      <c r="Y362" t="s">
        <v>51</v>
      </c>
      <c r="Z362">
        <v>1464</v>
      </c>
      <c r="AH362">
        <v>0</v>
      </c>
      <c r="AI362">
        <v>202506</v>
      </c>
      <c r="AJ362" t="s">
        <v>168</v>
      </c>
      <c r="AK362">
        <v>1</v>
      </c>
      <c r="AL362">
        <v>1</v>
      </c>
      <c r="AO362">
        <v>0</v>
      </c>
      <c r="AP362">
        <v>999</v>
      </c>
      <c r="AQ362">
        <v>600</v>
      </c>
      <c r="AR362">
        <v>600999</v>
      </c>
      <c r="AS362" t="s">
        <v>52</v>
      </c>
      <c r="AU362" t="s">
        <v>52</v>
      </c>
      <c r="AV362">
        <v>107500</v>
      </c>
      <c r="AW362">
        <v>109625</v>
      </c>
      <c r="AX362">
        <v>110000</v>
      </c>
      <c r="AY362">
        <v>112750</v>
      </c>
      <c r="AZ362">
        <v>120738</v>
      </c>
      <c r="BA362">
        <v>129508.75</v>
      </c>
      <c r="BB362">
        <v>130380</v>
      </c>
      <c r="BC362">
        <v>133610</v>
      </c>
      <c r="BD362">
        <v>133800</v>
      </c>
      <c r="BE362">
        <v>141080</v>
      </c>
      <c r="BF362">
        <v>147500</v>
      </c>
      <c r="BG362">
        <v>155382.03049999999</v>
      </c>
      <c r="BH362">
        <v>165585.11799999999</v>
      </c>
      <c r="BI362">
        <v>166416.67000000001</v>
      </c>
      <c r="BJ362">
        <v>166416.67000000001</v>
      </c>
      <c r="BK362">
        <v>173582.95749999999</v>
      </c>
      <c r="BL362">
        <v>190388.68799999999</v>
      </c>
      <c r="BM362">
        <v>212150</v>
      </c>
      <c r="BN362">
        <v>283513.16900000011</v>
      </c>
      <c r="BO362">
        <v>415377.23</v>
      </c>
      <c r="BP362">
        <v>415377.23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0</v>
      </c>
      <c r="CI362">
        <v>0</v>
      </c>
      <c r="CJ362">
        <v>0</v>
      </c>
      <c r="CK362">
        <v>0</v>
      </c>
    </row>
    <row r="363" spans="1:89" x14ac:dyDescent="0.35">
      <c r="A363">
        <v>360433</v>
      </c>
      <c r="B363" t="s">
        <v>388</v>
      </c>
      <c r="C363" t="s">
        <v>389</v>
      </c>
      <c r="D363" s="1">
        <v>45833</v>
      </c>
      <c r="E363">
        <v>53850</v>
      </c>
      <c r="F363">
        <v>282</v>
      </c>
      <c r="G363" t="s">
        <v>353</v>
      </c>
      <c r="H363" t="s">
        <v>48</v>
      </c>
      <c r="I363" t="s">
        <v>49</v>
      </c>
      <c r="K363" t="s">
        <v>359</v>
      </c>
      <c r="L363">
        <v>2823300001940</v>
      </c>
      <c r="M363">
        <v>20250624</v>
      </c>
      <c r="N363" t="s">
        <v>262</v>
      </c>
      <c r="Q363" t="s">
        <v>58</v>
      </c>
      <c r="R363">
        <v>222000</v>
      </c>
      <c r="S363">
        <v>0</v>
      </c>
      <c r="T363">
        <v>1678407</v>
      </c>
      <c r="U363" t="s">
        <v>720</v>
      </c>
      <c r="V363" t="s">
        <v>721</v>
      </c>
      <c r="W363" t="s">
        <v>50</v>
      </c>
      <c r="Y363" t="s">
        <v>51</v>
      </c>
      <c r="Z363">
        <v>1756</v>
      </c>
      <c r="AH363">
        <v>0</v>
      </c>
      <c r="AI363">
        <v>202506</v>
      </c>
      <c r="AJ363" t="s">
        <v>168</v>
      </c>
      <c r="AK363">
        <v>1</v>
      </c>
      <c r="AL363">
        <v>1</v>
      </c>
      <c r="AO363">
        <v>1</v>
      </c>
      <c r="AP363">
        <v>999</v>
      </c>
      <c r="AQ363">
        <v>600</v>
      </c>
      <c r="AR363">
        <v>600999</v>
      </c>
      <c r="AS363" t="s">
        <v>52</v>
      </c>
      <c r="AU363" t="s">
        <v>52</v>
      </c>
      <c r="AV363">
        <v>107500</v>
      </c>
      <c r="AW363">
        <v>109625</v>
      </c>
      <c r="AX363">
        <v>110000</v>
      </c>
      <c r="AY363">
        <v>112750</v>
      </c>
      <c r="AZ363">
        <v>120738</v>
      </c>
      <c r="BA363">
        <v>129508.75</v>
      </c>
      <c r="BB363">
        <v>130380</v>
      </c>
      <c r="BC363">
        <v>133610</v>
      </c>
      <c r="BD363">
        <v>133800</v>
      </c>
      <c r="BE363">
        <v>141080</v>
      </c>
      <c r="BF363">
        <v>147500</v>
      </c>
      <c r="BG363">
        <v>155382.03049999999</v>
      </c>
      <c r="BH363">
        <v>165585.11799999999</v>
      </c>
      <c r="BI363">
        <v>166416.67000000001</v>
      </c>
      <c r="BJ363">
        <v>166416.67000000001</v>
      </c>
      <c r="BK363">
        <v>173582.95749999999</v>
      </c>
      <c r="BL363">
        <v>190388.68799999999</v>
      </c>
      <c r="BM363">
        <v>212150</v>
      </c>
      <c r="BN363">
        <v>283513.16900000011</v>
      </c>
      <c r="BO363">
        <v>415377.23</v>
      </c>
      <c r="BP363">
        <v>415377.23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0</v>
      </c>
      <c r="CJ363">
        <v>0</v>
      </c>
      <c r="CK363">
        <v>0</v>
      </c>
    </row>
    <row r="364" spans="1:89" x14ac:dyDescent="0.35">
      <c r="A364">
        <v>360426</v>
      </c>
      <c r="B364" t="s">
        <v>388</v>
      </c>
      <c r="C364" t="s">
        <v>389</v>
      </c>
      <c r="D364" s="1">
        <v>45833</v>
      </c>
      <c r="E364">
        <v>53850</v>
      </c>
      <c r="F364">
        <v>171</v>
      </c>
      <c r="G364" t="s">
        <v>70</v>
      </c>
      <c r="H364" t="s">
        <v>48</v>
      </c>
      <c r="I364" t="s">
        <v>49</v>
      </c>
      <c r="K364" t="s">
        <v>359</v>
      </c>
      <c r="L364">
        <v>1713305728950</v>
      </c>
      <c r="M364">
        <v>20250624</v>
      </c>
      <c r="N364" t="s">
        <v>253</v>
      </c>
      <c r="Q364" t="s">
        <v>58</v>
      </c>
      <c r="R364">
        <v>240409.60000000001</v>
      </c>
      <c r="S364">
        <v>240409.60000000001</v>
      </c>
      <c r="T364">
        <v>572895</v>
      </c>
      <c r="U364">
        <v>4161600723</v>
      </c>
      <c r="V364" t="s">
        <v>257</v>
      </c>
      <c r="W364" t="s">
        <v>56</v>
      </c>
      <c r="X364" t="s">
        <v>258</v>
      </c>
      <c r="Y364" t="s">
        <v>51</v>
      </c>
      <c r="Z364">
        <v>1903</v>
      </c>
      <c r="AH364">
        <v>0</v>
      </c>
      <c r="AI364">
        <v>202506</v>
      </c>
      <c r="AJ364" t="s">
        <v>169</v>
      </c>
      <c r="AK364">
        <v>1</v>
      </c>
      <c r="AL364">
        <v>1</v>
      </c>
      <c r="AM364">
        <v>572895</v>
      </c>
      <c r="AN364">
        <v>1</v>
      </c>
      <c r="AO364">
        <v>0</v>
      </c>
      <c r="AP364">
        <v>999</v>
      </c>
      <c r="AQ364">
        <v>430</v>
      </c>
      <c r="AR364">
        <v>430999</v>
      </c>
      <c r="AT364">
        <v>1</v>
      </c>
      <c r="AU364" t="s">
        <v>57</v>
      </c>
      <c r="AV364">
        <v>101552.46</v>
      </c>
      <c r="AW364">
        <v>114647.6485</v>
      </c>
      <c r="AX364">
        <v>118167.008</v>
      </c>
      <c r="AY364">
        <v>123559.05899999999</v>
      </c>
      <c r="AZ364">
        <v>128796.368</v>
      </c>
      <c r="BA364">
        <v>130000</v>
      </c>
      <c r="BB364">
        <v>135819.11300000001</v>
      </c>
      <c r="BC364">
        <v>145008.255</v>
      </c>
      <c r="BD364">
        <v>146226.546</v>
      </c>
      <c r="BE364">
        <v>148171.67300000001</v>
      </c>
      <c r="BF364">
        <v>156533.16500000001</v>
      </c>
      <c r="BG364">
        <v>167340.8915</v>
      </c>
      <c r="BH364">
        <v>179808.78</v>
      </c>
      <c r="BI364">
        <v>187222.14799999999</v>
      </c>
      <c r="BJ364">
        <v>206328.26500000001</v>
      </c>
      <c r="BK364">
        <v>220390.6225</v>
      </c>
      <c r="BL364">
        <v>239280.00000000009</v>
      </c>
      <c r="BM364">
        <v>298738.61</v>
      </c>
      <c r="BN364">
        <v>365407.64500000002</v>
      </c>
      <c r="BO364">
        <v>399465.49400000001</v>
      </c>
      <c r="BP364">
        <v>515709.15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0</v>
      </c>
      <c r="CI364">
        <v>0</v>
      </c>
      <c r="CJ364">
        <v>0</v>
      </c>
      <c r="CK364">
        <v>0</v>
      </c>
    </row>
    <row r="365" spans="1:89" x14ac:dyDescent="0.35">
      <c r="A365">
        <v>360425</v>
      </c>
      <c r="B365" t="s">
        <v>388</v>
      </c>
      <c r="C365" t="s">
        <v>389</v>
      </c>
      <c r="D365" s="1">
        <v>45833</v>
      </c>
      <c r="E365">
        <v>53850</v>
      </c>
      <c r="F365">
        <v>102</v>
      </c>
      <c r="G365" t="s">
        <v>55</v>
      </c>
      <c r="H365" t="s">
        <v>48</v>
      </c>
      <c r="I365" t="s">
        <v>49</v>
      </c>
      <c r="K365">
        <v>202506248121732</v>
      </c>
      <c r="L365">
        <v>1023308724027</v>
      </c>
      <c r="M365">
        <v>20250624</v>
      </c>
      <c r="N365" t="s">
        <v>392</v>
      </c>
      <c r="Q365" t="s">
        <v>58</v>
      </c>
      <c r="R365">
        <v>104422.21</v>
      </c>
      <c r="S365">
        <v>0</v>
      </c>
      <c r="T365">
        <v>4907143</v>
      </c>
      <c r="U365">
        <v>8153900728</v>
      </c>
      <c r="V365" t="s">
        <v>722</v>
      </c>
      <c r="W365" t="s">
        <v>56</v>
      </c>
      <c r="X365" t="s">
        <v>62</v>
      </c>
      <c r="Y365" t="s">
        <v>51</v>
      </c>
      <c r="Z365">
        <v>1203</v>
      </c>
      <c r="AH365">
        <v>0</v>
      </c>
      <c r="AI365">
        <v>202506</v>
      </c>
      <c r="AJ365" t="s">
        <v>168</v>
      </c>
      <c r="AK365">
        <v>1</v>
      </c>
      <c r="AL365">
        <v>1</v>
      </c>
      <c r="AO365">
        <v>0</v>
      </c>
      <c r="AP365">
        <v>412</v>
      </c>
      <c r="AQ365">
        <v>430</v>
      </c>
      <c r="AR365">
        <v>430412</v>
      </c>
      <c r="AS365" t="s">
        <v>61</v>
      </c>
      <c r="AU365" t="s">
        <v>61</v>
      </c>
      <c r="AV365">
        <v>85050</v>
      </c>
      <c r="AW365">
        <v>89030</v>
      </c>
      <c r="AX365">
        <v>91669.203999999998</v>
      </c>
      <c r="AY365">
        <v>93087.394</v>
      </c>
      <c r="AZ365">
        <v>94164.18</v>
      </c>
      <c r="BA365">
        <v>96798.05</v>
      </c>
      <c r="BB365">
        <v>100000</v>
      </c>
      <c r="BC365">
        <v>100000</v>
      </c>
      <c r="BD365">
        <v>101589.726</v>
      </c>
      <c r="BE365">
        <v>106295.712</v>
      </c>
      <c r="BF365">
        <v>110193.28</v>
      </c>
      <c r="BG365">
        <v>119645.424</v>
      </c>
      <c r="BH365">
        <v>127698</v>
      </c>
      <c r="BI365">
        <v>137713.79399999999</v>
      </c>
      <c r="BJ365">
        <v>139806</v>
      </c>
      <c r="BK365">
        <v>150000</v>
      </c>
      <c r="BL365">
        <v>161820.22</v>
      </c>
      <c r="BM365">
        <v>190199.99999999991</v>
      </c>
      <c r="BN365">
        <v>213800</v>
      </c>
      <c r="BO365">
        <v>259913.9999999998</v>
      </c>
      <c r="BP365">
        <v>440000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 x14ac:dyDescent="0.35">
      <c r="A366">
        <v>360421</v>
      </c>
      <c r="B366" t="s">
        <v>388</v>
      </c>
      <c r="C366" t="s">
        <v>389</v>
      </c>
      <c r="D366" s="1">
        <v>45832</v>
      </c>
      <c r="E366">
        <v>53850</v>
      </c>
      <c r="F366">
        <v>149</v>
      </c>
      <c r="G366" t="s">
        <v>84</v>
      </c>
      <c r="H366" t="s">
        <v>48</v>
      </c>
      <c r="I366" t="s">
        <v>49</v>
      </c>
      <c r="K366">
        <v>202506238118950</v>
      </c>
      <c r="L366">
        <v>1493300660770</v>
      </c>
      <c r="M366">
        <v>20250623</v>
      </c>
      <c r="N366" t="s">
        <v>400</v>
      </c>
      <c r="Q366" t="s">
        <v>58</v>
      </c>
      <c r="R366">
        <v>120000</v>
      </c>
      <c r="S366">
        <v>0</v>
      </c>
      <c r="T366">
        <v>4317444</v>
      </c>
      <c r="U366" t="s">
        <v>723</v>
      </c>
      <c r="V366" t="s">
        <v>724</v>
      </c>
      <c r="W366" t="s">
        <v>50</v>
      </c>
      <c r="Y366" t="s">
        <v>51</v>
      </c>
      <c r="Z366">
        <v>1046</v>
      </c>
      <c r="AH366">
        <v>0</v>
      </c>
      <c r="AI366">
        <v>202506</v>
      </c>
      <c r="AJ366" t="s">
        <v>168</v>
      </c>
      <c r="AK366">
        <v>1</v>
      </c>
      <c r="AL366">
        <v>1</v>
      </c>
      <c r="AO366">
        <v>0</v>
      </c>
      <c r="AP366">
        <v>999</v>
      </c>
      <c r="AQ366">
        <v>600</v>
      </c>
      <c r="AR366">
        <v>600999</v>
      </c>
      <c r="AS366" t="s">
        <v>52</v>
      </c>
      <c r="AU366" t="s">
        <v>52</v>
      </c>
      <c r="AV366">
        <v>107500</v>
      </c>
      <c r="AW366">
        <v>109625</v>
      </c>
      <c r="AX366">
        <v>110000</v>
      </c>
      <c r="AY366">
        <v>112750</v>
      </c>
      <c r="AZ366">
        <v>120738</v>
      </c>
      <c r="BA366">
        <v>129508.75</v>
      </c>
      <c r="BB366">
        <v>130380</v>
      </c>
      <c r="BC366">
        <v>133610</v>
      </c>
      <c r="BD366">
        <v>133800</v>
      </c>
      <c r="BE366">
        <v>141080</v>
      </c>
      <c r="BF366">
        <v>147500</v>
      </c>
      <c r="BG366">
        <v>155382.03049999999</v>
      </c>
      <c r="BH366">
        <v>165585.11799999999</v>
      </c>
      <c r="BI366">
        <v>166416.67000000001</v>
      </c>
      <c r="BJ366">
        <v>166416.67000000001</v>
      </c>
      <c r="BK366">
        <v>173582.95749999999</v>
      </c>
      <c r="BL366">
        <v>190388.68799999999</v>
      </c>
      <c r="BM366">
        <v>212150</v>
      </c>
      <c r="BN366">
        <v>283513.16900000011</v>
      </c>
      <c r="BO366">
        <v>415377.23</v>
      </c>
      <c r="BP366">
        <v>415377.23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 x14ac:dyDescent="0.35">
      <c r="A367">
        <v>360420</v>
      </c>
      <c r="B367" t="s">
        <v>388</v>
      </c>
      <c r="C367" t="s">
        <v>389</v>
      </c>
      <c r="D367" s="1">
        <v>45832</v>
      </c>
      <c r="E367">
        <v>53850</v>
      </c>
      <c r="F367">
        <v>116</v>
      </c>
      <c r="G367" t="s">
        <v>259</v>
      </c>
      <c r="H367" t="s">
        <v>48</v>
      </c>
      <c r="I367" t="s">
        <v>49</v>
      </c>
      <c r="K367" t="s">
        <v>360</v>
      </c>
      <c r="L367">
        <v>1163307623465</v>
      </c>
      <c r="M367">
        <v>20250623</v>
      </c>
      <c r="N367" t="s">
        <v>262</v>
      </c>
      <c r="Q367" t="s">
        <v>58</v>
      </c>
      <c r="R367">
        <v>90000</v>
      </c>
      <c r="S367">
        <v>0</v>
      </c>
      <c r="T367">
        <v>3738297</v>
      </c>
      <c r="U367">
        <v>8684570727</v>
      </c>
      <c r="V367" t="s">
        <v>438</v>
      </c>
      <c r="W367" t="s">
        <v>56</v>
      </c>
      <c r="X367" t="s">
        <v>62</v>
      </c>
      <c r="Y367" t="s">
        <v>51</v>
      </c>
      <c r="Z367">
        <v>739</v>
      </c>
      <c r="AH367">
        <v>0</v>
      </c>
      <c r="AI367">
        <v>202506</v>
      </c>
      <c r="AJ367" t="s">
        <v>168</v>
      </c>
      <c r="AK367">
        <v>1</v>
      </c>
      <c r="AL367">
        <v>1</v>
      </c>
      <c r="AO367">
        <v>1</v>
      </c>
      <c r="AP367">
        <v>412</v>
      </c>
      <c r="AQ367">
        <v>430</v>
      </c>
      <c r="AR367">
        <v>430412</v>
      </c>
      <c r="AS367" t="s">
        <v>61</v>
      </c>
      <c r="AU367" t="s">
        <v>61</v>
      </c>
      <c r="AV367">
        <v>85050</v>
      </c>
      <c r="AW367">
        <v>89030</v>
      </c>
      <c r="AX367">
        <v>91669.203999999998</v>
      </c>
      <c r="AY367">
        <v>93087.394</v>
      </c>
      <c r="AZ367">
        <v>94164.18</v>
      </c>
      <c r="BA367">
        <v>96798.05</v>
      </c>
      <c r="BB367">
        <v>100000</v>
      </c>
      <c r="BC367">
        <v>100000</v>
      </c>
      <c r="BD367">
        <v>101589.726</v>
      </c>
      <c r="BE367">
        <v>106295.712</v>
      </c>
      <c r="BF367">
        <v>110193.28</v>
      </c>
      <c r="BG367">
        <v>119645.424</v>
      </c>
      <c r="BH367">
        <v>127698</v>
      </c>
      <c r="BI367">
        <v>137713.79399999999</v>
      </c>
      <c r="BJ367">
        <v>139806</v>
      </c>
      <c r="BK367">
        <v>150000</v>
      </c>
      <c r="BL367">
        <v>161820.22</v>
      </c>
      <c r="BM367">
        <v>190199.99999999991</v>
      </c>
      <c r="BN367">
        <v>213800</v>
      </c>
      <c r="BO367">
        <v>259913.9999999998</v>
      </c>
      <c r="BP367">
        <v>440000</v>
      </c>
      <c r="BQ367">
        <v>1</v>
      </c>
      <c r="BR367">
        <v>1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 x14ac:dyDescent="0.35">
      <c r="A368">
        <v>360413</v>
      </c>
      <c r="B368" t="s">
        <v>388</v>
      </c>
      <c r="C368" t="s">
        <v>389</v>
      </c>
      <c r="D368" s="1">
        <v>45832</v>
      </c>
      <c r="E368">
        <v>53850</v>
      </c>
      <c r="F368">
        <v>182</v>
      </c>
      <c r="G368" t="s">
        <v>284</v>
      </c>
      <c r="H368" t="s">
        <v>48</v>
      </c>
      <c r="I368" t="s">
        <v>49</v>
      </c>
      <c r="K368" t="s">
        <v>360</v>
      </c>
      <c r="L368">
        <v>1823300169301</v>
      </c>
      <c r="M368">
        <v>20250623</v>
      </c>
      <c r="N368" t="s">
        <v>253</v>
      </c>
      <c r="Q368" t="s">
        <v>58</v>
      </c>
      <c r="R368">
        <v>44685</v>
      </c>
      <c r="S368">
        <v>44685</v>
      </c>
      <c r="T368">
        <v>4284957</v>
      </c>
      <c r="U368" t="s">
        <v>285</v>
      </c>
      <c r="V368" t="s">
        <v>286</v>
      </c>
      <c r="W368" t="s">
        <v>66</v>
      </c>
      <c r="X368" t="s">
        <v>255</v>
      </c>
      <c r="Y368" t="s">
        <v>51</v>
      </c>
      <c r="Z368">
        <v>1656</v>
      </c>
      <c r="AH368">
        <v>0</v>
      </c>
      <c r="AI368">
        <v>202506</v>
      </c>
      <c r="AJ368" t="s">
        <v>169</v>
      </c>
      <c r="AK368">
        <v>1</v>
      </c>
      <c r="AL368">
        <v>1</v>
      </c>
      <c r="AM368">
        <v>4284957</v>
      </c>
      <c r="AN368">
        <v>1</v>
      </c>
      <c r="AO368">
        <v>0</v>
      </c>
      <c r="AP368">
        <v>920</v>
      </c>
      <c r="AQ368">
        <v>615</v>
      </c>
      <c r="AR368">
        <v>615920</v>
      </c>
      <c r="AS368" t="s">
        <v>270</v>
      </c>
      <c r="AU368" t="s">
        <v>270</v>
      </c>
      <c r="AV368">
        <v>37615</v>
      </c>
      <c r="AW368">
        <v>38129.25</v>
      </c>
      <c r="AX368">
        <v>38617</v>
      </c>
      <c r="AY368">
        <v>38985.5</v>
      </c>
      <c r="AZ368">
        <v>39276</v>
      </c>
      <c r="BA368">
        <v>39430</v>
      </c>
      <c r="BB368">
        <v>39650</v>
      </c>
      <c r="BC368">
        <v>39925</v>
      </c>
      <c r="BD368">
        <v>40004</v>
      </c>
      <c r="BE368">
        <v>40009.5</v>
      </c>
      <c r="BF368">
        <v>40505</v>
      </c>
      <c r="BG368">
        <v>41243.25</v>
      </c>
      <c r="BH368">
        <v>43919</v>
      </c>
      <c r="BI368">
        <v>46035.25</v>
      </c>
      <c r="BJ368">
        <v>46659.5</v>
      </c>
      <c r="BK368">
        <v>48836.25</v>
      </c>
      <c r="BL368">
        <v>52876.000000000007</v>
      </c>
      <c r="BM368">
        <v>56324.25</v>
      </c>
      <c r="BN368">
        <v>59434.5</v>
      </c>
      <c r="BO368">
        <v>63675.005999999987</v>
      </c>
      <c r="BP368">
        <v>68166.679999999993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 x14ac:dyDescent="0.35">
      <c r="A369">
        <v>360397</v>
      </c>
      <c r="B369" t="s">
        <v>388</v>
      </c>
      <c r="C369" t="s">
        <v>389</v>
      </c>
      <c r="D369" s="1">
        <v>45832</v>
      </c>
      <c r="E369">
        <v>53850</v>
      </c>
      <c r="F369">
        <v>128</v>
      </c>
      <c r="G369" t="s">
        <v>274</v>
      </c>
      <c r="H369" t="s">
        <v>48</v>
      </c>
      <c r="I369" t="s">
        <v>49</v>
      </c>
      <c r="K369" t="s">
        <v>360</v>
      </c>
      <c r="L369">
        <v>1283300001665</v>
      </c>
      <c r="M369">
        <v>20250623</v>
      </c>
      <c r="N369" t="s">
        <v>262</v>
      </c>
      <c r="Q369" t="s">
        <v>58</v>
      </c>
      <c r="R369">
        <v>209603.69</v>
      </c>
      <c r="S369">
        <v>4200</v>
      </c>
      <c r="T369">
        <v>4254896</v>
      </c>
      <c r="U369">
        <v>6234730726</v>
      </c>
      <c r="V369" t="s">
        <v>410</v>
      </c>
      <c r="W369" t="s">
        <v>56</v>
      </c>
      <c r="X369" t="s">
        <v>411</v>
      </c>
      <c r="Y369" t="s">
        <v>51</v>
      </c>
      <c r="Z369">
        <v>1919</v>
      </c>
      <c r="AH369">
        <v>0</v>
      </c>
      <c r="AI369">
        <v>202506</v>
      </c>
      <c r="AJ369" t="s">
        <v>168</v>
      </c>
      <c r="AK369">
        <v>1</v>
      </c>
      <c r="AL369">
        <v>1</v>
      </c>
      <c r="AO369">
        <v>1</v>
      </c>
      <c r="AP369">
        <v>999</v>
      </c>
      <c r="AQ369">
        <v>430</v>
      </c>
      <c r="AR369">
        <v>430999</v>
      </c>
      <c r="AT369">
        <v>1</v>
      </c>
      <c r="AU369" t="s">
        <v>57</v>
      </c>
      <c r="AV369">
        <v>101552.46</v>
      </c>
      <c r="AW369">
        <v>114647.6485</v>
      </c>
      <c r="AX369">
        <v>118167.008</v>
      </c>
      <c r="AY369">
        <v>123559.05899999999</v>
      </c>
      <c r="AZ369">
        <v>128796.368</v>
      </c>
      <c r="BA369">
        <v>130000</v>
      </c>
      <c r="BB369">
        <v>135819.11300000001</v>
      </c>
      <c r="BC369">
        <v>145008.255</v>
      </c>
      <c r="BD369">
        <v>146226.546</v>
      </c>
      <c r="BE369">
        <v>148171.67300000001</v>
      </c>
      <c r="BF369">
        <v>156533.16500000001</v>
      </c>
      <c r="BG369">
        <v>167340.8915</v>
      </c>
      <c r="BH369">
        <v>179808.78</v>
      </c>
      <c r="BI369">
        <v>187222.14799999999</v>
      </c>
      <c r="BJ369">
        <v>206328.26500000001</v>
      </c>
      <c r="BK369">
        <v>220390.6225</v>
      </c>
      <c r="BL369">
        <v>239280.00000000009</v>
      </c>
      <c r="BM369">
        <v>298738.61</v>
      </c>
      <c r="BN369">
        <v>365407.64500000002</v>
      </c>
      <c r="BO369">
        <v>399465.49400000001</v>
      </c>
      <c r="BP369">
        <v>515709.15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 x14ac:dyDescent="0.35">
      <c r="A370">
        <v>360394</v>
      </c>
      <c r="B370" t="s">
        <v>388</v>
      </c>
      <c r="C370" t="s">
        <v>389</v>
      </c>
      <c r="D370" s="1">
        <v>45832</v>
      </c>
      <c r="E370">
        <v>53850</v>
      </c>
      <c r="F370">
        <v>129</v>
      </c>
      <c r="G370" t="s">
        <v>283</v>
      </c>
      <c r="H370" t="s">
        <v>48</v>
      </c>
      <c r="I370" t="s">
        <v>49</v>
      </c>
      <c r="K370" t="s">
        <v>360</v>
      </c>
      <c r="L370">
        <v>1293300001331</v>
      </c>
      <c r="M370">
        <v>20250623</v>
      </c>
      <c r="N370" t="s">
        <v>262</v>
      </c>
      <c r="Q370" t="s">
        <v>58</v>
      </c>
      <c r="R370">
        <v>143056.84</v>
      </c>
      <c r="S370">
        <v>17050</v>
      </c>
      <c r="T370">
        <v>456478</v>
      </c>
      <c r="U370">
        <v>1161370729</v>
      </c>
      <c r="V370" t="s">
        <v>725</v>
      </c>
      <c r="W370" t="s">
        <v>56</v>
      </c>
      <c r="X370" t="s">
        <v>264</v>
      </c>
      <c r="Y370" t="s">
        <v>51</v>
      </c>
      <c r="Z370">
        <v>1058</v>
      </c>
      <c r="AH370">
        <v>0</v>
      </c>
      <c r="AI370">
        <v>202506</v>
      </c>
      <c r="AJ370" t="s">
        <v>168</v>
      </c>
      <c r="AK370">
        <v>1</v>
      </c>
      <c r="AL370">
        <v>1</v>
      </c>
      <c r="AO370">
        <v>1</v>
      </c>
      <c r="AP370">
        <v>999</v>
      </c>
      <c r="AQ370">
        <v>430</v>
      </c>
      <c r="AR370">
        <v>430999</v>
      </c>
      <c r="AT370">
        <v>1</v>
      </c>
      <c r="AU370" t="s">
        <v>57</v>
      </c>
      <c r="AV370">
        <v>101552.46</v>
      </c>
      <c r="AW370">
        <v>114647.6485</v>
      </c>
      <c r="AX370">
        <v>118167.008</v>
      </c>
      <c r="AY370">
        <v>123559.05899999999</v>
      </c>
      <c r="AZ370">
        <v>128796.368</v>
      </c>
      <c r="BA370">
        <v>130000</v>
      </c>
      <c r="BB370">
        <v>135819.11300000001</v>
      </c>
      <c r="BC370">
        <v>145008.255</v>
      </c>
      <c r="BD370">
        <v>146226.546</v>
      </c>
      <c r="BE370">
        <v>148171.67300000001</v>
      </c>
      <c r="BF370">
        <v>156533.16500000001</v>
      </c>
      <c r="BG370">
        <v>167340.8915</v>
      </c>
      <c r="BH370">
        <v>179808.78</v>
      </c>
      <c r="BI370">
        <v>187222.14799999999</v>
      </c>
      <c r="BJ370">
        <v>206328.26500000001</v>
      </c>
      <c r="BK370">
        <v>220390.6225</v>
      </c>
      <c r="BL370">
        <v>239280.00000000009</v>
      </c>
      <c r="BM370">
        <v>298738.61</v>
      </c>
      <c r="BN370">
        <v>365407.64500000002</v>
      </c>
      <c r="BO370">
        <v>399465.49400000001</v>
      </c>
      <c r="BP370">
        <v>515709.15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 x14ac:dyDescent="0.35">
      <c r="A371">
        <v>360389</v>
      </c>
      <c r="B371" t="s">
        <v>388</v>
      </c>
      <c r="C371" t="s">
        <v>389</v>
      </c>
      <c r="D371" s="1">
        <v>45832</v>
      </c>
      <c r="E371">
        <v>53850</v>
      </c>
      <c r="F371">
        <v>171</v>
      </c>
      <c r="G371" t="s">
        <v>70</v>
      </c>
      <c r="H371" t="s">
        <v>48</v>
      </c>
      <c r="I371" t="s">
        <v>49</v>
      </c>
      <c r="K371" t="s">
        <v>360</v>
      </c>
      <c r="L371">
        <v>1713305728950</v>
      </c>
      <c r="M371">
        <v>20250623</v>
      </c>
      <c r="N371" t="s">
        <v>253</v>
      </c>
      <c r="Q371" t="s">
        <v>58</v>
      </c>
      <c r="R371">
        <v>371309.34</v>
      </c>
      <c r="S371">
        <v>371309.34</v>
      </c>
      <c r="T371">
        <v>572895</v>
      </c>
      <c r="U371">
        <v>4161600723</v>
      </c>
      <c r="V371" t="s">
        <v>257</v>
      </c>
      <c r="W371" t="s">
        <v>56</v>
      </c>
      <c r="X371" t="s">
        <v>258</v>
      </c>
      <c r="Y371" t="s">
        <v>51</v>
      </c>
      <c r="Z371">
        <v>1903</v>
      </c>
      <c r="AH371">
        <v>0</v>
      </c>
      <c r="AI371">
        <v>202506</v>
      </c>
      <c r="AJ371" t="s">
        <v>169</v>
      </c>
      <c r="AK371">
        <v>1</v>
      </c>
      <c r="AL371">
        <v>1</v>
      </c>
      <c r="AM371">
        <v>572895</v>
      </c>
      <c r="AN371">
        <v>1</v>
      </c>
      <c r="AO371">
        <v>0</v>
      </c>
      <c r="AP371">
        <v>999</v>
      </c>
      <c r="AQ371">
        <v>430</v>
      </c>
      <c r="AR371">
        <v>430999</v>
      </c>
      <c r="AT371">
        <v>1</v>
      </c>
      <c r="AU371" t="s">
        <v>57</v>
      </c>
      <c r="AV371">
        <v>101552.46</v>
      </c>
      <c r="AW371">
        <v>114647.6485</v>
      </c>
      <c r="AX371">
        <v>118167.008</v>
      </c>
      <c r="AY371">
        <v>123559.05899999999</v>
      </c>
      <c r="AZ371">
        <v>128796.368</v>
      </c>
      <c r="BA371">
        <v>130000</v>
      </c>
      <c r="BB371">
        <v>135819.11300000001</v>
      </c>
      <c r="BC371">
        <v>145008.255</v>
      </c>
      <c r="BD371">
        <v>146226.546</v>
      </c>
      <c r="BE371">
        <v>148171.67300000001</v>
      </c>
      <c r="BF371">
        <v>156533.16500000001</v>
      </c>
      <c r="BG371">
        <v>167340.8915</v>
      </c>
      <c r="BH371">
        <v>179808.78</v>
      </c>
      <c r="BI371">
        <v>187222.14799999999</v>
      </c>
      <c r="BJ371">
        <v>206328.26500000001</v>
      </c>
      <c r="BK371">
        <v>220390.6225</v>
      </c>
      <c r="BL371">
        <v>239280.00000000009</v>
      </c>
      <c r="BM371">
        <v>298738.61</v>
      </c>
      <c r="BN371">
        <v>365407.64500000002</v>
      </c>
      <c r="BO371">
        <v>399465.49400000001</v>
      </c>
      <c r="BP371">
        <v>515709.15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0</v>
      </c>
      <c r="CK371">
        <v>0</v>
      </c>
    </row>
    <row r="372" spans="1:89" x14ac:dyDescent="0.35">
      <c r="A372">
        <v>360384</v>
      </c>
      <c r="B372" t="s">
        <v>388</v>
      </c>
      <c r="C372" t="s">
        <v>389</v>
      </c>
      <c r="D372" s="1">
        <v>45832</v>
      </c>
      <c r="E372">
        <v>53850</v>
      </c>
      <c r="F372">
        <v>114</v>
      </c>
      <c r="G372" t="s">
        <v>267</v>
      </c>
      <c r="H372" t="s">
        <v>48</v>
      </c>
      <c r="I372" t="s">
        <v>49</v>
      </c>
      <c r="K372" t="s">
        <v>360</v>
      </c>
      <c r="L372">
        <v>1143306280621</v>
      </c>
      <c r="M372">
        <v>20250623</v>
      </c>
      <c r="N372" t="s">
        <v>265</v>
      </c>
      <c r="Q372" t="s">
        <v>58</v>
      </c>
      <c r="R372">
        <v>93700</v>
      </c>
      <c r="S372">
        <v>93700</v>
      </c>
      <c r="T372">
        <v>4658875</v>
      </c>
      <c r="U372">
        <v>3230890711</v>
      </c>
      <c r="V372" t="s">
        <v>324</v>
      </c>
      <c r="W372" t="s">
        <v>56</v>
      </c>
      <c r="X372" t="s">
        <v>80</v>
      </c>
      <c r="Y372" t="s">
        <v>51</v>
      </c>
      <c r="Z372">
        <v>870</v>
      </c>
      <c r="AH372">
        <v>0</v>
      </c>
      <c r="AI372">
        <v>202506</v>
      </c>
      <c r="AJ372" t="s">
        <v>63</v>
      </c>
      <c r="AK372">
        <v>0</v>
      </c>
      <c r="AL372">
        <v>1</v>
      </c>
      <c r="AM372">
        <v>4658875</v>
      </c>
      <c r="AN372">
        <v>1</v>
      </c>
      <c r="AO372">
        <v>0</v>
      </c>
      <c r="AP372">
        <v>477</v>
      </c>
      <c r="AQ372">
        <v>430</v>
      </c>
      <c r="AR372">
        <v>430477</v>
      </c>
      <c r="AS372" t="s">
        <v>61</v>
      </c>
      <c r="AU372" t="s">
        <v>61</v>
      </c>
      <c r="AV372">
        <v>85050</v>
      </c>
      <c r="AW372">
        <v>89030</v>
      </c>
      <c r="AX372">
        <v>91669.203999999998</v>
      </c>
      <c r="AY372">
        <v>93087.394</v>
      </c>
      <c r="AZ372">
        <v>94164.18</v>
      </c>
      <c r="BA372">
        <v>96798.05</v>
      </c>
      <c r="BB372">
        <v>100000</v>
      </c>
      <c r="BC372">
        <v>100000</v>
      </c>
      <c r="BD372">
        <v>101589.726</v>
      </c>
      <c r="BE372">
        <v>106295.712</v>
      </c>
      <c r="BF372">
        <v>110193.28</v>
      </c>
      <c r="BG372">
        <v>119645.424</v>
      </c>
      <c r="BH372">
        <v>127698</v>
      </c>
      <c r="BI372">
        <v>137713.79399999999</v>
      </c>
      <c r="BJ372">
        <v>139806</v>
      </c>
      <c r="BK372">
        <v>150000</v>
      </c>
      <c r="BL372">
        <v>161820.22</v>
      </c>
      <c r="BM372">
        <v>190199.99999999991</v>
      </c>
      <c r="BN372">
        <v>213800</v>
      </c>
      <c r="BO372">
        <v>259913.9999999998</v>
      </c>
      <c r="BP372">
        <v>440000</v>
      </c>
      <c r="BQ372">
        <v>1</v>
      </c>
      <c r="BR372">
        <v>1</v>
      </c>
      <c r="BS372">
        <v>1</v>
      </c>
      <c r="BT372">
        <v>1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 x14ac:dyDescent="0.35">
      <c r="A373">
        <v>360379</v>
      </c>
      <c r="B373" t="s">
        <v>388</v>
      </c>
      <c r="C373" t="s">
        <v>389</v>
      </c>
      <c r="D373" s="1">
        <v>45832</v>
      </c>
      <c r="E373">
        <v>53850</v>
      </c>
      <c r="F373">
        <v>267</v>
      </c>
      <c r="G373" t="s">
        <v>170</v>
      </c>
      <c r="H373" t="s">
        <v>48</v>
      </c>
      <c r="I373" t="s">
        <v>49</v>
      </c>
      <c r="K373" t="s">
        <v>360</v>
      </c>
      <c r="L373">
        <v>2673300003600</v>
      </c>
      <c r="M373">
        <v>20250623</v>
      </c>
      <c r="N373" t="s">
        <v>262</v>
      </c>
      <c r="Q373" t="s">
        <v>58</v>
      </c>
      <c r="R373">
        <v>121088</v>
      </c>
      <c r="S373">
        <v>120000</v>
      </c>
      <c r="T373">
        <v>1705101</v>
      </c>
      <c r="U373">
        <v>2896870793</v>
      </c>
      <c r="V373" t="s">
        <v>288</v>
      </c>
      <c r="W373" t="s">
        <v>64</v>
      </c>
      <c r="X373" t="s">
        <v>258</v>
      </c>
      <c r="Y373" t="s">
        <v>51</v>
      </c>
      <c r="Z373">
        <v>1878</v>
      </c>
      <c r="AH373">
        <v>0</v>
      </c>
      <c r="AI373">
        <v>202506</v>
      </c>
      <c r="AJ373" t="s">
        <v>169</v>
      </c>
      <c r="AK373">
        <v>1</v>
      </c>
      <c r="AL373">
        <v>1</v>
      </c>
      <c r="AM373">
        <v>1705101</v>
      </c>
      <c r="AN373">
        <v>1</v>
      </c>
      <c r="AO373">
        <v>1</v>
      </c>
      <c r="AP373">
        <v>999</v>
      </c>
      <c r="AQ373">
        <v>492</v>
      </c>
      <c r="AR373">
        <v>492999</v>
      </c>
      <c r="AT373">
        <v>1</v>
      </c>
      <c r="AU373" t="s">
        <v>272</v>
      </c>
      <c r="AV373">
        <v>98000</v>
      </c>
      <c r="AW373">
        <v>98368.7</v>
      </c>
      <c r="AX373">
        <v>98737.4</v>
      </c>
      <c r="AY373">
        <v>99106.1</v>
      </c>
      <c r="AZ373">
        <v>99955</v>
      </c>
      <c r="BA373">
        <v>101044</v>
      </c>
      <c r="BB373">
        <v>102133</v>
      </c>
      <c r="BC373">
        <v>103273.1</v>
      </c>
      <c r="BD373">
        <v>104515.4</v>
      </c>
      <c r="BE373">
        <v>105757.7</v>
      </c>
      <c r="BF373">
        <v>107000</v>
      </c>
      <c r="BG373">
        <v>109400</v>
      </c>
      <c r="BH373">
        <v>111800</v>
      </c>
      <c r="BI373">
        <v>114200</v>
      </c>
      <c r="BJ373">
        <v>118800</v>
      </c>
      <c r="BK373">
        <v>124500</v>
      </c>
      <c r="BL373">
        <v>130200</v>
      </c>
      <c r="BM373">
        <v>151054.99999999991</v>
      </c>
      <c r="BN373">
        <v>202220.00000000009</v>
      </c>
      <c r="BO373">
        <v>253384.99999999991</v>
      </c>
      <c r="BP373">
        <v>304550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 x14ac:dyDescent="0.35">
      <c r="A374">
        <v>360377</v>
      </c>
      <c r="B374" t="s">
        <v>388</v>
      </c>
      <c r="C374" t="s">
        <v>389</v>
      </c>
      <c r="D374" s="1">
        <v>45832</v>
      </c>
      <c r="E374">
        <v>53850</v>
      </c>
      <c r="F374">
        <v>161</v>
      </c>
      <c r="G374" t="s">
        <v>95</v>
      </c>
      <c r="H374" t="s">
        <v>48</v>
      </c>
      <c r="I374" t="s">
        <v>49</v>
      </c>
      <c r="K374" t="s">
        <v>360</v>
      </c>
      <c r="L374">
        <v>1613300029653</v>
      </c>
      <c r="M374">
        <v>20250623</v>
      </c>
      <c r="N374" t="s">
        <v>262</v>
      </c>
      <c r="Q374" t="s">
        <v>58</v>
      </c>
      <c r="R374">
        <v>136718.03</v>
      </c>
      <c r="S374">
        <v>8500</v>
      </c>
      <c r="T374">
        <v>4088769</v>
      </c>
      <c r="U374">
        <v>5150120722</v>
      </c>
      <c r="V374" t="s">
        <v>407</v>
      </c>
      <c r="W374" t="s">
        <v>56</v>
      </c>
      <c r="X374" t="s">
        <v>78</v>
      </c>
      <c r="Y374" t="s">
        <v>51</v>
      </c>
      <c r="Z374">
        <v>1903</v>
      </c>
      <c r="AH374">
        <v>0</v>
      </c>
      <c r="AI374">
        <v>202506</v>
      </c>
      <c r="AJ374" t="s">
        <v>63</v>
      </c>
      <c r="AK374">
        <v>0</v>
      </c>
      <c r="AL374">
        <v>1</v>
      </c>
      <c r="AM374">
        <v>4088769</v>
      </c>
      <c r="AN374">
        <v>1</v>
      </c>
      <c r="AO374">
        <v>1</v>
      </c>
      <c r="AP374">
        <v>464</v>
      </c>
      <c r="AQ374">
        <v>430</v>
      </c>
      <c r="AR374">
        <v>430464</v>
      </c>
      <c r="AS374" t="s">
        <v>79</v>
      </c>
      <c r="AU374" t="s">
        <v>79</v>
      </c>
      <c r="AV374">
        <v>76382.789999999994</v>
      </c>
      <c r="AW374">
        <v>79891.56</v>
      </c>
      <c r="AX374">
        <v>79937.08</v>
      </c>
      <c r="AY374">
        <v>88865.89</v>
      </c>
      <c r="AZ374">
        <v>94634.78</v>
      </c>
      <c r="BA374">
        <v>97229.53</v>
      </c>
      <c r="BB374">
        <v>98360.01</v>
      </c>
      <c r="BC374">
        <v>100000</v>
      </c>
      <c r="BD374">
        <v>104738.68</v>
      </c>
      <c r="BE374">
        <v>108176.82</v>
      </c>
      <c r="BF374">
        <v>110891.36</v>
      </c>
      <c r="BG374">
        <v>115427.47</v>
      </c>
      <c r="BH374">
        <v>118009.65</v>
      </c>
      <c r="BI374">
        <v>136718.03</v>
      </c>
      <c r="BJ374">
        <v>148758.49</v>
      </c>
      <c r="BK374">
        <v>182944.14</v>
      </c>
      <c r="BL374">
        <v>217448.27</v>
      </c>
      <c r="BM374">
        <v>222704.65</v>
      </c>
      <c r="BN374">
        <v>225130.1</v>
      </c>
      <c r="BO374">
        <v>259946.2</v>
      </c>
      <c r="BP374">
        <v>270019.89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 x14ac:dyDescent="0.35">
      <c r="A375">
        <v>360368</v>
      </c>
      <c r="B375" t="s">
        <v>388</v>
      </c>
      <c r="C375" t="s">
        <v>389</v>
      </c>
      <c r="D375" s="1">
        <v>45832</v>
      </c>
      <c r="E375">
        <v>53850</v>
      </c>
      <c r="F375">
        <v>110</v>
      </c>
      <c r="G375" t="s">
        <v>81</v>
      </c>
      <c r="H375" t="s">
        <v>48</v>
      </c>
      <c r="I375" t="s">
        <v>49</v>
      </c>
      <c r="K375" t="s">
        <v>360</v>
      </c>
      <c r="L375">
        <v>1103305351090</v>
      </c>
      <c r="M375">
        <v>20250623</v>
      </c>
      <c r="N375" t="s">
        <v>400</v>
      </c>
      <c r="Q375" t="s">
        <v>58</v>
      </c>
      <c r="R375">
        <v>387880</v>
      </c>
      <c r="S375">
        <v>0</v>
      </c>
      <c r="T375">
        <v>535109</v>
      </c>
      <c r="U375">
        <v>854500725</v>
      </c>
      <c r="V375" t="s">
        <v>726</v>
      </c>
      <c r="W375" t="s">
        <v>56</v>
      </c>
      <c r="X375" t="s">
        <v>686</v>
      </c>
      <c r="Y375" t="s">
        <v>51</v>
      </c>
      <c r="Z375">
        <v>746</v>
      </c>
      <c r="AH375">
        <v>0</v>
      </c>
      <c r="AI375">
        <v>202506</v>
      </c>
      <c r="AJ375" t="s">
        <v>168</v>
      </c>
      <c r="AK375">
        <v>1</v>
      </c>
      <c r="AL375">
        <v>1</v>
      </c>
      <c r="AO375">
        <v>0</v>
      </c>
      <c r="AP375">
        <v>431</v>
      </c>
      <c r="AQ375">
        <v>430</v>
      </c>
      <c r="AR375">
        <v>430431</v>
      </c>
      <c r="AS375" t="s">
        <v>61</v>
      </c>
      <c r="AU375" t="s">
        <v>61</v>
      </c>
      <c r="AV375">
        <v>85050</v>
      </c>
      <c r="AW375">
        <v>89030</v>
      </c>
      <c r="AX375">
        <v>91669.203999999998</v>
      </c>
      <c r="AY375">
        <v>93087.394</v>
      </c>
      <c r="AZ375">
        <v>94164.18</v>
      </c>
      <c r="BA375">
        <v>96798.05</v>
      </c>
      <c r="BB375">
        <v>100000</v>
      </c>
      <c r="BC375">
        <v>100000</v>
      </c>
      <c r="BD375">
        <v>101589.726</v>
      </c>
      <c r="BE375">
        <v>106295.712</v>
      </c>
      <c r="BF375">
        <v>110193.28</v>
      </c>
      <c r="BG375">
        <v>119645.424</v>
      </c>
      <c r="BH375">
        <v>127698</v>
      </c>
      <c r="BI375">
        <v>137713.79399999999</v>
      </c>
      <c r="BJ375">
        <v>139806</v>
      </c>
      <c r="BK375">
        <v>150000</v>
      </c>
      <c r="BL375">
        <v>161820.22</v>
      </c>
      <c r="BM375">
        <v>190199.99999999991</v>
      </c>
      <c r="BN375">
        <v>213800</v>
      </c>
      <c r="BO375">
        <v>259913.9999999998</v>
      </c>
      <c r="BP375">
        <v>440000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0</v>
      </c>
    </row>
    <row r="376" spans="1:89" x14ac:dyDescent="0.35">
      <c r="A376">
        <v>360364</v>
      </c>
      <c r="B376" t="s">
        <v>388</v>
      </c>
      <c r="C376" t="s">
        <v>389</v>
      </c>
      <c r="D376" s="1">
        <v>45832</v>
      </c>
      <c r="E376">
        <v>53850</v>
      </c>
      <c r="F376">
        <v>128</v>
      </c>
      <c r="G376" t="s">
        <v>274</v>
      </c>
      <c r="H376" t="s">
        <v>48</v>
      </c>
      <c r="I376" t="s">
        <v>49</v>
      </c>
      <c r="K376" t="s">
        <v>360</v>
      </c>
      <c r="L376">
        <v>1093306672844</v>
      </c>
      <c r="M376">
        <v>20250623</v>
      </c>
      <c r="N376" t="s">
        <v>262</v>
      </c>
      <c r="Q376" t="s">
        <v>58</v>
      </c>
      <c r="R376">
        <v>95838.54</v>
      </c>
      <c r="S376">
        <v>7300</v>
      </c>
      <c r="T376">
        <v>440311</v>
      </c>
      <c r="U376">
        <v>3550290724</v>
      </c>
      <c r="V376" t="s">
        <v>237</v>
      </c>
      <c r="W376" t="s">
        <v>56</v>
      </c>
      <c r="X376" t="s">
        <v>238</v>
      </c>
      <c r="Y376" t="s">
        <v>51</v>
      </c>
      <c r="Z376">
        <v>1903</v>
      </c>
      <c r="AH376">
        <v>0</v>
      </c>
      <c r="AI376">
        <v>202506</v>
      </c>
      <c r="AJ376" t="s">
        <v>169</v>
      </c>
      <c r="AK376">
        <v>1</v>
      </c>
      <c r="AL376">
        <v>1</v>
      </c>
      <c r="AM376">
        <v>440311</v>
      </c>
      <c r="AN376">
        <v>1</v>
      </c>
      <c r="AO376">
        <v>1</v>
      </c>
      <c r="AP376">
        <v>451</v>
      </c>
      <c r="AQ376">
        <v>430</v>
      </c>
      <c r="AR376">
        <v>430451</v>
      </c>
      <c r="AS376" t="s">
        <v>61</v>
      </c>
      <c r="AU376" t="s">
        <v>61</v>
      </c>
      <c r="AV376">
        <v>85050</v>
      </c>
      <c r="AW376">
        <v>89030</v>
      </c>
      <c r="AX376">
        <v>91669.203999999998</v>
      </c>
      <c r="AY376">
        <v>93087.394</v>
      </c>
      <c r="AZ376">
        <v>94164.18</v>
      </c>
      <c r="BA376">
        <v>96798.05</v>
      </c>
      <c r="BB376">
        <v>100000</v>
      </c>
      <c r="BC376">
        <v>100000</v>
      </c>
      <c r="BD376">
        <v>101589.726</v>
      </c>
      <c r="BE376">
        <v>106295.712</v>
      </c>
      <c r="BF376">
        <v>110193.28</v>
      </c>
      <c r="BG376">
        <v>119645.424</v>
      </c>
      <c r="BH376">
        <v>127698</v>
      </c>
      <c r="BI376">
        <v>137713.79399999999</v>
      </c>
      <c r="BJ376">
        <v>139806</v>
      </c>
      <c r="BK376">
        <v>150000</v>
      </c>
      <c r="BL376">
        <v>161820.22</v>
      </c>
      <c r="BM376">
        <v>190199.99999999991</v>
      </c>
      <c r="BN376">
        <v>213800</v>
      </c>
      <c r="BO376">
        <v>259913.9999999998</v>
      </c>
      <c r="BP376">
        <v>440000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 x14ac:dyDescent="0.35">
      <c r="A377">
        <v>360362</v>
      </c>
      <c r="B377" t="s">
        <v>388</v>
      </c>
      <c r="C377" t="s">
        <v>389</v>
      </c>
      <c r="D377" s="1">
        <v>45832</v>
      </c>
      <c r="E377">
        <v>53850</v>
      </c>
      <c r="F377">
        <v>116</v>
      </c>
      <c r="G377" t="s">
        <v>259</v>
      </c>
      <c r="H377" t="s">
        <v>48</v>
      </c>
      <c r="I377" t="s">
        <v>49</v>
      </c>
      <c r="K377">
        <v>202506238118512</v>
      </c>
      <c r="L377">
        <v>2343300010453</v>
      </c>
      <c r="M377">
        <v>20250623</v>
      </c>
      <c r="N377" t="s">
        <v>253</v>
      </c>
      <c r="Q377" t="s">
        <v>58</v>
      </c>
      <c r="R377">
        <v>151490.5</v>
      </c>
      <c r="S377">
        <v>151490.5</v>
      </c>
      <c r="T377">
        <v>4247777</v>
      </c>
      <c r="U377">
        <v>233470236</v>
      </c>
      <c r="V377" t="s">
        <v>260</v>
      </c>
      <c r="W377" t="s">
        <v>56</v>
      </c>
      <c r="X377" t="s">
        <v>72</v>
      </c>
      <c r="Y377" t="s">
        <v>51</v>
      </c>
      <c r="Z377">
        <v>1696</v>
      </c>
      <c r="AH377">
        <v>0</v>
      </c>
      <c r="AI377">
        <v>202506</v>
      </c>
      <c r="AJ377" t="s">
        <v>168</v>
      </c>
      <c r="AK377">
        <v>1</v>
      </c>
      <c r="AL377">
        <v>1</v>
      </c>
      <c r="AM377">
        <v>4247777</v>
      </c>
      <c r="AN377">
        <v>1</v>
      </c>
      <c r="AO377">
        <v>0</v>
      </c>
      <c r="AP377">
        <v>463</v>
      </c>
      <c r="AQ377">
        <v>430</v>
      </c>
      <c r="AR377">
        <v>430463</v>
      </c>
      <c r="AS377" t="s">
        <v>61</v>
      </c>
      <c r="AU377" t="s">
        <v>61</v>
      </c>
      <c r="AV377">
        <v>85050</v>
      </c>
      <c r="AW377">
        <v>89030</v>
      </c>
      <c r="AX377">
        <v>91669.203999999998</v>
      </c>
      <c r="AY377">
        <v>93087.394</v>
      </c>
      <c r="AZ377">
        <v>94164.18</v>
      </c>
      <c r="BA377">
        <v>96798.05</v>
      </c>
      <c r="BB377">
        <v>100000</v>
      </c>
      <c r="BC377">
        <v>100000</v>
      </c>
      <c r="BD377">
        <v>101589.726</v>
      </c>
      <c r="BE377">
        <v>106295.712</v>
      </c>
      <c r="BF377">
        <v>110193.28</v>
      </c>
      <c r="BG377">
        <v>119645.424</v>
      </c>
      <c r="BH377">
        <v>127698</v>
      </c>
      <c r="BI377">
        <v>137713.79399999999</v>
      </c>
      <c r="BJ377">
        <v>139806</v>
      </c>
      <c r="BK377">
        <v>150000</v>
      </c>
      <c r="BL377">
        <v>161820.22</v>
      </c>
      <c r="BM377">
        <v>190199.99999999991</v>
      </c>
      <c r="BN377">
        <v>213800</v>
      </c>
      <c r="BO377">
        <v>259913.9999999998</v>
      </c>
      <c r="BP377">
        <v>440000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 x14ac:dyDescent="0.35">
      <c r="A378">
        <v>360360</v>
      </c>
      <c r="B378" t="s">
        <v>388</v>
      </c>
      <c r="C378" t="s">
        <v>389</v>
      </c>
      <c r="D378" s="1">
        <v>45832</v>
      </c>
      <c r="E378">
        <v>53850</v>
      </c>
      <c r="F378">
        <v>108</v>
      </c>
      <c r="G378" t="s">
        <v>89</v>
      </c>
      <c r="H378" t="s">
        <v>48</v>
      </c>
      <c r="I378" t="s">
        <v>49</v>
      </c>
      <c r="K378" t="s">
        <v>360</v>
      </c>
      <c r="L378">
        <v>1083306291105</v>
      </c>
      <c r="M378">
        <v>20250623</v>
      </c>
      <c r="N378" t="s">
        <v>262</v>
      </c>
      <c r="Q378" t="s">
        <v>58</v>
      </c>
      <c r="R378">
        <v>103821.91</v>
      </c>
      <c r="S378">
        <v>73196.850000000006</v>
      </c>
      <c r="T378">
        <v>4227057</v>
      </c>
      <c r="U378">
        <v>4874620729</v>
      </c>
      <c r="V378" t="s">
        <v>263</v>
      </c>
      <c r="W378" t="s">
        <v>56</v>
      </c>
      <c r="X378" t="s">
        <v>264</v>
      </c>
      <c r="Y378" t="s">
        <v>51</v>
      </c>
      <c r="Z378">
        <v>1058</v>
      </c>
      <c r="AH378">
        <v>0</v>
      </c>
      <c r="AI378">
        <v>202506</v>
      </c>
      <c r="AJ378" t="s">
        <v>169</v>
      </c>
      <c r="AK378">
        <v>1</v>
      </c>
      <c r="AL378">
        <v>1</v>
      </c>
      <c r="AM378">
        <v>4227057</v>
      </c>
      <c r="AN378">
        <v>1</v>
      </c>
      <c r="AO378">
        <v>1</v>
      </c>
      <c r="AP378">
        <v>999</v>
      </c>
      <c r="AQ378">
        <v>430</v>
      </c>
      <c r="AR378">
        <v>430999</v>
      </c>
      <c r="AT378">
        <v>1</v>
      </c>
      <c r="AU378" t="s">
        <v>57</v>
      </c>
      <c r="AV378">
        <v>101552.46</v>
      </c>
      <c r="AW378">
        <v>114647.6485</v>
      </c>
      <c r="AX378">
        <v>118167.008</v>
      </c>
      <c r="AY378">
        <v>123559.05899999999</v>
      </c>
      <c r="AZ378">
        <v>128796.368</v>
      </c>
      <c r="BA378">
        <v>130000</v>
      </c>
      <c r="BB378">
        <v>135819.11300000001</v>
      </c>
      <c r="BC378">
        <v>145008.255</v>
      </c>
      <c r="BD378">
        <v>146226.546</v>
      </c>
      <c r="BE378">
        <v>148171.67300000001</v>
      </c>
      <c r="BF378">
        <v>156533.16500000001</v>
      </c>
      <c r="BG378">
        <v>167340.8915</v>
      </c>
      <c r="BH378">
        <v>179808.78</v>
      </c>
      <c r="BI378">
        <v>187222.14799999999</v>
      </c>
      <c r="BJ378">
        <v>206328.26500000001</v>
      </c>
      <c r="BK378">
        <v>220390.6225</v>
      </c>
      <c r="BL378">
        <v>239280.00000000009</v>
      </c>
      <c r="BM378">
        <v>298738.61</v>
      </c>
      <c r="BN378">
        <v>365407.64500000002</v>
      </c>
      <c r="BO378">
        <v>399465.49400000001</v>
      </c>
      <c r="BP378">
        <v>515709.15</v>
      </c>
      <c r="BQ378">
        <v>1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 x14ac:dyDescent="0.35">
      <c r="A379">
        <v>360352</v>
      </c>
      <c r="B379" t="s">
        <v>388</v>
      </c>
      <c r="C379" t="s">
        <v>389</v>
      </c>
      <c r="D379" s="1">
        <v>45829</v>
      </c>
      <c r="E379">
        <v>53850</v>
      </c>
      <c r="F379">
        <v>109</v>
      </c>
      <c r="G379" t="s">
        <v>68</v>
      </c>
      <c r="H379" t="s">
        <v>48</v>
      </c>
      <c r="I379" t="s">
        <v>49</v>
      </c>
      <c r="K379">
        <v>202506208088669</v>
      </c>
      <c r="L379">
        <v>1093306670882</v>
      </c>
      <c r="M379">
        <v>20250620</v>
      </c>
      <c r="N379" t="s">
        <v>400</v>
      </c>
      <c r="Q379" t="s">
        <v>58</v>
      </c>
      <c r="R379">
        <v>205000</v>
      </c>
      <c r="S379">
        <v>0</v>
      </c>
      <c r="T379">
        <v>58869</v>
      </c>
      <c r="U379" t="s">
        <v>727</v>
      </c>
      <c r="V379" t="s">
        <v>728</v>
      </c>
      <c r="W379" t="s">
        <v>66</v>
      </c>
      <c r="X379" t="s">
        <v>374</v>
      </c>
      <c r="Y379" t="s">
        <v>51</v>
      </c>
      <c r="Z379">
        <v>1107</v>
      </c>
      <c r="AH379">
        <v>0</v>
      </c>
      <c r="AI379">
        <v>202506</v>
      </c>
      <c r="AJ379" t="s">
        <v>63</v>
      </c>
      <c r="AK379">
        <v>0</v>
      </c>
      <c r="AL379">
        <v>1</v>
      </c>
      <c r="AO379">
        <v>0</v>
      </c>
      <c r="AP379">
        <v>999</v>
      </c>
      <c r="AQ379">
        <v>615</v>
      </c>
      <c r="AR379">
        <v>615999</v>
      </c>
      <c r="AT379">
        <v>1</v>
      </c>
      <c r="AU379" t="s">
        <v>61</v>
      </c>
      <c r="AV379">
        <v>85050</v>
      </c>
      <c r="AW379">
        <v>89030</v>
      </c>
      <c r="AX379">
        <v>91669.203999999998</v>
      </c>
      <c r="AY379">
        <v>93087.394</v>
      </c>
      <c r="AZ379">
        <v>94164.18</v>
      </c>
      <c r="BA379">
        <v>96798.05</v>
      </c>
      <c r="BB379">
        <v>100000</v>
      </c>
      <c r="BC379">
        <v>100000</v>
      </c>
      <c r="BD379">
        <v>101589.726</v>
      </c>
      <c r="BE379">
        <v>106295.712</v>
      </c>
      <c r="BF379">
        <v>110193.28</v>
      </c>
      <c r="BG379">
        <v>119645.424</v>
      </c>
      <c r="BH379">
        <v>127698</v>
      </c>
      <c r="BI379">
        <v>137713.79399999999</v>
      </c>
      <c r="BJ379">
        <v>139806</v>
      </c>
      <c r="BK379">
        <v>150000</v>
      </c>
      <c r="BL379">
        <v>161820.22</v>
      </c>
      <c r="BM379">
        <v>190199.99999999991</v>
      </c>
      <c r="BN379">
        <v>213800</v>
      </c>
      <c r="BO379">
        <v>259913.9999999998</v>
      </c>
      <c r="BP379">
        <v>440000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0</v>
      </c>
      <c r="CJ379">
        <v>0</v>
      </c>
      <c r="CK379">
        <v>0</v>
      </c>
    </row>
    <row r="380" spans="1:89" x14ac:dyDescent="0.35">
      <c r="A380">
        <v>360351</v>
      </c>
      <c r="B380" t="s">
        <v>388</v>
      </c>
      <c r="C380" t="s">
        <v>389</v>
      </c>
      <c r="D380" s="1">
        <v>45829</v>
      </c>
      <c r="E380">
        <v>53850</v>
      </c>
      <c r="F380">
        <v>102</v>
      </c>
      <c r="G380" t="s">
        <v>55</v>
      </c>
      <c r="H380" t="s">
        <v>48</v>
      </c>
      <c r="I380" t="s">
        <v>49</v>
      </c>
      <c r="K380">
        <v>202506208088580</v>
      </c>
      <c r="L380">
        <v>1023306273640</v>
      </c>
      <c r="M380">
        <v>20250620</v>
      </c>
      <c r="N380" t="s">
        <v>400</v>
      </c>
      <c r="Q380" t="s">
        <v>58</v>
      </c>
      <c r="R380">
        <v>200000</v>
      </c>
      <c r="S380">
        <v>0</v>
      </c>
      <c r="T380">
        <v>414340</v>
      </c>
      <c r="U380" t="s">
        <v>729</v>
      </c>
      <c r="V380" t="s">
        <v>730</v>
      </c>
      <c r="W380" t="s">
        <v>50</v>
      </c>
      <c r="Y380" t="s">
        <v>51</v>
      </c>
      <c r="Z380">
        <v>1431</v>
      </c>
      <c r="AH380">
        <v>0</v>
      </c>
      <c r="AI380">
        <v>202506</v>
      </c>
      <c r="AJ380" t="s">
        <v>168</v>
      </c>
      <c r="AK380">
        <v>1</v>
      </c>
      <c r="AL380">
        <v>1</v>
      </c>
      <c r="AO380">
        <v>0</v>
      </c>
      <c r="AP380">
        <v>999</v>
      </c>
      <c r="AQ380">
        <v>600</v>
      </c>
      <c r="AR380">
        <v>600999</v>
      </c>
      <c r="AS380" t="s">
        <v>52</v>
      </c>
      <c r="AU380" t="s">
        <v>52</v>
      </c>
      <c r="AV380">
        <v>107500</v>
      </c>
      <c r="AW380">
        <v>109625</v>
      </c>
      <c r="AX380">
        <v>110000</v>
      </c>
      <c r="AY380">
        <v>112750</v>
      </c>
      <c r="AZ380">
        <v>120738</v>
      </c>
      <c r="BA380">
        <v>129508.75</v>
      </c>
      <c r="BB380">
        <v>130380</v>
      </c>
      <c r="BC380">
        <v>133610</v>
      </c>
      <c r="BD380">
        <v>133800</v>
      </c>
      <c r="BE380">
        <v>141080</v>
      </c>
      <c r="BF380">
        <v>147500</v>
      </c>
      <c r="BG380">
        <v>155382.03049999999</v>
      </c>
      <c r="BH380">
        <v>165585.11799999999</v>
      </c>
      <c r="BI380">
        <v>166416.67000000001</v>
      </c>
      <c r="BJ380">
        <v>166416.67000000001</v>
      </c>
      <c r="BK380">
        <v>173582.95749999999</v>
      </c>
      <c r="BL380">
        <v>190388.68799999999</v>
      </c>
      <c r="BM380">
        <v>212150</v>
      </c>
      <c r="BN380">
        <v>283513.16900000011</v>
      </c>
      <c r="BO380">
        <v>415377.23</v>
      </c>
      <c r="BP380">
        <v>415377.23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0</v>
      </c>
      <c r="CI380">
        <v>0</v>
      </c>
      <c r="CJ380">
        <v>0</v>
      </c>
      <c r="CK380">
        <v>0</v>
      </c>
    </row>
    <row r="381" spans="1:89" x14ac:dyDescent="0.35">
      <c r="A381">
        <v>360347</v>
      </c>
      <c r="B381" t="s">
        <v>388</v>
      </c>
      <c r="C381" t="s">
        <v>389</v>
      </c>
      <c r="D381" s="1">
        <v>45829</v>
      </c>
      <c r="E381">
        <v>53850</v>
      </c>
      <c r="F381">
        <v>102</v>
      </c>
      <c r="G381" t="s">
        <v>55</v>
      </c>
      <c r="H381" t="s">
        <v>48</v>
      </c>
      <c r="I381" t="s">
        <v>49</v>
      </c>
      <c r="K381" t="s">
        <v>361</v>
      </c>
      <c r="L381">
        <v>1023300660520</v>
      </c>
      <c r="M381">
        <v>20250620</v>
      </c>
      <c r="N381" t="s">
        <v>262</v>
      </c>
      <c r="Q381" t="s">
        <v>58</v>
      </c>
      <c r="R381">
        <v>180797.72</v>
      </c>
      <c r="S381">
        <v>3235</v>
      </c>
      <c r="T381">
        <v>66052</v>
      </c>
      <c r="U381">
        <v>398110726</v>
      </c>
      <c r="V381" t="s">
        <v>287</v>
      </c>
      <c r="W381" t="s">
        <v>56</v>
      </c>
      <c r="X381" t="s">
        <v>235</v>
      </c>
      <c r="Y381" t="s">
        <v>51</v>
      </c>
      <c r="Z381">
        <v>1203</v>
      </c>
      <c r="AH381">
        <v>0</v>
      </c>
      <c r="AI381">
        <v>202506</v>
      </c>
      <c r="AJ381" t="s">
        <v>169</v>
      </c>
      <c r="AK381">
        <v>1</v>
      </c>
      <c r="AL381">
        <v>1</v>
      </c>
      <c r="AM381">
        <v>66052</v>
      </c>
      <c r="AN381">
        <v>1</v>
      </c>
      <c r="AO381">
        <v>1</v>
      </c>
      <c r="AP381">
        <v>999</v>
      </c>
      <c r="AQ381">
        <v>430</v>
      </c>
      <c r="AR381">
        <v>430999</v>
      </c>
      <c r="AT381">
        <v>1</v>
      </c>
      <c r="AU381" t="s">
        <v>57</v>
      </c>
      <c r="AV381">
        <v>101552.46</v>
      </c>
      <c r="AW381">
        <v>114647.6485</v>
      </c>
      <c r="AX381">
        <v>118167.008</v>
      </c>
      <c r="AY381">
        <v>123559.05899999999</v>
      </c>
      <c r="AZ381">
        <v>128796.368</v>
      </c>
      <c r="BA381">
        <v>130000</v>
      </c>
      <c r="BB381">
        <v>135819.11300000001</v>
      </c>
      <c r="BC381">
        <v>145008.255</v>
      </c>
      <c r="BD381">
        <v>146226.546</v>
      </c>
      <c r="BE381">
        <v>148171.67300000001</v>
      </c>
      <c r="BF381">
        <v>156533.16500000001</v>
      </c>
      <c r="BG381">
        <v>167340.8915</v>
      </c>
      <c r="BH381">
        <v>179808.78</v>
      </c>
      <c r="BI381">
        <v>187222.14799999999</v>
      </c>
      <c r="BJ381">
        <v>206328.26500000001</v>
      </c>
      <c r="BK381">
        <v>220390.6225</v>
      </c>
      <c r="BL381">
        <v>239280.00000000009</v>
      </c>
      <c r="BM381">
        <v>298738.61</v>
      </c>
      <c r="BN381">
        <v>365407.64500000002</v>
      </c>
      <c r="BO381">
        <v>399465.49400000001</v>
      </c>
      <c r="BP381">
        <v>515709.15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 x14ac:dyDescent="0.35">
      <c r="A382">
        <v>360344</v>
      </c>
      <c r="B382" t="s">
        <v>388</v>
      </c>
      <c r="C382" t="s">
        <v>389</v>
      </c>
      <c r="D382" s="1">
        <v>45829</v>
      </c>
      <c r="E382">
        <v>53850</v>
      </c>
      <c r="F382">
        <v>114</v>
      </c>
      <c r="G382" t="s">
        <v>267</v>
      </c>
      <c r="H382" t="s">
        <v>48</v>
      </c>
      <c r="I382" t="s">
        <v>49</v>
      </c>
      <c r="K382" t="s">
        <v>361</v>
      </c>
      <c r="L382">
        <v>1143306281584</v>
      </c>
      <c r="M382">
        <v>20250620</v>
      </c>
      <c r="N382" t="s">
        <v>262</v>
      </c>
      <c r="Q382" t="s">
        <v>58</v>
      </c>
      <c r="R382">
        <v>92565.9</v>
      </c>
      <c r="S382">
        <v>16585</v>
      </c>
      <c r="T382">
        <v>4827112</v>
      </c>
      <c r="U382">
        <v>3318280710</v>
      </c>
      <c r="V382" t="s">
        <v>644</v>
      </c>
      <c r="W382" t="s">
        <v>56</v>
      </c>
      <c r="X382" t="s">
        <v>86</v>
      </c>
      <c r="Y382" t="s">
        <v>51</v>
      </c>
      <c r="Z382">
        <v>870</v>
      </c>
      <c r="AH382">
        <v>0</v>
      </c>
      <c r="AI382">
        <v>202506</v>
      </c>
      <c r="AJ382" t="s">
        <v>54</v>
      </c>
      <c r="AK382">
        <v>0</v>
      </c>
      <c r="AL382">
        <v>1</v>
      </c>
      <c r="AO382">
        <v>1</v>
      </c>
      <c r="AP382">
        <v>462</v>
      </c>
      <c r="AQ382">
        <v>430</v>
      </c>
      <c r="AR382">
        <v>430462</v>
      </c>
      <c r="AS382" t="s">
        <v>61</v>
      </c>
      <c r="AU382" t="s">
        <v>61</v>
      </c>
      <c r="AV382">
        <v>85050</v>
      </c>
      <c r="AW382">
        <v>89030</v>
      </c>
      <c r="AX382">
        <v>91669.203999999998</v>
      </c>
      <c r="AY382">
        <v>93087.394</v>
      </c>
      <c r="AZ382">
        <v>94164.18</v>
      </c>
      <c r="BA382">
        <v>96798.05</v>
      </c>
      <c r="BB382">
        <v>100000</v>
      </c>
      <c r="BC382">
        <v>100000</v>
      </c>
      <c r="BD382">
        <v>101589.726</v>
      </c>
      <c r="BE382">
        <v>106295.712</v>
      </c>
      <c r="BF382">
        <v>110193.28</v>
      </c>
      <c r="BG382">
        <v>119645.424</v>
      </c>
      <c r="BH382">
        <v>127698</v>
      </c>
      <c r="BI382">
        <v>137713.79399999999</v>
      </c>
      <c r="BJ382">
        <v>139806</v>
      </c>
      <c r="BK382">
        <v>150000</v>
      </c>
      <c r="BL382">
        <v>161820.22</v>
      </c>
      <c r="BM382">
        <v>190199.99999999991</v>
      </c>
      <c r="BN382">
        <v>213800</v>
      </c>
      <c r="BO382">
        <v>259913.9999999998</v>
      </c>
      <c r="BP382">
        <v>440000</v>
      </c>
      <c r="BQ382">
        <v>1</v>
      </c>
      <c r="BR382">
        <v>1</v>
      </c>
      <c r="BS382">
        <v>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 x14ac:dyDescent="0.35">
      <c r="A383">
        <v>360343</v>
      </c>
      <c r="B383" t="s">
        <v>388</v>
      </c>
      <c r="C383" t="s">
        <v>389</v>
      </c>
      <c r="D383" s="1">
        <v>45829</v>
      </c>
      <c r="E383">
        <v>53850</v>
      </c>
      <c r="F383">
        <v>109</v>
      </c>
      <c r="G383" t="s">
        <v>68</v>
      </c>
      <c r="H383" t="s">
        <v>48</v>
      </c>
      <c r="I383" t="s">
        <v>49</v>
      </c>
      <c r="K383">
        <v>202506208088669</v>
      </c>
      <c r="L383">
        <v>1093306670882</v>
      </c>
      <c r="M383">
        <v>20250620</v>
      </c>
      <c r="N383" t="s">
        <v>400</v>
      </c>
      <c r="Q383" t="s">
        <v>58</v>
      </c>
      <c r="R383">
        <v>205000</v>
      </c>
      <c r="S383">
        <v>0</v>
      </c>
      <c r="T383">
        <v>50899</v>
      </c>
      <c r="U383" t="s">
        <v>731</v>
      </c>
      <c r="V383" t="s">
        <v>732</v>
      </c>
      <c r="W383" t="s">
        <v>66</v>
      </c>
      <c r="X383" t="s">
        <v>733</v>
      </c>
      <c r="Y383" t="s">
        <v>51</v>
      </c>
      <c r="Z383">
        <v>783</v>
      </c>
      <c r="AH383">
        <v>0</v>
      </c>
      <c r="AI383">
        <v>202506</v>
      </c>
      <c r="AJ383" t="s">
        <v>63</v>
      </c>
      <c r="AK383">
        <v>0</v>
      </c>
      <c r="AL383">
        <v>1</v>
      </c>
      <c r="AO383">
        <v>0</v>
      </c>
      <c r="AP383">
        <v>999</v>
      </c>
      <c r="AQ383">
        <v>615</v>
      </c>
      <c r="AR383">
        <v>615999</v>
      </c>
      <c r="AT383">
        <v>1</v>
      </c>
      <c r="AU383" t="s">
        <v>61</v>
      </c>
      <c r="AV383">
        <v>85050</v>
      </c>
      <c r="AW383">
        <v>89030</v>
      </c>
      <c r="AX383">
        <v>91669.203999999998</v>
      </c>
      <c r="AY383">
        <v>93087.394</v>
      </c>
      <c r="AZ383">
        <v>94164.18</v>
      </c>
      <c r="BA383">
        <v>96798.05</v>
      </c>
      <c r="BB383">
        <v>100000</v>
      </c>
      <c r="BC383">
        <v>100000</v>
      </c>
      <c r="BD383">
        <v>101589.726</v>
      </c>
      <c r="BE383">
        <v>106295.712</v>
      </c>
      <c r="BF383">
        <v>110193.28</v>
      </c>
      <c r="BG383">
        <v>119645.424</v>
      </c>
      <c r="BH383">
        <v>127698</v>
      </c>
      <c r="BI383">
        <v>137713.79399999999</v>
      </c>
      <c r="BJ383">
        <v>139806</v>
      </c>
      <c r="BK383">
        <v>150000</v>
      </c>
      <c r="BL383">
        <v>161820.22</v>
      </c>
      <c r="BM383">
        <v>190199.99999999991</v>
      </c>
      <c r="BN383">
        <v>213800</v>
      </c>
      <c r="BO383">
        <v>259913.9999999998</v>
      </c>
      <c r="BP383">
        <v>440000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0</v>
      </c>
      <c r="CJ383">
        <v>0</v>
      </c>
      <c r="CK383">
        <v>0</v>
      </c>
    </row>
    <row r="384" spans="1:89" x14ac:dyDescent="0.35">
      <c r="A384">
        <v>360331</v>
      </c>
      <c r="B384" t="s">
        <v>388</v>
      </c>
      <c r="C384" t="s">
        <v>389</v>
      </c>
      <c r="D384" s="1">
        <v>45829</v>
      </c>
      <c r="E384">
        <v>53850</v>
      </c>
      <c r="F384">
        <v>102</v>
      </c>
      <c r="G384" t="s">
        <v>55</v>
      </c>
      <c r="H384" t="s">
        <v>48</v>
      </c>
      <c r="I384" t="s">
        <v>49</v>
      </c>
      <c r="K384">
        <v>202506208088603</v>
      </c>
      <c r="L384">
        <v>1023308726612</v>
      </c>
      <c r="M384">
        <v>20250620</v>
      </c>
      <c r="N384" t="s">
        <v>400</v>
      </c>
      <c r="Q384" t="s">
        <v>58</v>
      </c>
      <c r="R384">
        <v>128240</v>
      </c>
      <c r="S384">
        <v>0</v>
      </c>
      <c r="T384">
        <v>4939458</v>
      </c>
      <c r="U384">
        <v>8052010728</v>
      </c>
      <c r="V384" t="s">
        <v>734</v>
      </c>
      <c r="W384" t="s">
        <v>56</v>
      </c>
      <c r="X384" t="s">
        <v>62</v>
      </c>
      <c r="Y384" t="s">
        <v>51</v>
      </c>
      <c r="Z384">
        <v>911</v>
      </c>
      <c r="AH384">
        <v>0</v>
      </c>
      <c r="AI384">
        <v>202506</v>
      </c>
      <c r="AJ384" t="s">
        <v>168</v>
      </c>
      <c r="AK384">
        <v>1</v>
      </c>
      <c r="AL384">
        <v>1</v>
      </c>
      <c r="AO384">
        <v>0</v>
      </c>
      <c r="AP384">
        <v>412</v>
      </c>
      <c r="AQ384">
        <v>430</v>
      </c>
      <c r="AR384">
        <v>430412</v>
      </c>
      <c r="AS384" t="s">
        <v>61</v>
      </c>
      <c r="AU384" t="s">
        <v>61</v>
      </c>
      <c r="AV384">
        <v>85050</v>
      </c>
      <c r="AW384">
        <v>89030</v>
      </c>
      <c r="AX384">
        <v>91669.203999999998</v>
      </c>
      <c r="AY384">
        <v>93087.394</v>
      </c>
      <c r="AZ384">
        <v>94164.18</v>
      </c>
      <c r="BA384">
        <v>96798.05</v>
      </c>
      <c r="BB384">
        <v>100000</v>
      </c>
      <c r="BC384">
        <v>100000</v>
      </c>
      <c r="BD384">
        <v>101589.726</v>
      </c>
      <c r="BE384">
        <v>106295.712</v>
      </c>
      <c r="BF384">
        <v>110193.28</v>
      </c>
      <c r="BG384">
        <v>119645.424</v>
      </c>
      <c r="BH384">
        <v>127698</v>
      </c>
      <c r="BI384">
        <v>137713.79399999999</v>
      </c>
      <c r="BJ384">
        <v>139806</v>
      </c>
      <c r="BK384">
        <v>150000</v>
      </c>
      <c r="BL384">
        <v>161820.22</v>
      </c>
      <c r="BM384">
        <v>190199.99999999991</v>
      </c>
      <c r="BN384">
        <v>213800</v>
      </c>
      <c r="BO384">
        <v>259913.9999999998</v>
      </c>
      <c r="BP384">
        <v>440000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 x14ac:dyDescent="0.35">
      <c r="A385">
        <v>360329</v>
      </c>
      <c r="B385" t="s">
        <v>388</v>
      </c>
      <c r="C385" t="s">
        <v>389</v>
      </c>
      <c r="D385" s="1">
        <v>45829</v>
      </c>
      <c r="E385">
        <v>53850</v>
      </c>
      <c r="F385">
        <v>165</v>
      </c>
      <c r="G385" t="s">
        <v>445</v>
      </c>
      <c r="H385" t="s">
        <v>48</v>
      </c>
      <c r="I385" t="s">
        <v>49</v>
      </c>
      <c r="K385">
        <v>202506208088856</v>
      </c>
      <c r="L385">
        <v>1653300628564</v>
      </c>
      <c r="M385">
        <v>20250620</v>
      </c>
      <c r="N385" t="s">
        <v>392</v>
      </c>
      <c r="Q385" t="s">
        <v>58</v>
      </c>
      <c r="R385">
        <v>237000</v>
      </c>
      <c r="S385">
        <v>0</v>
      </c>
      <c r="T385">
        <v>4798342</v>
      </c>
      <c r="U385">
        <v>2195870718</v>
      </c>
      <c r="V385" t="s">
        <v>446</v>
      </c>
      <c r="W385" t="s">
        <v>56</v>
      </c>
      <c r="X385" t="s">
        <v>447</v>
      </c>
      <c r="Y385" t="s">
        <v>51</v>
      </c>
      <c r="Z385">
        <v>870</v>
      </c>
      <c r="AH385">
        <v>0</v>
      </c>
      <c r="AI385">
        <v>202506</v>
      </c>
      <c r="AJ385" t="s">
        <v>168</v>
      </c>
      <c r="AK385">
        <v>1</v>
      </c>
      <c r="AL385">
        <v>1</v>
      </c>
      <c r="AO385">
        <v>0</v>
      </c>
      <c r="AP385">
        <v>999</v>
      </c>
      <c r="AQ385">
        <v>430</v>
      </c>
      <c r="AR385">
        <v>430999</v>
      </c>
      <c r="AT385">
        <v>1</v>
      </c>
      <c r="AU385" t="s">
        <v>57</v>
      </c>
      <c r="AV385">
        <v>101552.46</v>
      </c>
      <c r="AW385">
        <v>114647.6485</v>
      </c>
      <c r="AX385">
        <v>118167.008</v>
      </c>
      <c r="AY385">
        <v>123559.05899999999</v>
      </c>
      <c r="AZ385">
        <v>128796.368</v>
      </c>
      <c r="BA385">
        <v>130000</v>
      </c>
      <c r="BB385">
        <v>135819.11300000001</v>
      </c>
      <c r="BC385">
        <v>145008.255</v>
      </c>
      <c r="BD385">
        <v>146226.546</v>
      </c>
      <c r="BE385">
        <v>148171.67300000001</v>
      </c>
      <c r="BF385">
        <v>156533.16500000001</v>
      </c>
      <c r="BG385">
        <v>167340.8915</v>
      </c>
      <c r="BH385">
        <v>179808.78</v>
      </c>
      <c r="BI385">
        <v>187222.14799999999</v>
      </c>
      <c r="BJ385">
        <v>206328.26500000001</v>
      </c>
      <c r="BK385">
        <v>220390.6225</v>
      </c>
      <c r="BL385">
        <v>239280.00000000009</v>
      </c>
      <c r="BM385">
        <v>298738.61</v>
      </c>
      <c r="BN385">
        <v>365407.64500000002</v>
      </c>
      <c r="BO385">
        <v>399465.49400000001</v>
      </c>
      <c r="BP385">
        <v>515709.15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 x14ac:dyDescent="0.35">
      <c r="A386">
        <v>360328</v>
      </c>
      <c r="B386" t="s">
        <v>388</v>
      </c>
      <c r="C386" t="s">
        <v>389</v>
      </c>
      <c r="D386" s="1">
        <v>45829</v>
      </c>
      <c r="E386">
        <v>53850</v>
      </c>
      <c r="F386">
        <v>102</v>
      </c>
      <c r="G386" t="s">
        <v>55</v>
      </c>
      <c r="H386" t="s">
        <v>48</v>
      </c>
      <c r="I386" t="s">
        <v>49</v>
      </c>
      <c r="K386">
        <v>202506208088606</v>
      </c>
      <c r="L386">
        <v>1023308726641</v>
      </c>
      <c r="M386">
        <v>20250620</v>
      </c>
      <c r="N386" t="s">
        <v>392</v>
      </c>
      <c r="Q386" t="s">
        <v>58</v>
      </c>
      <c r="R386">
        <v>90000</v>
      </c>
      <c r="S386">
        <v>0</v>
      </c>
      <c r="T386">
        <v>4917772</v>
      </c>
      <c r="U386">
        <v>8218730722</v>
      </c>
      <c r="V386" t="s">
        <v>735</v>
      </c>
      <c r="W386" t="s">
        <v>56</v>
      </c>
      <c r="X386" t="s">
        <v>62</v>
      </c>
      <c r="Y386" t="s">
        <v>51</v>
      </c>
      <c r="Z386">
        <v>1203</v>
      </c>
      <c r="AH386">
        <v>0</v>
      </c>
      <c r="AI386">
        <v>202506</v>
      </c>
      <c r="AJ386" t="s">
        <v>168</v>
      </c>
      <c r="AK386">
        <v>1</v>
      </c>
      <c r="AL386">
        <v>1</v>
      </c>
      <c r="AO386">
        <v>0</v>
      </c>
      <c r="AP386">
        <v>412</v>
      </c>
      <c r="AQ386">
        <v>430</v>
      </c>
      <c r="AR386">
        <v>430412</v>
      </c>
      <c r="AS386" t="s">
        <v>61</v>
      </c>
      <c r="AU386" t="s">
        <v>61</v>
      </c>
      <c r="AV386">
        <v>85050</v>
      </c>
      <c r="AW386">
        <v>89030</v>
      </c>
      <c r="AX386">
        <v>91669.203999999998</v>
      </c>
      <c r="AY386">
        <v>93087.394</v>
      </c>
      <c r="AZ386">
        <v>94164.18</v>
      </c>
      <c r="BA386">
        <v>96798.05</v>
      </c>
      <c r="BB386">
        <v>100000</v>
      </c>
      <c r="BC386">
        <v>100000</v>
      </c>
      <c r="BD386">
        <v>101589.726</v>
      </c>
      <c r="BE386">
        <v>106295.712</v>
      </c>
      <c r="BF386">
        <v>110193.28</v>
      </c>
      <c r="BG386">
        <v>119645.424</v>
      </c>
      <c r="BH386">
        <v>127698</v>
      </c>
      <c r="BI386">
        <v>137713.79399999999</v>
      </c>
      <c r="BJ386">
        <v>139806</v>
      </c>
      <c r="BK386">
        <v>150000</v>
      </c>
      <c r="BL386">
        <v>161820.22</v>
      </c>
      <c r="BM386">
        <v>190199.99999999991</v>
      </c>
      <c r="BN386">
        <v>213800</v>
      </c>
      <c r="BO386">
        <v>259913.9999999998</v>
      </c>
      <c r="BP386">
        <v>440000</v>
      </c>
      <c r="BQ386">
        <v>1</v>
      </c>
      <c r="BR386">
        <v>1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 x14ac:dyDescent="0.35">
      <c r="A387">
        <v>360320</v>
      </c>
      <c r="B387" t="s">
        <v>388</v>
      </c>
      <c r="C387" t="s">
        <v>389</v>
      </c>
      <c r="D387" s="1">
        <v>45829</v>
      </c>
      <c r="E387">
        <v>53850</v>
      </c>
      <c r="F387">
        <v>216</v>
      </c>
      <c r="G387" t="s">
        <v>476</v>
      </c>
      <c r="H387" t="s">
        <v>48</v>
      </c>
      <c r="I387" t="s">
        <v>49</v>
      </c>
      <c r="K387" t="s">
        <v>361</v>
      </c>
      <c r="L387">
        <v>2163300011328</v>
      </c>
      <c r="M387">
        <v>20250620</v>
      </c>
      <c r="N387" t="s">
        <v>262</v>
      </c>
      <c r="Q387" t="s">
        <v>58</v>
      </c>
      <c r="R387">
        <v>41000</v>
      </c>
      <c r="S387">
        <v>1000</v>
      </c>
      <c r="T387">
        <v>4743836</v>
      </c>
      <c r="U387" t="s">
        <v>736</v>
      </c>
      <c r="V387" t="s">
        <v>737</v>
      </c>
      <c r="W387" t="s">
        <v>66</v>
      </c>
      <c r="X387" t="s">
        <v>80</v>
      </c>
      <c r="Y387" t="s">
        <v>51</v>
      </c>
      <c r="Z387">
        <v>1595</v>
      </c>
      <c r="AH387">
        <v>0</v>
      </c>
      <c r="AI387">
        <v>202506</v>
      </c>
      <c r="AJ387" t="s">
        <v>63</v>
      </c>
      <c r="AK387">
        <v>0</v>
      </c>
      <c r="AL387">
        <v>1</v>
      </c>
      <c r="AO387">
        <v>1</v>
      </c>
      <c r="AP387">
        <v>477</v>
      </c>
      <c r="AQ387">
        <v>615</v>
      </c>
      <c r="AR387">
        <v>615477</v>
      </c>
      <c r="AS387" t="s">
        <v>270</v>
      </c>
      <c r="AU387" t="s">
        <v>270</v>
      </c>
      <c r="AV387">
        <v>37615</v>
      </c>
      <c r="AW387">
        <v>38129.25</v>
      </c>
      <c r="AX387">
        <v>38617</v>
      </c>
      <c r="AY387">
        <v>38985.5</v>
      </c>
      <c r="AZ387">
        <v>39276</v>
      </c>
      <c r="BA387">
        <v>39430</v>
      </c>
      <c r="BB387">
        <v>39650</v>
      </c>
      <c r="BC387">
        <v>39925</v>
      </c>
      <c r="BD387">
        <v>40004</v>
      </c>
      <c r="BE387">
        <v>40009.5</v>
      </c>
      <c r="BF387">
        <v>40505</v>
      </c>
      <c r="BG387">
        <v>41243.25</v>
      </c>
      <c r="BH387">
        <v>43919</v>
      </c>
      <c r="BI387">
        <v>46035.25</v>
      </c>
      <c r="BJ387">
        <v>46659.5</v>
      </c>
      <c r="BK387">
        <v>48836.25</v>
      </c>
      <c r="BL387">
        <v>52876.000000000007</v>
      </c>
      <c r="BM387">
        <v>56324.25</v>
      </c>
      <c r="BN387">
        <v>59434.5</v>
      </c>
      <c r="BO387">
        <v>63675.005999999987</v>
      </c>
      <c r="BP387">
        <v>68166.679999999993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 x14ac:dyDescent="0.35">
      <c r="A388">
        <v>360318</v>
      </c>
      <c r="B388" t="s">
        <v>388</v>
      </c>
      <c r="C388" t="s">
        <v>389</v>
      </c>
      <c r="D388" s="1">
        <v>45829</v>
      </c>
      <c r="E388">
        <v>53850</v>
      </c>
      <c r="F388">
        <v>149</v>
      </c>
      <c r="G388" t="s">
        <v>84</v>
      </c>
      <c r="H388" t="s">
        <v>48</v>
      </c>
      <c r="I388" t="s">
        <v>49</v>
      </c>
      <c r="K388">
        <v>202506208088821</v>
      </c>
      <c r="L388">
        <v>1493300660861</v>
      </c>
      <c r="M388">
        <v>20250620</v>
      </c>
      <c r="N388" t="s">
        <v>392</v>
      </c>
      <c r="Q388" t="s">
        <v>58</v>
      </c>
      <c r="R388">
        <v>50000</v>
      </c>
      <c r="S388">
        <v>0</v>
      </c>
      <c r="T388">
        <v>4174943</v>
      </c>
      <c r="U388" t="s">
        <v>712</v>
      </c>
      <c r="V388" t="s">
        <v>713</v>
      </c>
      <c r="W388" t="s">
        <v>66</v>
      </c>
      <c r="X388" t="s">
        <v>80</v>
      </c>
      <c r="Y388" t="s">
        <v>51</v>
      </c>
      <c r="Z388">
        <v>1910</v>
      </c>
      <c r="AH388">
        <v>0</v>
      </c>
      <c r="AI388">
        <v>202506</v>
      </c>
      <c r="AJ388" t="s">
        <v>168</v>
      </c>
      <c r="AK388">
        <v>1</v>
      </c>
      <c r="AL388">
        <v>1</v>
      </c>
      <c r="AO388">
        <v>0</v>
      </c>
      <c r="AP388">
        <v>477</v>
      </c>
      <c r="AQ388">
        <v>615</v>
      </c>
      <c r="AR388">
        <v>615477</v>
      </c>
      <c r="AS388" t="s">
        <v>270</v>
      </c>
      <c r="AU388" t="s">
        <v>270</v>
      </c>
      <c r="AV388">
        <v>37615</v>
      </c>
      <c r="AW388">
        <v>38129.25</v>
      </c>
      <c r="AX388">
        <v>38617</v>
      </c>
      <c r="AY388">
        <v>38985.5</v>
      </c>
      <c r="AZ388">
        <v>39276</v>
      </c>
      <c r="BA388">
        <v>39430</v>
      </c>
      <c r="BB388">
        <v>39650</v>
      </c>
      <c r="BC388">
        <v>39925</v>
      </c>
      <c r="BD388">
        <v>40004</v>
      </c>
      <c r="BE388">
        <v>40009.5</v>
      </c>
      <c r="BF388">
        <v>40505</v>
      </c>
      <c r="BG388">
        <v>41243.25</v>
      </c>
      <c r="BH388">
        <v>43919</v>
      </c>
      <c r="BI388">
        <v>46035.25</v>
      </c>
      <c r="BJ388">
        <v>46659.5</v>
      </c>
      <c r="BK388">
        <v>48836.25</v>
      </c>
      <c r="BL388">
        <v>52876.000000000007</v>
      </c>
      <c r="BM388">
        <v>56324.25</v>
      </c>
      <c r="BN388">
        <v>59434.5</v>
      </c>
      <c r="BO388">
        <v>63675.005999999987</v>
      </c>
      <c r="BP388">
        <v>68166.679999999993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 x14ac:dyDescent="0.35">
      <c r="A389">
        <v>360317</v>
      </c>
      <c r="B389" t="s">
        <v>388</v>
      </c>
      <c r="C389" t="s">
        <v>389</v>
      </c>
      <c r="D389" s="1">
        <v>45829</v>
      </c>
      <c r="E389">
        <v>53850</v>
      </c>
      <c r="F389">
        <v>171</v>
      </c>
      <c r="G389" t="s">
        <v>70</v>
      </c>
      <c r="H389" t="s">
        <v>48</v>
      </c>
      <c r="I389" t="s">
        <v>49</v>
      </c>
      <c r="K389" t="s">
        <v>361</v>
      </c>
      <c r="L389">
        <v>1713305728950</v>
      </c>
      <c r="M389">
        <v>20250620</v>
      </c>
      <c r="N389" t="s">
        <v>253</v>
      </c>
      <c r="Q389" t="s">
        <v>58</v>
      </c>
      <c r="R389">
        <v>151475</v>
      </c>
      <c r="S389">
        <v>151475</v>
      </c>
      <c r="T389">
        <v>572895</v>
      </c>
      <c r="U389">
        <v>4161600723</v>
      </c>
      <c r="V389" t="s">
        <v>257</v>
      </c>
      <c r="W389" t="s">
        <v>56</v>
      </c>
      <c r="X389" t="s">
        <v>258</v>
      </c>
      <c r="Y389" t="s">
        <v>51</v>
      </c>
      <c r="Z389">
        <v>1903</v>
      </c>
      <c r="AH389">
        <v>0</v>
      </c>
      <c r="AI389">
        <v>202506</v>
      </c>
      <c r="AJ389" t="s">
        <v>169</v>
      </c>
      <c r="AK389">
        <v>1</v>
      </c>
      <c r="AL389">
        <v>1</v>
      </c>
      <c r="AM389">
        <v>572895</v>
      </c>
      <c r="AN389">
        <v>1</v>
      </c>
      <c r="AO389">
        <v>0</v>
      </c>
      <c r="AP389">
        <v>999</v>
      </c>
      <c r="AQ389">
        <v>430</v>
      </c>
      <c r="AR389">
        <v>430999</v>
      </c>
      <c r="AT389">
        <v>1</v>
      </c>
      <c r="AU389" t="s">
        <v>57</v>
      </c>
      <c r="AV389">
        <v>101552.46</v>
      </c>
      <c r="AW389">
        <v>114647.6485</v>
      </c>
      <c r="AX389">
        <v>118167.008</v>
      </c>
      <c r="AY389">
        <v>123559.05899999999</v>
      </c>
      <c r="AZ389">
        <v>128796.368</v>
      </c>
      <c r="BA389">
        <v>130000</v>
      </c>
      <c r="BB389">
        <v>135819.11300000001</v>
      </c>
      <c r="BC389">
        <v>145008.255</v>
      </c>
      <c r="BD389">
        <v>146226.546</v>
      </c>
      <c r="BE389">
        <v>148171.67300000001</v>
      </c>
      <c r="BF389">
        <v>156533.16500000001</v>
      </c>
      <c r="BG389">
        <v>167340.8915</v>
      </c>
      <c r="BH389">
        <v>179808.78</v>
      </c>
      <c r="BI389">
        <v>187222.14799999999</v>
      </c>
      <c r="BJ389">
        <v>206328.26500000001</v>
      </c>
      <c r="BK389">
        <v>220390.6225</v>
      </c>
      <c r="BL389">
        <v>239280.00000000009</v>
      </c>
      <c r="BM389">
        <v>298738.61</v>
      </c>
      <c r="BN389">
        <v>365407.64500000002</v>
      </c>
      <c r="BO389">
        <v>399465.49400000001</v>
      </c>
      <c r="BP389">
        <v>515709.15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 x14ac:dyDescent="0.35">
      <c r="A390">
        <v>360310</v>
      </c>
      <c r="B390" t="s">
        <v>388</v>
      </c>
      <c r="C390" t="s">
        <v>389</v>
      </c>
      <c r="D390" s="1">
        <v>45829</v>
      </c>
      <c r="E390">
        <v>53850</v>
      </c>
      <c r="F390">
        <v>108</v>
      </c>
      <c r="G390" t="s">
        <v>89</v>
      </c>
      <c r="H390" t="s">
        <v>48</v>
      </c>
      <c r="I390" t="s">
        <v>49</v>
      </c>
      <c r="K390" t="s">
        <v>361</v>
      </c>
      <c r="L390">
        <v>1083306290559</v>
      </c>
      <c r="M390">
        <v>20250620</v>
      </c>
      <c r="N390" t="s">
        <v>262</v>
      </c>
      <c r="Q390" t="s">
        <v>58</v>
      </c>
      <c r="R390">
        <v>112670.82</v>
      </c>
      <c r="S390">
        <v>0</v>
      </c>
      <c r="T390">
        <v>4902977</v>
      </c>
      <c r="U390">
        <v>8081970728</v>
      </c>
      <c r="V390" t="s">
        <v>663</v>
      </c>
      <c r="W390" t="s">
        <v>56</v>
      </c>
      <c r="X390" t="s">
        <v>363</v>
      </c>
      <c r="Y390" t="s">
        <v>51</v>
      </c>
      <c r="Z390">
        <v>1058</v>
      </c>
      <c r="AH390">
        <v>0</v>
      </c>
      <c r="AI390">
        <v>202506</v>
      </c>
      <c r="AJ390" t="s">
        <v>168</v>
      </c>
      <c r="AK390">
        <v>1</v>
      </c>
      <c r="AL390">
        <v>1</v>
      </c>
      <c r="AO390">
        <v>1</v>
      </c>
      <c r="AP390">
        <v>999</v>
      </c>
      <c r="AQ390">
        <v>430</v>
      </c>
      <c r="AR390">
        <v>430999</v>
      </c>
      <c r="AT390">
        <v>1</v>
      </c>
      <c r="AU390" t="s">
        <v>57</v>
      </c>
      <c r="AV390">
        <v>101552.46</v>
      </c>
      <c r="AW390">
        <v>114647.6485</v>
      </c>
      <c r="AX390">
        <v>118167.008</v>
      </c>
      <c r="AY390">
        <v>123559.05899999999</v>
      </c>
      <c r="AZ390">
        <v>128796.368</v>
      </c>
      <c r="BA390">
        <v>130000</v>
      </c>
      <c r="BB390">
        <v>135819.11300000001</v>
      </c>
      <c r="BC390">
        <v>145008.255</v>
      </c>
      <c r="BD390">
        <v>146226.546</v>
      </c>
      <c r="BE390">
        <v>148171.67300000001</v>
      </c>
      <c r="BF390">
        <v>156533.16500000001</v>
      </c>
      <c r="BG390">
        <v>167340.8915</v>
      </c>
      <c r="BH390">
        <v>179808.78</v>
      </c>
      <c r="BI390">
        <v>187222.14799999999</v>
      </c>
      <c r="BJ390">
        <v>206328.26500000001</v>
      </c>
      <c r="BK390">
        <v>220390.6225</v>
      </c>
      <c r="BL390">
        <v>239280.00000000009</v>
      </c>
      <c r="BM390">
        <v>298738.61</v>
      </c>
      <c r="BN390">
        <v>365407.64500000002</v>
      </c>
      <c r="BO390">
        <v>399465.49400000001</v>
      </c>
      <c r="BP390">
        <v>515709.15</v>
      </c>
      <c r="BQ390">
        <v>1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 x14ac:dyDescent="0.35">
      <c r="A391">
        <v>360305</v>
      </c>
      <c r="B391" t="s">
        <v>388</v>
      </c>
      <c r="C391" t="s">
        <v>389</v>
      </c>
      <c r="D391" s="1">
        <v>45828</v>
      </c>
      <c r="E391">
        <v>53850</v>
      </c>
      <c r="F391">
        <v>171</v>
      </c>
      <c r="G391" t="s">
        <v>70</v>
      </c>
      <c r="H391" t="s">
        <v>48</v>
      </c>
      <c r="I391" t="s">
        <v>49</v>
      </c>
      <c r="K391" t="s">
        <v>362</v>
      </c>
      <c r="L391">
        <v>1713305728950</v>
      </c>
      <c r="M391">
        <v>20250619</v>
      </c>
      <c r="N391" t="s">
        <v>253</v>
      </c>
      <c r="Q391" t="s">
        <v>58</v>
      </c>
      <c r="R391">
        <v>272782.3</v>
      </c>
      <c r="S391">
        <v>272782.3</v>
      </c>
      <c r="T391">
        <v>572895</v>
      </c>
      <c r="U391">
        <v>4161600723</v>
      </c>
      <c r="V391" t="s">
        <v>257</v>
      </c>
      <c r="W391" t="s">
        <v>56</v>
      </c>
      <c r="X391" t="s">
        <v>258</v>
      </c>
      <c r="Y391" t="s">
        <v>51</v>
      </c>
      <c r="Z391">
        <v>1903</v>
      </c>
      <c r="AH391">
        <v>0</v>
      </c>
      <c r="AI391">
        <v>202506</v>
      </c>
      <c r="AJ391" t="s">
        <v>169</v>
      </c>
      <c r="AK391">
        <v>1</v>
      </c>
      <c r="AL391">
        <v>1</v>
      </c>
      <c r="AM391">
        <v>572895</v>
      </c>
      <c r="AN391">
        <v>1</v>
      </c>
      <c r="AO391">
        <v>0</v>
      </c>
      <c r="AP391">
        <v>999</v>
      </c>
      <c r="AQ391">
        <v>430</v>
      </c>
      <c r="AR391">
        <v>430999</v>
      </c>
      <c r="AT391">
        <v>1</v>
      </c>
      <c r="AU391" t="s">
        <v>57</v>
      </c>
      <c r="AV391">
        <v>101552.46</v>
      </c>
      <c r="AW391">
        <v>114647.6485</v>
      </c>
      <c r="AX391">
        <v>118167.008</v>
      </c>
      <c r="AY391">
        <v>123559.05899999999</v>
      </c>
      <c r="AZ391">
        <v>128796.368</v>
      </c>
      <c r="BA391">
        <v>130000</v>
      </c>
      <c r="BB391">
        <v>135819.11300000001</v>
      </c>
      <c r="BC391">
        <v>145008.255</v>
      </c>
      <c r="BD391">
        <v>146226.546</v>
      </c>
      <c r="BE391">
        <v>148171.67300000001</v>
      </c>
      <c r="BF391">
        <v>156533.16500000001</v>
      </c>
      <c r="BG391">
        <v>167340.8915</v>
      </c>
      <c r="BH391">
        <v>179808.78</v>
      </c>
      <c r="BI391">
        <v>187222.14799999999</v>
      </c>
      <c r="BJ391">
        <v>206328.26500000001</v>
      </c>
      <c r="BK391">
        <v>220390.6225</v>
      </c>
      <c r="BL391">
        <v>239280.00000000009</v>
      </c>
      <c r="BM391">
        <v>298738.61</v>
      </c>
      <c r="BN391">
        <v>365407.64500000002</v>
      </c>
      <c r="BO391">
        <v>399465.49400000001</v>
      </c>
      <c r="BP391">
        <v>515709.15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0</v>
      </c>
      <c r="CI391">
        <v>0</v>
      </c>
      <c r="CJ391">
        <v>0</v>
      </c>
      <c r="CK391">
        <v>0</v>
      </c>
    </row>
    <row r="392" spans="1:89" x14ac:dyDescent="0.35">
      <c r="A392">
        <v>360300</v>
      </c>
      <c r="B392" t="s">
        <v>388</v>
      </c>
      <c r="C392" t="s">
        <v>389</v>
      </c>
      <c r="D392" s="1">
        <v>45828</v>
      </c>
      <c r="E392">
        <v>53850</v>
      </c>
      <c r="F392">
        <v>105</v>
      </c>
      <c r="G392" t="s">
        <v>47</v>
      </c>
      <c r="H392" t="s">
        <v>48</v>
      </c>
      <c r="I392" t="s">
        <v>49</v>
      </c>
      <c r="K392">
        <v>202506198085919</v>
      </c>
      <c r="L392">
        <v>1053306291588</v>
      </c>
      <c r="M392">
        <v>20250619</v>
      </c>
      <c r="N392" t="s">
        <v>400</v>
      </c>
      <c r="Q392" t="s">
        <v>58</v>
      </c>
      <c r="R392">
        <v>80000</v>
      </c>
      <c r="S392">
        <v>0</v>
      </c>
      <c r="T392">
        <v>446742</v>
      </c>
      <c r="U392" t="s">
        <v>738</v>
      </c>
      <c r="V392" t="s">
        <v>739</v>
      </c>
      <c r="W392" t="s">
        <v>66</v>
      </c>
      <c r="X392" t="s">
        <v>80</v>
      </c>
      <c r="Y392" t="s">
        <v>51</v>
      </c>
      <c r="Z392">
        <v>1947</v>
      </c>
      <c r="AH392">
        <v>0</v>
      </c>
      <c r="AI392">
        <v>202506</v>
      </c>
      <c r="AJ392" t="s">
        <v>168</v>
      </c>
      <c r="AK392">
        <v>1</v>
      </c>
      <c r="AL392">
        <v>1</v>
      </c>
      <c r="AO392">
        <v>0</v>
      </c>
      <c r="AP392">
        <v>477</v>
      </c>
      <c r="AQ392">
        <v>615</v>
      </c>
      <c r="AR392">
        <v>615477</v>
      </c>
      <c r="AS392" t="s">
        <v>270</v>
      </c>
      <c r="AU392" t="s">
        <v>270</v>
      </c>
      <c r="AV392">
        <v>37615</v>
      </c>
      <c r="AW392">
        <v>38129.25</v>
      </c>
      <c r="AX392">
        <v>38617</v>
      </c>
      <c r="AY392">
        <v>38985.5</v>
      </c>
      <c r="AZ392">
        <v>39276</v>
      </c>
      <c r="BA392">
        <v>39430</v>
      </c>
      <c r="BB392">
        <v>39650</v>
      </c>
      <c r="BC392">
        <v>39925</v>
      </c>
      <c r="BD392">
        <v>40004</v>
      </c>
      <c r="BE392">
        <v>40009.5</v>
      </c>
      <c r="BF392">
        <v>40505</v>
      </c>
      <c r="BG392">
        <v>41243.25</v>
      </c>
      <c r="BH392">
        <v>43919</v>
      </c>
      <c r="BI392">
        <v>46035.25</v>
      </c>
      <c r="BJ392">
        <v>46659.5</v>
      </c>
      <c r="BK392">
        <v>48836.25</v>
      </c>
      <c r="BL392">
        <v>52876.000000000007</v>
      </c>
      <c r="BM392">
        <v>56324.25</v>
      </c>
      <c r="BN392">
        <v>59434.5</v>
      </c>
      <c r="BO392">
        <v>63675.005999999987</v>
      </c>
      <c r="BP392">
        <v>68166.679999999993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</row>
    <row r="393" spans="1:89" x14ac:dyDescent="0.35">
      <c r="A393">
        <v>360293</v>
      </c>
      <c r="B393" t="s">
        <v>388</v>
      </c>
      <c r="C393" t="s">
        <v>389</v>
      </c>
      <c r="D393" s="1">
        <v>45828</v>
      </c>
      <c r="E393">
        <v>53850</v>
      </c>
      <c r="F393">
        <v>103</v>
      </c>
      <c r="G393" t="s">
        <v>59</v>
      </c>
      <c r="H393" t="s">
        <v>48</v>
      </c>
      <c r="I393" t="s">
        <v>49</v>
      </c>
      <c r="K393">
        <v>202506198085897</v>
      </c>
      <c r="L393">
        <v>1033300184830</v>
      </c>
      <c r="M393">
        <v>20250619</v>
      </c>
      <c r="N393" t="s">
        <v>400</v>
      </c>
      <c r="Q393" t="s">
        <v>58</v>
      </c>
      <c r="R393">
        <v>102817.51</v>
      </c>
      <c r="S393">
        <v>0</v>
      </c>
      <c r="T393">
        <v>18483</v>
      </c>
      <c r="U393" t="s">
        <v>740</v>
      </c>
      <c r="V393" t="s">
        <v>741</v>
      </c>
      <c r="W393" t="s">
        <v>50</v>
      </c>
      <c r="Y393" t="s">
        <v>51</v>
      </c>
      <c r="Z393">
        <v>806</v>
      </c>
      <c r="AH393">
        <v>0</v>
      </c>
      <c r="AI393">
        <v>202506</v>
      </c>
      <c r="AJ393" t="s">
        <v>168</v>
      </c>
      <c r="AK393">
        <v>1</v>
      </c>
      <c r="AL393">
        <v>1</v>
      </c>
      <c r="AO393">
        <v>0</v>
      </c>
      <c r="AP393">
        <v>999</v>
      </c>
      <c r="AQ393">
        <v>600</v>
      </c>
      <c r="AR393">
        <v>600999</v>
      </c>
      <c r="AS393" t="s">
        <v>52</v>
      </c>
      <c r="AU393" t="s">
        <v>52</v>
      </c>
      <c r="AV393">
        <v>107500</v>
      </c>
      <c r="AW393">
        <v>109625</v>
      </c>
      <c r="AX393">
        <v>110000</v>
      </c>
      <c r="AY393">
        <v>112750</v>
      </c>
      <c r="AZ393">
        <v>120738</v>
      </c>
      <c r="BA393">
        <v>129508.75</v>
      </c>
      <c r="BB393">
        <v>130380</v>
      </c>
      <c r="BC393">
        <v>133610</v>
      </c>
      <c r="BD393">
        <v>133800</v>
      </c>
      <c r="BE393">
        <v>141080</v>
      </c>
      <c r="BF393">
        <v>147500</v>
      </c>
      <c r="BG393">
        <v>155382.03049999999</v>
      </c>
      <c r="BH393">
        <v>165585.11799999999</v>
      </c>
      <c r="BI393">
        <v>166416.67000000001</v>
      </c>
      <c r="BJ393">
        <v>166416.67000000001</v>
      </c>
      <c r="BK393">
        <v>173582.95749999999</v>
      </c>
      <c r="BL393">
        <v>190388.68799999999</v>
      </c>
      <c r="BM393">
        <v>212150</v>
      </c>
      <c r="BN393">
        <v>283513.16900000011</v>
      </c>
      <c r="BO393">
        <v>415377.23</v>
      </c>
      <c r="BP393">
        <v>415377.23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 x14ac:dyDescent="0.35">
      <c r="A394">
        <v>360290</v>
      </c>
      <c r="B394" t="s">
        <v>388</v>
      </c>
      <c r="C394" t="s">
        <v>389</v>
      </c>
      <c r="D394" s="1">
        <v>45828</v>
      </c>
      <c r="E394">
        <v>53850</v>
      </c>
      <c r="F394">
        <v>175</v>
      </c>
      <c r="G394" t="s">
        <v>65</v>
      </c>
      <c r="H394" t="s">
        <v>48</v>
      </c>
      <c r="I394" t="s">
        <v>49</v>
      </c>
      <c r="K394" t="s">
        <v>362</v>
      </c>
      <c r="L394">
        <v>1753302203127</v>
      </c>
      <c r="M394">
        <v>20250619</v>
      </c>
      <c r="N394" t="s">
        <v>262</v>
      </c>
      <c r="Q394" t="s">
        <v>58</v>
      </c>
      <c r="R394">
        <v>110629.17</v>
      </c>
      <c r="S394">
        <v>100650</v>
      </c>
      <c r="T394">
        <v>4160138</v>
      </c>
      <c r="U394">
        <v>484200779</v>
      </c>
      <c r="V394" t="s">
        <v>279</v>
      </c>
      <c r="W394" t="s">
        <v>56</v>
      </c>
      <c r="X394" t="s">
        <v>280</v>
      </c>
      <c r="Y394" t="s">
        <v>51</v>
      </c>
      <c r="Z394">
        <v>739</v>
      </c>
      <c r="AH394">
        <v>0</v>
      </c>
      <c r="AI394">
        <v>202506</v>
      </c>
      <c r="AJ394" t="s">
        <v>168</v>
      </c>
      <c r="AK394">
        <v>1</v>
      </c>
      <c r="AL394">
        <v>1</v>
      </c>
      <c r="AM394">
        <v>4160138</v>
      </c>
      <c r="AN394">
        <v>1</v>
      </c>
      <c r="AO394">
        <v>1</v>
      </c>
      <c r="AP394">
        <v>999</v>
      </c>
      <c r="AQ394">
        <v>430</v>
      </c>
      <c r="AR394">
        <v>430999</v>
      </c>
      <c r="AT394">
        <v>1</v>
      </c>
      <c r="AU394" t="s">
        <v>57</v>
      </c>
      <c r="AV394">
        <v>101552.46</v>
      </c>
      <c r="AW394">
        <v>114647.6485</v>
      </c>
      <c r="AX394">
        <v>118167.008</v>
      </c>
      <c r="AY394">
        <v>123559.05899999999</v>
      </c>
      <c r="AZ394">
        <v>128796.368</v>
      </c>
      <c r="BA394">
        <v>130000</v>
      </c>
      <c r="BB394">
        <v>135819.11300000001</v>
      </c>
      <c r="BC394">
        <v>145008.255</v>
      </c>
      <c r="BD394">
        <v>146226.546</v>
      </c>
      <c r="BE394">
        <v>148171.67300000001</v>
      </c>
      <c r="BF394">
        <v>156533.16500000001</v>
      </c>
      <c r="BG394">
        <v>167340.8915</v>
      </c>
      <c r="BH394">
        <v>179808.78</v>
      </c>
      <c r="BI394">
        <v>187222.14799999999</v>
      </c>
      <c r="BJ394">
        <v>206328.26500000001</v>
      </c>
      <c r="BK394">
        <v>220390.6225</v>
      </c>
      <c r="BL394">
        <v>239280.00000000009</v>
      </c>
      <c r="BM394">
        <v>298738.61</v>
      </c>
      <c r="BN394">
        <v>365407.64500000002</v>
      </c>
      <c r="BO394">
        <v>399465.49400000001</v>
      </c>
      <c r="BP394">
        <v>515709.15</v>
      </c>
      <c r="BQ394">
        <v>1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 x14ac:dyDescent="0.35">
      <c r="A395">
        <v>360288</v>
      </c>
      <c r="B395" t="s">
        <v>388</v>
      </c>
      <c r="C395" t="s">
        <v>389</v>
      </c>
      <c r="D395" s="1">
        <v>45828</v>
      </c>
      <c r="E395">
        <v>53850</v>
      </c>
      <c r="F395">
        <v>171</v>
      </c>
      <c r="G395" t="s">
        <v>70</v>
      </c>
      <c r="H395" t="s">
        <v>48</v>
      </c>
      <c r="I395" t="s">
        <v>49</v>
      </c>
      <c r="K395" t="s">
        <v>362</v>
      </c>
      <c r="L395">
        <v>1713302214147</v>
      </c>
      <c r="M395">
        <v>20250619</v>
      </c>
      <c r="N395" t="s">
        <v>253</v>
      </c>
      <c r="Q395" t="s">
        <v>58</v>
      </c>
      <c r="R395">
        <v>145850</v>
      </c>
      <c r="S395">
        <v>145850</v>
      </c>
      <c r="T395">
        <v>4199319</v>
      </c>
      <c r="U395">
        <v>6037810725</v>
      </c>
      <c r="V395" t="s">
        <v>317</v>
      </c>
      <c r="W395" t="s">
        <v>56</v>
      </c>
      <c r="X395" t="s">
        <v>258</v>
      </c>
      <c r="Y395" t="s">
        <v>51</v>
      </c>
      <c r="Z395">
        <v>1903</v>
      </c>
      <c r="AH395">
        <v>0</v>
      </c>
      <c r="AI395">
        <v>202506</v>
      </c>
      <c r="AJ395" t="s">
        <v>168</v>
      </c>
      <c r="AK395">
        <v>1</v>
      </c>
      <c r="AL395">
        <v>1</v>
      </c>
      <c r="AM395">
        <v>4199319</v>
      </c>
      <c r="AN395">
        <v>1</v>
      </c>
      <c r="AO395">
        <v>0</v>
      </c>
      <c r="AP395">
        <v>999</v>
      </c>
      <c r="AQ395">
        <v>430</v>
      </c>
      <c r="AR395">
        <v>430999</v>
      </c>
      <c r="AT395">
        <v>1</v>
      </c>
      <c r="AU395" t="s">
        <v>57</v>
      </c>
      <c r="AV395">
        <v>101552.46</v>
      </c>
      <c r="AW395">
        <v>114647.6485</v>
      </c>
      <c r="AX395">
        <v>118167.008</v>
      </c>
      <c r="AY395">
        <v>123559.05899999999</v>
      </c>
      <c r="AZ395">
        <v>128796.368</v>
      </c>
      <c r="BA395">
        <v>130000</v>
      </c>
      <c r="BB395">
        <v>135819.11300000001</v>
      </c>
      <c r="BC395">
        <v>145008.255</v>
      </c>
      <c r="BD395">
        <v>146226.546</v>
      </c>
      <c r="BE395">
        <v>148171.67300000001</v>
      </c>
      <c r="BF395">
        <v>156533.16500000001</v>
      </c>
      <c r="BG395">
        <v>167340.8915</v>
      </c>
      <c r="BH395">
        <v>179808.78</v>
      </c>
      <c r="BI395">
        <v>187222.14799999999</v>
      </c>
      <c r="BJ395">
        <v>206328.26500000001</v>
      </c>
      <c r="BK395">
        <v>220390.6225</v>
      </c>
      <c r="BL395">
        <v>239280.00000000009</v>
      </c>
      <c r="BM395">
        <v>298738.61</v>
      </c>
      <c r="BN395">
        <v>365407.64500000002</v>
      </c>
      <c r="BO395">
        <v>399465.49400000001</v>
      </c>
      <c r="BP395">
        <v>515709.15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 x14ac:dyDescent="0.35">
      <c r="A396">
        <v>360270</v>
      </c>
      <c r="B396" t="s">
        <v>388</v>
      </c>
      <c r="C396" t="s">
        <v>389</v>
      </c>
      <c r="D396" s="1">
        <v>45827</v>
      </c>
      <c r="E396">
        <v>53850</v>
      </c>
      <c r="F396">
        <v>121</v>
      </c>
      <c r="G396" t="s">
        <v>71</v>
      </c>
      <c r="H396" t="s">
        <v>48</v>
      </c>
      <c r="I396" t="s">
        <v>49</v>
      </c>
      <c r="K396">
        <v>202506188083420</v>
      </c>
      <c r="L396">
        <v>1213300003619</v>
      </c>
      <c r="M396">
        <v>20250618</v>
      </c>
      <c r="N396" t="s">
        <v>392</v>
      </c>
      <c r="Q396" t="s">
        <v>58</v>
      </c>
      <c r="R396">
        <v>90000</v>
      </c>
      <c r="S396">
        <v>0</v>
      </c>
      <c r="T396">
        <v>3745843</v>
      </c>
      <c r="U396" t="s">
        <v>742</v>
      </c>
      <c r="V396" t="s">
        <v>743</v>
      </c>
      <c r="W396" t="s">
        <v>66</v>
      </c>
      <c r="X396" t="s">
        <v>175</v>
      </c>
      <c r="Y396" t="s">
        <v>51</v>
      </c>
      <c r="Z396">
        <v>928</v>
      </c>
      <c r="AH396">
        <v>0</v>
      </c>
      <c r="AI396">
        <v>202506</v>
      </c>
      <c r="AJ396" t="s">
        <v>168</v>
      </c>
      <c r="AK396">
        <v>1</v>
      </c>
      <c r="AL396">
        <v>1</v>
      </c>
      <c r="AO396">
        <v>0</v>
      </c>
      <c r="AP396">
        <v>999</v>
      </c>
      <c r="AQ396">
        <v>615</v>
      </c>
      <c r="AR396">
        <v>615999</v>
      </c>
      <c r="AT396">
        <v>1</v>
      </c>
      <c r="AU396" t="s">
        <v>61</v>
      </c>
      <c r="AV396">
        <v>85050</v>
      </c>
      <c r="AW396">
        <v>89030</v>
      </c>
      <c r="AX396">
        <v>91669.203999999998</v>
      </c>
      <c r="AY396">
        <v>93087.394</v>
      </c>
      <c r="AZ396">
        <v>94164.18</v>
      </c>
      <c r="BA396">
        <v>96798.05</v>
      </c>
      <c r="BB396">
        <v>100000</v>
      </c>
      <c r="BC396">
        <v>100000</v>
      </c>
      <c r="BD396">
        <v>101589.726</v>
      </c>
      <c r="BE396">
        <v>106295.712</v>
      </c>
      <c r="BF396">
        <v>110193.28</v>
      </c>
      <c r="BG396">
        <v>119645.424</v>
      </c>
      <c r="BH396">
        <v>127698</v>
      </c>
      <c r="BI396">
        <v>137713.79399999999</v>
      </c>
      <c r="BJ396">
        <v>139806</v>
      </c>
      <c r="BK396">
        <v>150000</v>
      </c>
      <c r="BL396">
        <v>161820.22</v>
      </c>
      <c r="BM396">
        <v>190199.99999999991</v>
      </c>
      <c r="BN396">
        <v>213800</v>
      </c>
      <c r="BO396">
        <v>259913.9999999998</v>
      </c>
      <c r="BP396">
        <v>440000</v>
      </c>
      <c r="BQ396">
        <v>1</v>
      </c>
      <c r="BR396">
        <v>1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 x14ac:dyDescent="0.35">
      <c r="A397">
        <v>360246</v>
      </c>
      <c r="B397" t="s">
        <v>388</v>
      </c>
      <c r="C397" t="s">
        <v>389</v>
      </c>
      <c r="D397" s="1">
        <v>45827</v>
      </c>
      <c r="E397">
        <v>53850</v>
      </c>
      <c r="F397">
        <v>279</v>
      </c>
      <c r="G397" t="s">
        <v>329</v>
      </c>
      <c r="H397" t="s">
        <v>48</v>
      </c>
      <c r="I397" t="s">
        <v>49</v>
      </c>
      <c r="K397">
        <v>202506188083720</v>
      </c>
      <c r="L397">
        <v>2793300000491</v>
      </c>
      <c r="M397">
        <v>20250618</v>
      </c>
      <c r="N397" t="s">
        <v>400</v>
      </c>
      <c r="Q397" t="s">
        <v>58</v>
      </c>
      <c r="R397">
        <v>138000</v>
      </c>
      <c r="S397">
        <v>0</v>
      </c>
      <c r="T397">
        <v>1659317</v>
      </c>
      <c r="U397" t="s">
        <v>744</v>
      </c>
      <c r="V397" t="s">
        <v>745</v>
      </c>
      <c r="W397" t="s">
        <v>66</v>
      </c>
      <c r="X397" t="s">
        <v>577</v>
      </c>
      <c r="Y397" t="s">
        <v>51</v>
      </c>
      <c r="Z397">
        <v>1786</v>
      </c>
      <c r="AH397">
        <v>0</v>
      </c>
      <c r="AI397">
        <v>202506</v>
      </c>
      <c r="AJ397" t="s">
        <v>168</v>
      </c>
      <c r="AK397">
        <v>1</v>
      </c>
      <c r="AL397">
        <v>1</v>
      </c>
      <c r="AO397">
        <v>0</v>
      </c>
      <c r="AP397">
        <v>999</v>
      </c>
      <c r="AQ397">
        <v>615</v>
      </c>
      <c r="AR397">
        <v>615999</v>
      </c>
      <c r="AT397">
        <v>1</v>
      </c>
      <c r="AU397" t="s">
        <v>61</v>
      </c>
      <c r="AV397">
        <v>85050</v>
      </c>
      <c r="AW397">
        <v>89030</v>
      </c>
      <c r="AX397">
        <v>91669.203999999998</v>
      </c>
      <c r="AY397">
        <v>93087.394</v>
      </c>
      <c r="AZ397">
        <v>94164.18</v>
      </c>
      <c r="BA397">
        <v>96798.05</v>
      </c>
      <c r="BB397">
        <v>100000</v>
      </c>
      <c r="BC397">
        <v>100000</v>
      </c>
      <c r="BD397">
        <v>101589.726</v>
      </c>
      <c r="BE397">
        <v>106295.712</v>
      </c>
      <c r="BF397">
        <v>110193.28</v>
      </c>
      <c r="BG397">
        <v>119645.424</v>
      </c>
      <c r="BH397">
        <v>127698</v>
      </c>
      <c r="BI397">
        <v>137713.79399999999</v>
      </c>
      <c r="BJ397">
        <v>139806</v>
      </c>
      <c r="BK397">
        <v>150000</v>
      </c>
      <c r="BL397">
        <v>161820.22</v>
      </c>
      <c r="BM397">
        <v>190199.99999999991</v>
      </c>
      <c r="BN397">
        <v>213800</v>
      </c>
      <c r="BO397">
        <v>259913.9999999998</v>
      </c>
      <c r="BP397">
        <v>440000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 x14ac:dyDescent="0.35">
      <c r="A398">
        <v>360239</v>
      </c>
      <c r="B398" t="s">
        <v>388</v>
      </c>
      <c r="C398" t="s">
        <v>389</v>
      </c>
      <c r="D398" s="1">
        <v>45826</v>
      </c>
      <c r="E398">
        <v>53850</v>
      </c>
      <c r="F398">
        <v>170</v>
      </c>
      <c r="G398" t="s">
        <v>82</v>
      </c>
      <c r="H398" t="s">
        <v>48</v>
      </c>
      <c r="I398" t="s">
        <v>49</v>
      </c>
      <c r="K398">
        <v>202506178080208</v>
      </c>
      <c r="L398">
        <v>1703306290627</v>
      </c>
      <c r="M398">
        <v>20250617</v>
      </c>
      <c r="N398" t="s">
        <v>392</v>
      </c>
      <c r="Q398" t="s">
        <v>58</v>
      </c>
      <c r="R398">
        <v>512400</v>
      </c>
      <c r="S398">
        <v>0</v>
      </c>
      <c r="T398">
        <v>4530011</v>
      </c>
      <c r="U398">
        <v>6876700722</v>
      </c>
      <c r="V398" t="s">
        <v>746</v>
      </c>
      <c r="W398" t="s">
        <v>56</v>
      </c>
      <c r="X398" t="s">
        <v>235</v>
      </c>
      <c r="Y398" t="s">
        <v>51</v>
      </c>
      <c r="Z398">
        <v>1920</v>
      </c>
      <c r="AH398">
        <v>0</v>
      </c>
      <c r="AI398">
        <v>202506</v>
      </c>
      <c r="AJ398" t="s">
        <v>168</v>
      </c>
      <c r="AK398">
        <v>1</v>
      </c>
      <c r="AL398">
        <v>1</v>
      </c>
      <c r="AO398">
        <v>0</v>
      </c>
      <c r="AP398">
        <v>999</v>
      </c>
      <c r="AQ398">
        <v>430</v>
      </c>
      <c r="AR398">
        <v>430999</v>
      </c>
      <c r="AT398">
        <v>1</v>
      </c>
      <c r="AU398" t="s">
        <v>57</v>
      </c>
      <c r="AV398">
        <v>101552.46</v>
      </c>
      <c r="AW398">
        <v>114647.6485</v>
      </c>
      <c r="AX398">
        <v>118167.008</v>
      </c>
      <c r="AY398">
        <v>123559.05899999999</v>
      </c>
      <c r="AZ398">
        <v>128796.368</v>
      </c>
      <c r="BA398">
        <v>130000</v>
      </c>
      <c r="BB398">
        <v>135819.11300000001</v>
      </c>
      <c r="BC398">
        <v>145008.255</v>
      </c>
      <c r="BD398">
        <v>146226.546</v>
      </c>
      <c r="BE398">
        <v>148171.67300000001</v>
      </c>
      <c r="BF398">
        <v>156533.16500000001</v>
      </c>
      <c r="BG398">
        <v>167340.8915</v>
      </c>
      <c r="BH398">
        <v>179808.78</v>
      </c>
      <c r="BI398">
        <v>187222.14799999999</v>
      </c>
      <c r="BJ398">
        <v>206328.26500000001</v>
      </c>
      <c r="BK398">
        <v>220390.6225</v>
      </c>
      <c r="BL398">
        <v>239280.00000000009</v>
      </c>
      <c r="BM398">
        <v>298738.61</v>
      </c>
      <c r="BN398">
        <v>365407.64500000002</v>
      </c>
      <c r="BO398">
        <v>399465.49400000001</v>
      </c>
      <c r="BP398">
        <v>515709.15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0</v>
      </c>
    </row>
    <row r="399" spans="1:89" x14ac:dyDescent="0.35">
      <c r="A399">
        <v>360233</v>
      </c>
      <c r="B399" t="s">
        <v>388</v>
      </c>
      <c r="C399" t="s">
        <v>389</v>
      </c>
      <c r="D399" s="1">
        <v>45826</v>
      </c>
      <c r="E399">
        <v>53850</v>
      </c>
      <c r="F399">
        <v>170</v>
      </c>
      <c r="G399" t="s">
        <v>82</v>
      </c>
      <c r="H399" t="s">
        <v>48</v>
      </c>
      <c r="I399" t="s">
        <v>49</v>
      </c>
      <c r="K399">
        <v>202506178080209</v>
      </c>
      <c r="L399">
        <v>1703306290713</v>
      </c>
      <c r="M399">
        <v>20250617</v>
      </c>
      <c r="N399" t="s">
        <v>400</v>
      </c>
      <c r="Q399" t="s">
        <v>58</v>
      </c>
      <c r="R399">
        <v>156000</v>
      </c>
      <c r="S399">
        <v>0</v>
      </c>
      <c r="T399">
        <v>4206269</v>
      </c>
      <c r="U399" t="s">
        <v>747</v>
      </c>
      <c r="V399" t="s">
        <v>748</v>
      </c>
      <c r="W399" t="s">
        <v>50</v>
      </c>
      <c r="Y399" t="s">
        <v>51</v>
      </c>
      <c r="Z399">
        <v>1476</v>
      </c>
      <c r="AH399">
        <v>0</v>
      </c>
      <c r="AI399">
        <v>202506</v>
      </c>
      <c r="AJ399" t="s">
        <v>168</v>
      </c>
      <c r="AK399">
        <v>1</v>
      </c>
      <c r="AL399">
        <v>1</v>
      </c>
      <c r="AO399">
        <v>0</v>
      </c>
      <c r="AP399">
        <v>999</v>
      </c>
      <c r="AQ399">
        <v>600</v>
      </c>
      <c r="AR399">
        <v>600999</v>
      </c>
      <c r="AS399" t="s">
        <v>52</v>
      </c>
      <c r="AU399" t="s">
        <v>52</v>
      </c>
      <c r="AV399">
        <v>107500</v>
      </c>
      <c r="AW399">
        <v>109625</v>
      </c>
      <c r="AX399">
        <v>110000</v>
      </c>
      <c r="AY399">
        <v>112750</v>
      </c>
      <c r="AZ399">
        <v>120738</v>
      </c>
      <c r="BA399">
        <v>129508.75</v>
      </c>
      <c r="BB399">
        <v>130380</v>
      </c>
      <c r="BC399">
        <v>133610</v>
      </c>
      <c r="BD399">
        <v>133800</v>
      </c>
      <c r="BE399">
        <v>141080</v>
      </c>
      <c r="BF399">
        <v>147500</v>
      </c>
      <c r="BG399">
        <v>155382.03049999999</v>
      </c>
      <c r="BH399">
        <v>165585.11799999999</v>
      </c>
      <c r="BI399">
        <v>166416.67000000001</v>
      </c>
      <c r="BJ399">
        <v>166416.67000000001</v>
      </c>
      <c r="BK399">
        <v>173582.95749999999</v>
      </c>
      <c r="BL399">
        <v>190388.68799999999</v>
      </c>
      <c r="BM399">
        <v>212150</v>
      </c>
      <c r="BN399">
        <v>283513.16900000011</v>
      </c>
      <c r="BO399">
        <v>415377.23</v>
      </c>
      <c r="BP399">
        <v>415377.23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 x14ac:dyDescent="0.35">
      <c r="A400">
        <v>360228</v>
      </c>
      <c r="B400" t="s">
        <v>388</v>
      </c>
      <c r="C400" t="s">
        <v>389</v>
      </c>
      <c r="D400" s="1">
        <v>45826</v>
      </c>
      <c r="E400">
        <v>53850</v>
      </c>
      <c r="F400">
        <v>121</v>
      </c>
      <c r="G400" t="s">
        <v>71</v>
      </c>
      <c r="H400" t="s">
        <v>48</v>
      </c>
      <c r="I400" t="s">
        <v>49</v>
      </c>
      <c r="K400">
        <v>202506178080058</v>
      </c>
      <c r="L400">
        <v>1213300002971</v>
      </c>
      <c r="M400">
        <v>20250617</v>
      </c>
      <c r="N400" t="s">
        <v>392</v>
      </c>
      <c r="Q400" t="s">
        <v>58</v>
      </c>
      <c r="R400">
        <v>343000</v>
      </c>
      <c r="S400">
        <v>0</v>
      </c>
      <c r="T400">
        <v>4859756</v>
      </c>
      <c r="U400">
        <v>7229510727</v>
      </c>
      <c r="V400" t="s">
        <v>574</v>
      </c>
      <c r="W400" t="s">
        <v>56</v>
      </c>
      <c r="X400" t="s">
        <v>575</v>
      </c>
      <c r="Y400" t="s">
        <v>51</v>
      </c>
      <c r="Z400">
        <v>1058</v>
      </c>
      <c r="AH400">
        <v>0</v>
      </c>
      <c r="AI400">
        <v>202506</v>
      </c>
      <c r="AJ400" t="s">
        <v>168</v>
      </c>
      <c r="AK400">
        <v>1</v>
      </c>
      <c r="AL400">
        <v>1</v>
      </c>
      <c r="AO400">
        <v>0</v>
      </c>
      <c r="AP400">
        <v>999</v>
      </c>
      <c r="AQ400">
        <v>430</v>
      </c>
      <c r="AR400">
        <v>430999</v>
      </c>
      <c r="AT400">
        <v>1</v>
      </c>
      <c r="AU400" t="s">
        <v>57</v>
      </c>
      <c r="AV400">
        <v>101552.46</v>
      </c>
      <c r="AW400">
        <v>114647.6485</v>
      </c>
      <c r="AX400">
        <v>118167.008</v>
      </c>
      <c r="AY400">
        <v>123559.05899999999</v>
      </c>
      <c r="AZ400">
        <v>128796.368</v>
      </c>
      <c r="BA400">
        <v>130000</v>
      </c>
      <c r="BB400">
        <v>135819.11300000001</v>
      </c>
      <c r="BC400">
        <v>145008.255</v>
      </c>
      <c r="BD400">
        <v>146226.546</v>
      </c>
      <c r="BE400">
        <v>148171.67300000001</v>
      </c>
      <c r="BF400">
        <v>156533.16500000001</v>
      </c>
      <c r="BG400">
        <v>167340.8915</v>
      </c>
      <c r="BH400">
        <v>179808.78</v>
      </c>
      <c r="BI400">
        <v>187222.14799999999</v>
      </c>
      <c r="BJ400">
        <v>206328.26500000001</v>
      </c>
      <c r="BK400">
        <v>220390.6225</v>
      </c>
      <c r="BL400">
        <v>239280.00000000009</v>
      </c>
      <c r="BM400">
        <v>298738.61</v>
      </c>
      <c r="BN400">
        <v>365407.64500000002</v>
      </c>
      <c r="BO400">
        <v>399465.49400000001</v>
      </c>
      <c r="BP400">
        <v>515709.15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0</v>
      </c>
      <c r="CJ400">
        <v>0</v>
      </c>
      <c r="CK400">
        <v>0</v>
      </c>
    </row>
    <row r="401" spans="1:89" x14ac:dyDescent="0.35">
      <c r="A401">
        <v>360216</v>
      </c>
      <c r="B401" t="s">
        <v>388</v>
      </c>
      <c r="C401" t="s">
        <v>389</v>
      </c>
      <c r="D401" s="1">
        <v>45826</v>
      </c>
      <c r="E401">
        <v>53850</v>
      </c>
      <c r="F401">
        <v>267</v>
      </c>
      <c r="G401" t="s">
        <v>170</v>
      </c>
      <c r="H401" t="s">
        <v>48</v>
      </c>
      <c r="I401" t="s">
        <v>49</v>
      </c>
      <c r="K401">
        <v>202506178080352</v>
      </c>
      <c r="L401">
        <v>2673300003600</v>
      </c>
      <c r="M401">
        <v>20250617</v>
      </c>
      <c r="N401" t="s">
        <v>265</v>
      </c>
      <c r="Q401" t="s">
        <v>58</v>
      </c>
      <c r="R401">
        <v>100000</v>
      </c>
      <c r="S401">
        <v>100000</v>
      </c>
      <c r="T401">
        <v>1705101</v>
      </c>
      <c r="U401">
        <v>2896870793</v>
      </c>
      <c r="V401" t="s">
        <v>288</v>
      </c>
      <c r="W401" t="s">
        <v>64</v>
      </c>
      <c r="X401" t="s">
        <v>258</v>
      </c>
      <c r="Y401" t="s">
        <v>51</v>
      </c>
      <c r="Z401">
        <v>1878</v>
      </c>
      <c r="AH401">
        <v>0</v>
      </c>
      <c r="AI401">
        <v>202506</v>
      </c>
      <c r="AJ401" t="s">
        <v>169</v>
      </c>
      <c r="AK401">
        <v>1</v>
      </c>
      <c r="AL401">
        <v>1</v>
      </c>
      <c r="AM401">
        <v>1705101</v>
      </c>
      <c r="AN401">
        <v>1</v>
      </c>
      <c r="AO401">
        <v>0</v>
      </c>
      <c r="AP401">
        <v>999</v>
      </c>
      <c r="AQ401">
        <v>492</v>
      </c>
      <c r="AR401">
        <v>492999</v>
      </c>
      <c r="AT401">
        <v>1</v>
      </c>
      <c r="AU401" t="s">
        <v>272</v>
      </c>
      <c r="AV401">
        <v>98000</v>
      </c>
      <c r="AW401">
        <v>98368.7</v>
      </c>
      <c r="AX401">
        <v>98737.4</v>
      </c>
      <c r="AY401">
        <v>99106.1</v>
      </c>
      <c r="AZ401">
        <v>99955</v>
      </c>
      <c r="BA401">
        <v>101044</v>
      </c>
      <c r="BB401">
        <v>102133</v>
      </c>
      <c r="BC401">
        <v>103273.1</v>
      </c>
      <c r="BD401">
        <v>104515.4</v>
      </c>
      <c r="BE401">
        <v>105757.7</v>
      </c>
      <c r="BF401">
        <v>107000</v>
      </c>
      <c r="BG401">
        <v>109400</v>
      </c>
      <c r="BH401">
        <v>111800</v>
      </c>
      <c r="BI401">
        <v>114200</v>
      </c>
      <c r="BJ401">
        <v>118800</v>
      </c>
      <c r="BK401">
        <v>124500</v>
      </c>
      <c r="BL401">
        <v>130200</v>
      </c>
      <c r="BM401">
        <v>151054.99999999991</v>
      </c>
      <c r="BN401">
        <v>202220.00000000009</v>
      </c>
      <c r="BO401">
        <v>253384.99999999991</v>
      </c>
      <c r="BP401">
        <v>304550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 x14ac:dyDescent="0.35">
      <c r="A402">
        <v>360214</v>
      </c>
      <c r="B402" t="s">
        <v>388</v>
      </c>
      <c r="C402" t="s">
        <v>389</v>
      </c>
      <c r="D402" s="1">
        <v>45826</v>
      </c>
      <c r="E402">
        <v>53850</v>
      </c>
      <c r="F402">
        <v>116</v>
      </c>
      <c r="G402" t="s">
        <v>259</v>
      </c>
      <c r="H402" t="s">
        <v>48</v>
      </c>
      <c r="I402" t="s">
        <v>49</v>
      </c>
      <c r="K402">
        <v>202506178079797</v>
      </c>
      <c r="L402">
        <v>2343300010453</v>
      </c>
      <c r="M402">
        <v>20250617</v>
      </c>
      <c r="N402" t="s">
        <v>253</v>
      </c>
      <c r="Q402" t="s">
        <v>58</v>
      </c>
      <c r="R402">
        <v>153050.04999999999</v>
      </c>
      <c r="S402">
        <v>153050.04999999999</v>
      </c>
      <c r="T402">
        <v>4247777</v>
      </c>
      <c r="U402">
        <v>233470236</v>
      </c>
      <c r="V402" t="s">
        <v>260</v>
      </c>
      <c r="W402" t="s">
        <v>56</v>
      </c>
      <c r="X402" t="s">
        <v>72</v>
      </c>
      <c r="Y402" t="s">
        <v>51</v>
      </c>
      <c r="Z402">
        <v>1696</v>
      </c>
      <c r="AH402">
        <v>0</v>
      </c>
      <c r="AI402">
        <v>202506</v>
      </c>
      <c r="AJ402" t="s">
        <v>168</v>
      </c>
      <c r="AK402">
        <v>1</v>
      </c>
      <c r="AL402">
        <v>1</v>
      </c>
      <c r="AM402">
        <v>4247777</v>
      </c>
      <c r="AN402">
        <v>1</v>
      </c>
      <c r="AO402">
        <v>0</v>
      </c>
      <c r="AP402">
        <v>463</v>
      </c>
      <c r="AQ402">
        <v>430</v>
      </c>
      <c r="AR402">
        <v>430463</v>
      </c>
      <c r="AS402" t="s">
        <v>61</v>
      </c>
      <c r="AU402" t="s">
        <v>61</v>
      </c>
      <c r="AV402">
        <v>85050</v>
      </c>
      <c r="AW402">
        <v>89030</v>
      </c>
      <c r="AX402">
        <v>91669.203999999998</v>
      </c>
      <c r="AY402">
        <v>93087.394</v>
      </c>
      <c r="AZ402">
        <v>94164.18</v>
      </c>
      <c r="BA402">
        <v>96798.05</v>
      </c>
      <c r="BB402">
        <v>100000</v>
      </c>
      <c r="BC402">
        <v>100000</v>
      </c>
      <c r="BD402">
        <v>101589.726</v>
      </c>
      <c r="BE402">
        <v>106295.712</v>
      </c>
      <c r="BF402">
        <v>110193.28</v>
      </c>
      <c r="BG402">
        <v>119645.424</v>
      </c>
      <c r="BH402">
        <v>127698</v>
      </c>
      <c r="BI402">
        <v>137713.79399999999</v>
      </c>
      <c r="BJ402">
        <v>139806</v>
      </c>
      <c r="BK402">
        <v>150000</v>
      </c>
      <c r="BL402">
        <v>161820.22</v>
      </c>
      <c r="BM402">
        <v>190199.99999999991</v>
      </c>
      <c r="BN402">
        <v>213800</v>
      </c>
      <c r="BO402">
        <v>259913.9999999998</v>
      </c>
      <c r="BP402">
        <v>440000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 x14ac:dyDescent="0.35">
      <c r="A403">
        <v>360213</v>
      </c>
      <c r="B403" t="s">
        <v>388</v>
      </c>
      <c r="C403" t="s">
        <v>389</v>
      </c>
      <c r="D403" s="1">
        <v>45826</v>
      </c>
      <c r="E403">
        <v>53850</v>
      </c>
      <c r="F403">
        <v>170</v>
      </c>
      <c r="G403" t="s">
        <v>82</v>
      </c>
      <c r="H403" t="s">
        <v>48</v>
      </c>
      <c r="I403" t="s">
        <v>49</v>
      </c>
      <c r="K403">
        <v>202506178080209</v>
      </c>
      <c r="L403">
        <v>1703306290713</v>
      </c>
      <c r="M403">
        <v>20250617</v>
      </c>
      <c r="N403" t="s">
        <v>400</v>
      </c>
      <c r="Q403" t="s">
        <v>58</v>
      </c>
      <c r="R403">
        <v>156000</v>
      </c>
      <c r="S403">
        <v>0</v>
      </c>
      <c r="T403">
        <v>4206297</v>
      </c>
      <c r="U403" t="s">
        <v>749</v>
      </c>
      <c r="V403" t="s">
        <v>750</v>
      </c>
      <c r="W403" t="s">
        <v>50</v>
      </c>
      <c r="Y403" t="s">
        <v>51</v>
      </c>
      <c r="Z403">
        <v>1476</v>
      </c>
      <c r="AH403">
        <v>0</v>
      </c>
      <c r="AI403">
        <v>202506</v>
      </c>
      <c r="AJ403" t="s">
        <v>168</v>
      </c>
      <c r="AK403">
        <v>1</v>
      </c>
      <c r="AL403">
        <v>1</v>
      </c>
      <c r="AO403">
        <v>0</v>
      </c>
      <c r="AP403">
        <v>999</v>
      </c>
      <c r="AQ403">
        <v>600</v>
      </c>
      <c r="AR403">
        <v>600999</v>
      </c>
      <c r="AS403" t="s">
        <v>52</v>
      </c>
      <c r="AU403" t="s">
        <v>52</v>
      </c>
      <c r="AV403">
        <v>107500</v>
      </c>
      <c r="AW403">
        <v>109625</v>
      </c>
      <c r="AX403">
        <v>110000</v>
      </c>
      <c r="AY403">
        <v>112750</v>
      </c>
      <c r="AZ403">
        <v>120738</v>
      </c>
      <c r="BA403">
        <v>129508.75</v>
      </c>
      <c r="BB403">
        <v>130380</v>
      </c>
      <c r="BC403">
        <v>133610</v>
      </c>
      <c r="BD403">
        <v>133800</v>
      </c>
      <c r="BE403">
        <v>141080</v>
      </c>
      <c r="BF403">
        <v>147500</v>
      </c>
      <c r="BG403">
        <v>155382.03049999999</v>
      </c>
      <c r="BH403">
        <v>165585.11799999999</v>
      </c>
      <c r="BI403">
        <v>166416.67000000001</v>
      </c>
      <c r="BJ403">
        <v>166416.67000000001</v>
      </c>
      <c r="BK403">
        <v>173582.95749999999</v>
      </c>
      <c r="BL403">
        <v>190388.68799999999</v>
      </c>
      <c r="BM403">
        <v>212150</v>
      </c>
      <c r="BN403">
        <v>283513.16900000011</v>
      </c>
      <c r="BO403">
        <v>415377.23</v>
      </c>
      <c r="BP403">
        <v>415377.23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 x14ac:dyDescent="0.35">
      <c r="A404">
        <v>360209</v>
      </c>
      <c r="B404" t="s">
        <v>388</v>
      </c>
      <c r="C404" t="s">
        <v>389</v>
      </c>
      <c r="D404" s="1">
        <v>45826</v>
      </c>
      <c r="E404">
        <v>53850</v>
      </c>
      <c r="F404">
        <v>171</v>
      </c>
      <c r="G404" t="s">
        <v>70</v>
      </c>
      <c r="H404" t="s">
        <v>48</v>
      </c>
      <c r="I404" t="s">
        <v>49</v>
      </c>
      <c r="K404" t="s">
        <v>364</v>
      </c>
      <c r="L404">
        <v>1713305728950</v>
      </c>
      <c r="M404">
        <v>20250617</v>
      </c>
      <c r="N404" t="s">
        <v>262</v>
      </c>
      <c r="Q404" t="s">
        <v>58</v>
      </c>
      <c r="R404">
        <v>260070</v>
      </c>
      <c r="S404">
        <v>254570</v>
      </c>
      <c r="T404">
        <v>572895</v>
      </c>
      <c r="U404">
        <v>4161600723</v>
      </c>
      <c r="V404" t="s">
        <v>257</v>
      </c>
      <c r="W404" t="s">
        <v>56</v>
      </c>
      <c r="X404" t="s">
        <v>258</v>
      </c>
      <c r="Y404" t="s">
        <v>51</v>
      </c>
      <c r="Z404">
        <v>1903</v>
      </c>
      <c r="AH404">
        <v>0</v>
      </c>
      <c r="AI404">
        <v>202506</v>
      </c>
      <c r="AJ404" t="s">
        <v>169</v>
      </c>
      <c r="AK404">
        <v>1</v>
      </c>
      <c r="AL404">
        <v>1</v>
      </c>
      <c r="AM404">
        <v>572895</v>
      </c>
      <c r="AN404">
        <v>1</v>
      </c>
      <c r="AO404">
        <v>1</v>
      </c>
      <c r="AP404">
        <v>999</v>
      </c>
      <c r="AQ404">
        <v>430</v>
      </c>
      <c r="AR404">
        <v>430999</v>
      </c>
      <c r="AT404">
        <v>1</v>
      </c>
      <c r="AU404" t="s">
        <v>57</v>
      </c>
      <c r="AV404">
        <v>101552.46</v>
      </c>
      <c r="AW404">
        <v>114647.6485</v>
      </c>
      <c r="AX404">
        <v>118167.008</v>
      </c>
      <c r="AY404">
        <v>123559.05899999999</v>
      </c>
      <c r="AZ404">
        <v>128796.368</v>
      </c>
      <c r="BA404">
        <v>130000</v>
      </c>
      <c r="BB404">
        <v>135819.11300000001</v>
      </c>
      <c r="BC404">
        <v>145008.255</v>
      </c>
      <c r="BD404">
        <v>146226.546</v>
      </c>
      <c r="BE404">
        <v>148171.67300000001</v>
      </c>
      <c r="BF404">
        <v>156533.16500000001</v>
      </c>
      <c r="BG404">
        <v>167340.8915</v>
      </c>
      <c r="BH404">
        <v>179808.78</v>
      </c>
      <c r="BI404">
        <v>187222.14799999999</v>
      </c>
      <c r="BJ404">
        <v>206328.26500000001</v>
      </c>
      <c r="BK404">
        <v>220390.6225</v>
      </c>
      <c r="BL404">
        <v>239280.00000000009</v>
      </c>
      <c r="BM404">
        <v>298738.61</v>
      </c>
      <c r="BN404">
        <v>365407.64500000002</v>
      </c>
      <c r="BO404">
        <v>399465.49400000001</v>
      </c>
      <c r="BP404">
        <v>515709.15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0</v>
      </c>
      <c r="CI404">
        <v>0</v>
      </c>
      <c r="CJ404">
        <v>0</v>
      </c>
      <c r="CK404">
        <v>0</v>
      </c>
    </row>
    <row r="405" spans="1:89" x14ac:dyDescent="0.35">
      <c r="A405">
        <v>360208</v>
      </c>
      <c r="B405" t="s">
        <v>388</v>
      </c>
      <c r="C405" t="s">
        <v>389</v>
      </c>
      <c r="D405" s="1">
        <v>45826</v>
      </c>
      <c r="E405">
        <v>53850</v>
      </c>
      <c r="F405">
        <v>170</v>
      </c>
      <c r="G405" t="s">
        <v>82</v>
      </c>
      <c r="H405" t="s">
        <v>48</v>
      </c>
      <c r="I405" t="s">
        <v>49</v>
      </c>
      <c r="K405">
        <v>202506178080210</v>
      </c>
      <c r="L405">
        <v>1703306287143</v>
      </c>
      <c r="M405">
        <v>20250617</v>
      </c>
      <c r="N405" t="s">
        <v>400</v>
      </c>
      <c r="Q405" t="s">
        <v>58</v>
      </c>
      <c r="R405">
        <v>156000</v>
      </c>
      <c r="S405">
        <v>0</v>
      </c>
      <c r="T405">
        <v>4206269</v>
      </c>
      <c r="U405" t="s">
        <v>747</v>
      </c>
      <c r="V405" t="s">
        <v>748</v>
      </c>
      <c r="W405" t="s">
        <v>50</v>
      </c>
      <c r="Y405" t="s">
        <v>51</v>
      </c>
      <c r="Z405">
        <v>1476</v>
      </c>
      <c r="AH405">
        <v>0</v>
      </c>
      <c r="AI405">
        <v>202506</v>
      </c>
      <c r="AJ405" t="s">
        <v>168</v>
      </c>
      <c r="AK405">
        <v>1</v>
      </c>
      <c r="AL405">
        <v>1</v>
      </c>
      <c r="AO405">
        <v>0</v>
      </c>
      <c r="AP405">
        <v>999</v>
      </c>
      <c r="AQ405">
        <v>600</v>
      </c>
      <c r="AR405">
        <v>600999</v>
      </c>
      <c r="AS405" t="s">
        <v>52</v>
      </c>
      <c r="AU405" t="s">
        <v>52</v>
      </c>
      <c r="AV405">
        <v>107500</v>
      </c>
      <c r="AW405">
        <v>109625</v>
      </c>
      <c r="AX405">
        <v>110000</v>
      </c>
      <c r="AY405">
        <v>112750</v>
      </c>
      <c r="AZ405">
        <v>120738</v>
      </c>
      <c r="BA405">
        <v>129508.75</v>
      </c>
      <c r="BB405">
        <v>130380</v>
      </c>
      <c r="BC405">
        <v>133610</v>
      </c>
      <c r="BD405">
        <v>133800</v>
      </c>
      <c r="BE405">
        <v>141080</v>
      </c>
      <c r="BF405">
        <v>147500</v>
      </c>
      <c r="BG405">
        <v>155382.03049999999</v>
      </c>
      <c r="BH405">
        <v>165585.11799999999</v>
      </c>
      <c r="BI405">
        <v>166416.67000000001</v>
      </c>
      <c r="BJ405">
        <v>166416.67000000001</v>
      </c>
      <c r="BK405">
        <v>173582.95749999999</v>
      </c>
      <c r="BL405">
        <v>190388.68799999999</v>
      </c>
      <c r="BM405">
        <v>212150</v>
      </c>
      <c r="BN405">
        <v>283513.16900000011</v>
      </c>
      <c r="BO405">
        <v>415377.23</v>
      </c>
      <c r="BP405">
        <v>415377.23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 x14ac:dyDescent="0.35">
      <c r="A406">
        <v>360206</v>
      </c>
      <c r="B406" t="s">
        <v>388</v>
      </c>
      <c r="C406" t="s">
        <v>389</v>
      </c>
      <c r="D406" s="1">
        <v>45826</v>
      </c>
      <c r="E406">
        <v>53850</v>
      </c>
      <c r="F406">
        <v>170</v>
      </c>
      <c r="G406" t="s">
        <v>82</v>
      </c>
      <c r="H406" t="s">
        <v>48</v>
      </c>
      <c r="I406" t="s">
        <v>49</v>
      </c>
      <c r="K406">
        <v>202506178080210</v>
      </c>
      <c r="L406">
        <v>1703306287143</v>
      </c>
      <c r="M406">
        <v>20250617</v>
      </c>
      <c r="N406" t="s">
        <v>400</v>
      </c>
      <c r="Q406" t="s">
        <v>58</v>
      </c>
      <c r="R406">
        <v>156000</v>
      </c>
      <c r="S406">
        <v>0</v>
      </c>
      <c r="T406">
        <v>4462405</v>
      </c>
      <c r="U406" t="s">
        <v>751</v>
      </c>
      <c r="V406" t="s">
        <v>752</v>
      </c>
      <c r="W406" t="s">
        <v>50</v>
      </c>
      <c r="Y406" t="s">
        <v>51</v>
      </c>
      <c r="Z406">
        <v>1476</v>
      </c>
      <c r="AH406">
        <v>0</v>
      </c>
      <c r="AI406">
        <v>202506</v>
      </c>
      <c r="AJ406" t="s">
        <v>168</v>
      </c>
      <c r="AK406">
        <v>1</v>
      </c>
      <c r="AL406">
        <v>1</v>
      </c>
      <c r="AO406">
        <v>0</v>
      </c>
      <c r="AP406">
        <v>999</v>
      </c>
      <c r="AQ406">
        <v>600</v>
      </c>
      <c r="AR406">
        <v>600999</v>
      </c>
      <c r="AS406" t="s">
        <v>52</v>
      </c>
      <c r="AU406" t="s">
        <v>52</v>
      </c>
      <c r="AV406">
        <v>107500</v>
      </c>
      <c r="AW406">
        <v>109625</v>
      </c>
      <c r="AX406">
        <v>110000</v>
      </c>
      <c r="AY406">
        <v>112750</v>
      </c>
      <c r="AZ406">
        <v>120738</v>
      </c>
      <c r="BA406">
        <v>129508.75</v>
      </c>
      <c r="BB406">
        <v>130380</v>
      </c>
      <c r="BC406">
        <v>133610</v>
      </c>
      <c r="BD406">
        <v>133800</v>
      </c>
      <c r="BE406">
        <v>141080</v>
      </c>
      <c r="BF406">
        <v>147500</v>
      </c>
      <c r="BG406">
        <v>155382.03049999999</v>
      </c>
      <c r="BH406">
        <v>165585.11799999999</v>
      </c>
      <c r="BI406">
        <v>166416.67000000001</v>
      </c>
      <c r="BJ406">
        <v>166416.67000000001</v>
      </c>
      <c r="BK406">
        <v>173582.95749999999</v>
      </c>
      <c r="BL406">
        <v>190388.68799999999</v>
      </c>
      <c r="BM406">
        <v>212150</v>
      </c>
      <c r="BN406">
        <v>283513.16900000011</v>
      </c>
      <c r="BO406">
        <v>415377.23</v>
      </c>
      <c r="BP406">
        <v>415377.23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 x14ac:dyDescent="0.35">
      <c r="A407">
        <v>360201</v>
      </c>
      <c r="B407" t="s">
        <v>388</v>
      </c>
      <c r="C407" t="s">
        <v>389</v>
      </c>
      <c r="D407" s="1">
        <v>45826</v>
      </c>
      <c r="E407">
        <v>53850</v>
      </c>
      <c r="F407">
        <v>103</v>
      </c>
      <c r="G407" t="s">
        <v>59</v>
      </c>
      <c r="H407" t="s">
        <v>48</v>
      </c>
      <c r="I407" t="s">
        <v>49</v>
      </c>
      <c r="K407">
        <v>202506168076304</v>
      </c>
      <c r="L407">
        <v>1033300511030</v>
      </c>
      <c r="M407">
        <v>20250616</v>
      </c>
      <c r="N407" t="s">
        <v>392</v>
      </c>
      <c r="Q407" t="s">
        <v>58</v>
      </c>
      <c r="R407">
        <v>190000</v>
      </c>
      <c r="S407">
        <v>0</v>
      </c>
      <c r="T407">
        <v>51103</v>
      </c>
      <c r="U407" t="s">
        <v>689</v>
      </c>
      <c r="V407" t="s">
        <v>690</v>
      </c>
      <c r="W407" t="s">
        <v>50</v>
      </c>
      <c r="Y407" t="s">
        <v>51</v>
      </c>
      <c r="Z407">
        <v>407</v>
      </c>
      <c r="AH407">
        <v>0</v>
      </c>
      <c r="AI407">
        <v>202506</v>
      </c>
      <c r="AJ407" t="s">
        <v>168</v>
      </c>
      <c r="AK407">
        <v>1</v>
      </c>
      <c r="AL407">
        <v>1</v>
      </c>
      <c r="AO407">
        <v>0</v>
      </c>
      <c r="AP407">
        <v>999</v>
      </c>
      <c r="AQ407">
        <v>600</v>
      </c>
      <c r="AR407">
        <v>600999</v>
      </c>
      <c r="AS407" t="s">
        <v>52</v>
      </c>
      <c r="AU407" t="s">
        <v>52</v>
      </c>
      <c r="AV407">
        <v>107500</v>
      </c>
      <c r="AW407">
        <v>109625</v>
      </c>
      <c r="AX407">
        <v>110000</v>
      </c>
      <c r="AY407">
        <v>112750</v>
      </c>
      <c r="AZ407">
        <v>120738</v>
      </c>
      <c r="BA407">
        <v>129508.75</v>
      </c>
      <c r="BB407">
        <v>130380</v>
      </c>
      <c r="BC407">
        <v>133610</v>
      </c>
      <c r="BD407">
        <v>133800</v>
      </c>
      <c r="BE407">
        <v>141080</v>
      </c>
      <c r="BF407">
        <v>147500</v>
      </c>
      <c r="BG407">
        <v>155382.03049999999</v>
      </c>
      <c r="BH407">
        <v>165585.11799999999</v>
      </c>
      <c r="BI407">
        <v>166416.67000000001</v>
      </c>
      <c r="BJ407">
        <v>166416.67000000001</v>
      </c>
      <c r="BK407">
        <v>173582.95749999999</v>
      </c>
      <c r="BL407">
        <v>190388.68799999999</v>
      </c>
      <c r="BM407">
        <v>212150</v>
      </c>
      <c r="BN407">
        <v>283513.16900000011</v>
      </c>
      <c r="BO407">
        <v>415377.23</v>
      </c>
      <c r="BP407">
        <v>415377.23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 x14ac:dyDescent="0.35">
      <c r="A408">
        <v>360199</v>
      </c>
      <c r="B408" t="s">
        <v>388</v>
      </c>
      <c r="C408" t="s">
        <v>389</v>
      </c>
      <c r="D408" s="1">
        <v>45826</v>
      </c>
      <c r="E408">
        <v>53850</v>
      </c>
      <c r="F408">
        <v>175</v>
      </c>
      <c r="G408" t="s">
        <v>65</v>
      </c>
      <c r="H408" t="s">
        <v>48</v>
      </c>
      <c r="I408" t="s">
        <v>49</v>
      </c>
      <c r="K408" t="s">
        <v>365</v>
      </c>
      <c r="L408">
        <v>1753302203127</v>
      </c>
      <c r="M408">
        <v>20250616</v>
      </c>
      <c r="N408" t="s">
        <v>262</v>
      </c>
      <c r="Q408" t="s">
        <v>58</v>
      </c>
      <c r="R408">
        <v>102538.68</v>
      </c>
      <c r="S408">
        <v>20880</v>
      </c>
      <c r="T408">
        <v>4160138</v>
      </c>
      <c r="U408">
        <v>484200779</v>
      </c>
      <c r="V408" t="s">
        <v>279</v>
      </c>
      <c r="W408" t="s">
        <v>56</v>
      </c>
      <c r="X408" t="s">
        <v>280</v>
      </c>
      <c r="Y408" t="s">
        <v>51</v>
      </c>
      <c r="Z408">
        <v>739</v>
      </c>
      <c r="AH408">
        <v>0</v>
      </c>
      <c r="AI408">
        <v>202506</v>
      </c>
      <c r="AJ408" t="s">
        <v>168</v>
      </c>
      <c r="AK408">
        <v>1</v>
      </c>
      <c r="AL408">
        <v>1</v>
      </c>
      <c r="AM408">
        <v>4160138</v>
      </c>
      <c r="AN408">
        <v>1</v>
      </c>
      <c r="AO408">
        <v>1</v>
      </c>
      <c r="AP408">
        <v>999</v>
      </c>
      <c r="AQ408">
        <v>430</v>
      </c>
      <c r="AR408">
        <v>430999</v>
      </c>
      <c r="AT408">
        <v>1</v>
      </c>
      <c r="AU408" t="s">
        <v>57</v>
      </c>
      <c r="AV408">
        <v>101552.46</v>
      </c>
      <c r="AW408">
        <v>114647.6485</v>
      </c>
      <c r="AX408">
        <v>118167.008</v>
      </c>
      <c r="AY408">
        <v>123559.05899999999</v>
      </c>
      <c r="AZ408">
        <v>128796.368</v>
      </c>
      <c r="BA408">
        <v>130000</v>
      </c>
      <c r="BB408">
        <v>135819.11300000001</v>
      </c>
      <c r="BC408">
        <v>145008.255</v>
      </c>
      <c r="BD408">
        <v>146226.546</v>
      </c>
      <c r="BE408">
        <v>148171.67300000001</v>
      </c>
      <c r="BF408">
        <v>156533.16500000001</v>
      </c>
      <c r="BG408">
        <v>167340.8915</v>
      </c>
      <c r="BH408">
        <v>179808.78</v>
      </c>
      <c r="BI408">
        <v>187222.14799999999</v>
      </c>
      <c r="BJ408">
        <v>206328.26500000001</v>
      </c>
      <c r="BK408">
        <v>220390.6225</v>
      </c>
      <c r="BL408">
        <v>239280.00000000009</v>
      </c>
      <c r="BM408">
        <v>298738.61</v>
      </c>
      <c r="BN408">
        <v>365407.64500000002</v>
      </c>
      <c r="BO408">
        <v>399465.49400000001</v>
      </c>
      <c r="BP408">
        <v>515709.15</v>
      </c>
      <c r="BQ408">
        <v>1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 x14ac:dyDescent="0.35">
      <c r="A409">
        <v>360197</v>
      </c>
      <c r="B409" t="s">
        <v>388</v>
      </c>
      <c r="C409" t="s">
        <v>389</v>
      </c>
      <c r="D409" s="1">
        <v>45826</v>
      </c>
      <c r="E409">
        <v>53850</v>
      </c>
      <c r="F409">
        <v>116</v>
      </c>
      <c r="G409" t="s">
        <v>259</v>
      </c>
      <c r="H409" t="s">
        <v>48</v>
      </c>
      <c r="I409" t="s">
        <v>49</v>
      </c>
      <c r="K409">
        <v>202506168076436</v>
      </c>
      <c r="L409">
        <v>1423306288020</v>
      </c>
      <c r="M409">
        <v>20250616</v>
      </c>
      <c r="N409" t="s">
        <v>400</v>
      </c>
      <c r="Q409" t="s">
        <v>58</v>
      </c>
      <c r="R409">
        <v>118000</v>
      </c>
      <c r="S409">
        <v>0</v>
      </c>
      <c r="T409">
        <v>4559385</v>
      </c>
      <c r="U409" t="s">
        <v>753</v>
      </c>
      <c r="V409" t="s">
        <v>754</v>
      </c>
      <c r="W409" t="s">
        <v>50</v>
      </c>
      <c r="Y409" t="s">
        <v>51</v>
      </c>
      <c r="AH409">
        <v>0</v>
      </c>
      <c r="AI409">
        <v>202506</v>
      </c>
      <c r="AJ409" t="s">
        <v>168</v>
      </c>
      <c r="AK409">
        <v>1</v>
      </c>
      <c r="AL409">
        <v>1</v>
      </c>
      <c r="AO409">
        <v>0</v>
      </c>
      <c r="AP409">
        <v>999</v>
      </c>
      <c r="AQ409">
        <v>600</v>
      </c>
      <c r="AR409">
        <v>600999</v>
      </c>
      <c r="AS409" t="s">
        <v>52</v>
      </c>
      <c r="AU409" t="s">
        <v>52</v>
      </c>
      <c r="AV409">
        <v>107500</v>
      </c>
      <c r="AW409">
        <v>109625</v>
      </c>
      <c r="AX409">
        <v>110000</v>
      </c>
      <c r="AY409">
        <v>112750</v>
      </c>
      <c r="AZ409">
        <v>120738</v>
      </c>
      <c r="BA409">
        <v>129508.75</v>
      </c>
      <c r="BB409">
        <v>130380</v>
      </c>
      <c r="BC409">
        <v>133610</v>
      </c>
      <c r="BD409">
        <v>133800</v>
      </c>
      <c r="BE409">
        <v>141080</v>
      </c>
      <c r="BF409">
        <v>147500</v>
      </c>
      <c r="BG409">
        <v>155382.03049999999</v>
      </c>
      <c r="BH409">
        <v>165585.11799999999</v>
      </c>
      <c r="BI409">
        <v>166416.67000000001</v>
      </c>
      <c r="BJ409">
        <v>166416.67000000001</v>
      </c>
      <c r="BK409">
        <v>173582.95749999999</v>
      </c>
      <c r="BL409">
        <v>190388.68799999999</v>
      </c>
      <c r="BM409">
        <v>212150</v>
      </c>
      <c r="BN409">
        <v>283513.16900000011</v>
      </c>
      <c r="BO409">
        <v>415377.23</v>
      </c>
      <c r="BP409">
        <v>415377.23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 x14ac:dyDescent="0.35">
      <c r="A410">
        <v>360185</v>
      </c>
      <c r="B410" t="s">
        <v>388</v>
      </c>
      <c r="C410" t="s">
        <v>389</v>
      </c>
      <c r="D410" s="1">
        <v>45826</v>
      </c>
      <c r="E410">
        <v>53850</v>
      </c>
      <c r="F410">
        <v>182</v>
      </c>
      <c r="G410" t="s">
        <v>284</v>
      </c>
      <c r="H410" t="s">
        <v>48</v>
      </c>
      <c r="I410" t="s">
        <v>49</v>
      </c>
      <c r="K410" t="s">
        <v>365</v>
      </c>
      <c r="L410">
        <v>1823300169301</v>
      </c>
      <c r="M410">
        <v>20250616</v>
      </c>
      <c r="N410" t="s">
        <v>253</v>
      </c>
      <c r="Q410" t="s">
        <v>58</v>
      </c>
      <c r="R410">
        <v>40825</v>
      </c>
      <c r="S410">
        <v>40825</v>
      </c>
      <c r="T410">
        <v>4284957</v>
      </c>
      <c r="U410" t="s">
        <v>285</v>
      </c>
      <c r="V410" t="s">
        <v>286</v>
      </c>
      <c r="W410" t="s">
        <v>66</v>
      </c>
      <c r="X410" t="s">
        <v>255</v>
      </c>
      <c r="Y410" t="s">
        <v>51</v>
      </c>
      <c r="Z410">
        <v>1656</v>
      </c>
      <c r="AH410">
        <v>0</v>
      </c>
      <c r="AI410">
        <v>202506</v>
      </c>
      <c r="AJ410" t="s">
        <v>169</v>
      </c>
      <c r="AK410">
        <v>1</v>
      </c>
      <c r="AL410">
        <v>1</v>
      </c>
      <c r="AM410">
        <v>4284957</v>
      </c>
      <c r="AN410">
        <v>1</v>
      </c>
      <c r="AO410">
        <v>0</v>
      </c>
      <c r="AP410">
        <v>920</v>
      </c>
      <c r="AQ410">
        <v>615</v>
      </c>
      <c r="AR410">
        <v>615920</v>
      </c>
      <c r="AS410" t="s">
        <v>270</v>
      </c>
      <c r="AU410" t="s">
        <v>270</v>
      </c>
      <c r="AV410">
        <v>37615</v>
      </c>
      <c r="AW410">
        <v>38129.25</v>
      </c>
      <c r="AX410">
        <v>38617</v>
      </c>
      <c r="AY410">
        <v>38985.5</v>
      </c>
      <c r="AZ410">
        <v>39276</v>
      </c>
      <c r="BA410">
        <v>39430</v>
      </c>
      <c r="BB410">
        <v>39650</v>
      </c>
      <c r="BC410">
        <v>39925</v>
      </c>
      <c r="BD410">
        <v>40004</v>
      </c>
      <c r="BE410">
        <v>40009.5</v>
      </c>
      <c r="BF410">
        <v>40505</v>
      </c>
      <c r="BG410">
        <v>41243.25</v>
      </c>
      <c r="BH410">
        <v>43919</v>
      </c>
      <c r="BI410">
        <v>46035.25</v>
      </c>
      <c r="BJ410">
        <v>46659.5</v>
      </c>
      <c r="BK410">
        <v>48836.25</v>
      </c>
      <c r="BL410">
        <v>52876.000000000007</v>
      </c>
      <c r="BM410">
        <v>56324.25</v>
      </c>
      <c r="BN410">
        <v>59434.5</v>
      </c>
      <c r="BO410">
        <v>63675.005999999987</v>
      </c>
      <c r="BP410">
        <v>68166.679999999993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 x14ac:dyDescent="0.35">
      <c r="A411">
        <v>360182</v>
      </c>
      <c r="B411" t="s">
        <v>388</v>
      </c>
      <c r="C411" t="s">
        <v>389</v>
      </c>
      <c r="D411" s="1">
        <v>45826</v>
      </c>
      <c r="E411">
        <v>53850</v>
      </c>
      <c r="F411">
        <v>105</v>
      </c>
      <c r="G411" t="s">
        <v>47</v>
      </c>
      <c r="H411" t="s">
        <v>48</v>
      </c>
      <c r="I411" t="s">
        <v>49</v>
      </c>
      <c r="K411">
        <v>202506168076346</v>
      </c>
      <c r="L411">
        <v>1053306290053</v>
      </c>
      <c r="M411">
        <v>20250616</v>
      </c>
      <c r="N411" t="s">
        <v>417</v>
      </c>
      <c r="Q411" t="s">
        <v>58</v>
      </c>
      <c r="R411">
        <v>98000</v>
      </c>
      <c r="S411">
        <v>0</v>
      </c>
      <c r="T411">
        <v>55359</v>
      </c>
      <c r="U411">
        <v>296600729</v>
      </c>
      <c r="V411" t="s">
        <v>469</v>
      </c>
      <c r="W411" t="s">
        <v>56</v>
      </c>
      <c r="X411" t="s">
        <v>180</v>
      </c>
      <c r="Y411" t="s">
        <v>51</v>
      </c>
      <c r="Z411">
        <v>1058</v>
      </c>
      <c r="AH411">
        <v>0</v>
      </c>
      <c r="AI411">
        <v>202506</v>
      </c>
      <c r="AJ411" t="s">
        <v>169</v>
      </c>
      <c r="AK411">
        <v>1</v>
      </c>
      <c r="AL411">
        <v>1</v>
      </c>
      <c r="AO411">
        <v>0</v>
      </c>
      <c r="AP411">
        <v>493</v>
      </c>
      <c r="AQ411">
        <v>430</v>
      </c>
      <c r="AR411">
        <v>430493</v>
      </c>
      <c r="AS411" t="s">
        <v>61</v>
      </c>
      <c r="AU411" t="s">
        <v>61</v>
      </c>
      <c r="AV411">
        <v>85050</v>
      </c>
      <c r="AW411">
        <v>89030</v>
      </c>
      <c r="AX411">
        <v>91669.203999999998</v>
      </c>
      <c r="AY411">
        <v>93087.394</v>
      </c>
      <c r="AZ411">
        <v>94164.18</v>
      </c>
      <c r="BA411">
        <v>96798.05</v>
      </c>
      <c r="BB411">
        <v>100000</v>
      </c>
      <c r="BC411">
        <v>100000</v>
      </c>
      <c r="BD411">
        <v>101589.726</v>
      </c>
      <c r="BE411">
        <v>106295.712</v>
      </c>
      <c r="BF411">
        <v>110193.28</v>
      </c>
      <c r="BG411">
        <v>119645.424</v>
      </c>
      <c r="BH411">
        <v>127698</v>
      </c>
      <c r="BI411">
        <v>137713.79399999999</v>
      </c>
      <c r="BJ411">
        <v>139806</v>
      </c>
      <c r="BK411">
        <v>150000</v>
      </c>
      <c r="BL411">
        <v>161820.22</v>
      </c>
      <c r="BM411">
        <v>190199.99999999991</v>
      </c>
      <c r="BN411">
        <v>213800</v>
      </c>
      <c r="BO411">
        <v>259913.9999999998</v>
      </c>
      <c r="BP411">
        <v>440000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 x14ac:dyDescent="0.35">
      <c r="A412">
        <v>360181</v>
      </c>
      <c r="B412" t="s">
        <v>388</v>
      </c>
      <c r="C412" t="s">
        <v>389</v>
      </c>
      <c r="D412" s="1">
        <v>45826</v>
      </c>
      <c r="E412">
        <v>53850</v>
      </c>
      <c r="F412">
        <v>171</v>
      </c>
      <c r="G412" t="s">
        <v>70</v>
      </c>
      <c r="H412" t="s">
        <v>48</v>
      </c>
      <c r="I412" t="s">
        <v>49</v>
      </c>
      <c r="K412" t="s">
        <v>365</v>
      </c>
      <c r="L412">
        <v>1713305728950</v>
      </c>
      <c r="M412">
        <v>20250616</v>
      </c>
      <c r="N412" t="s">
        <v>253</v>
      </c>
      <c r="Q412" t="s">
        <v>58</v>
      </c>
      <c r="R412">
        <v>341597.17</v>
      </c>
      <c r="S412">
        <v>341597.17</v>
      </c>
      <c r="T412">
        <v>572895</v>
      </c>
      <c r="U412">
        <v>4161600723</v>
      </c>
      <c r="V412" t="s">
        <v>257</v>
      </c>
      <c r="W412" t="s">
        <v>56</v>
      </c>
      <c r="X412" t="s">
        <v>258</v>
      </c>
      <c r="Y412" t="s">
        <v>51</v>
      </c>
      <c r="Z412">
        <v>1903</v>
      </c>
      <c r="AH412">
        <v>0</v>
      </c>
      <c r="AI412">
        <v>202506</v>
      </c>
      <c r="AJ412" t="s">
        <v>169</v>
      </c>
      <c r="AK412">
        <v>1</v>
      </c>
      <c r="AL412">
        <v>1</v>
      </c>
      <c r="AM412">
        <v>572895</v>
      </c>
      <c r="AN412">
        <v>1</v>
      </c>
      <c r="AO412">
        <v>0</v>
      </c>
      <c r="AP412">
        <v>999</v>
      </c>
      <c r="AQ412">
        <v>430</v>
      </c>
      <c r="AR412">
        <v>430999</v>
      </c>
      <c r="AT412">
        <v>1</v>
      </c>
      <c r="AU412" t="s">
        <v>57</v>
      </c>
      <c r="AV412">
        <v>101552.46</v>
      </c>
      <c r="AW412">
        <v>114647.6485</v>
      </c>
      <c r="AX412">
        <v>118167.008</v>
      </c>
      <c r="AY412">
        <v>123559.05899999999</v>
      </c>
      <c r="AZ412">
        <v>128796.368</v>
      </c>
      <c r="BA412">
        <v>130000</v>
      </c>
      <c r="BB412">
        <v>135819.11300000001</v>
      </c>
      <c r="BC412">
        <v>145008.255</v>
      </c>
      <c r="BD412">
        <v>146226.546</v>
      </c>
      <c r="BE412">
        <v>148171.67300000001</v>
      </c>
      <c r="BF412">
        <v>156533.16500000001</v>
      </c>
      <c r="BG412">
        <v>167340.8915</v>
      </c>
      <c r="BH412">
        <v>179808.78</v>
      </c>
      <c r="BI412">
        <v>187222.14799999999</v>
      </c>
      <c r="BJ412">
        <v>206328.26500000001</v>
      </c>
      <c r="BK412">
        <v>220390.6225</v>
      </c>
      <c r="BL412">
        <v>239280.00000000009</v>
      </c>
      <c r="BM412">
        <v>298738.61</v>
      </c>
      <c r="BN412">
        <v>365407.64500000002</v>
      </c>
      <c r="BO412">
        <v>399465.49400000001</v>
      </c>
      <c r="BP412">
        <v>515709.15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0</v>
      </c>
      <c r="CJ412">
        <v>0</v>
      </c>
      <c r="CK412">
        <v>0</v>
      </c>
    </row>
    <row r="413" spans="1:89" x14ac:dyDescent="0.35">
      <c r="A413">
        <v>360173</v>
      </c>
      <c r="B413" t="s">
        <v>388</v>
      </c>
      <c r="C413" t="s">
        <v>389</v>
      </c>
      <c r="D413" s="1">
        <v>45826</v>
      </c>
      <c r="E413">
        <v>53850</v>
      </c>
      <c r="F413">
        <v>116</v>
      </c>
      <c r="G413" t="s">
        <v>259</v>
      </c>
      <c r="H413" t="s">
        <v>48</v>
      </c>
      <c r="I413" t="s">
        <v>49</v>
      </c>
      <c r="K413">
        <v>202506168076436</v>
      </c>
      <c r="L413">
        <v>1423306288020</v>
      </c>
      <c r="M413">
        <v>20250616</v>
      </c>
      <c r="N413" t="s">
        <v>400</v>
      </c>
      <c r="Q413" t="s">
        <v>58</v>
      </c>
      <c r="R413">
        <v>118000</v>
      </c>
      <c r="S413">
        <v>0</v>
      </c>
      <c r="T413">
        <v>4559384</v>
      </c>
      <c r="U413" t="s">
        <v>755</v>
      </c>
      <c r="V413" t="s">
        <v>756</v>
      </c>
      <c r="W413" t="s">
        <v>50</v>
      </c>
      <c r="Y413" t="s">
        <v>51</v>
      </c>
      <c r="Z413">
        <v>655</v>
      </c>
      <c r="AH413">
        <v>0</v>
      </c>
      <c r="AI413">
        <v>202506</v>
      </c>
      <c r="AJ413" t="s">
        <v>168</v>
      </c>
      <c r="AK413">
        <v>1</v>
      </c>
      <c r="AL413">
        <v>1</v>
      </c>
      <c r="AO413">
        <v>0</v>
      </c>
      <c r="AP413">
        <v>999</v>
      </c>
      <c r="AQ413">
        <v>600</v>
      </c>
      <c r="AR413">
        <v>600999</v>
      </c>
      <c r="AS413" t="s">
        <v>52</v>
      </c>
      <c r="AU413" t="s">
        <v>52</v>
      </c>
      <c r="AV413">
        <v>107500</v>
      </c>
      <c r="AW413">
        <v>109625</v>
      </c>
      <c r="AX413">
        <v>110000</v>
      </c>
      <c r="AY413">
        <v>112750</v>
      </c>
      <c r="AZ413">
        <v>120738</v>
      </c>
      <c r="BA413">
        <v>129508.75</v>
      </c>
      <c r="BB413">
        <v>130380</v>
      </c>
      <c r="BC413">
        <v>133610</v>
      </c>
      <c r="BD413">
        <v>133800</v>
      </c>
      <c r="BE413">
        <v>141080</v>
      </c>
      <c r="BF413">
        <v>147500</v>
      </c>
      <c r="BG413">
        <v>155382.03049999999</v>
      </c>
      <c r="BH413">
        <v>165585.11799999999</v>
      </c>
      <c r="BI413">
        <v>166416.67000000001</v>
      </c>
      <c r="BJ413">
        <v>166416.67000000001</v>
      </c>
      <c r="BK413">
        <v>173582.95749999999</v>
      </c>
      <c r="BL413">
        <v>190388.68799999999</v>
      </c>
      <c r="BM413">
        <v>212150</v>
      </c>
      <c r="BN413">
        <v>283513.16900000011</v>
      </c>
      <c r="BO413">
        <v>415377.23</v>
      </c>
      <c r="BP413">
        <v>415377.23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 x14ac:dyDescent="0.35">
      <c r="A414">
        <v>360172</v>
      </c>
      <c r="B414" t="s">
        <v>388</v>
      </c>
      <c r="C414" t="s">
        <v>389</v>
      </c>
      <c r="D414" s="1">
        <v>45826</v>
      </c>
      <c r="E414">
        <v>53850</v>
      </c>
      <c r="F414">
        <v>108</v>
      </c>
      <c r="G414" t="s">
        <v>89</v>
      </c>
      <c r="H414" t="s">
        <v>48</v>
      </c>
      <c r="I414" t="s">
        <v>49</v>
      </c>
      <c r="K414" t="s">
        <v>365</v>
      </c>
      <c r="L414">
        <v>1083306291105</v>
      </c>
      <c r="M414">
        <v>20250616</v>
      </c>
      <c r="N414" t="s">
        <v>262</v>
      </c>
      <c r="Q414" t="s">
        <v>58</v>
      </c>
      <c r="R414">
        <v>180060.56</v>
      </c>
      <c r="S414">
        <v>94090</v>
      </c>
      <c r="T414">
        <v>4227057</v>
      </c>
      <c r="U414">
        <v>4874620729</v>
      </c>
      <c r="V414" t="s">
        <v>263</v>
      </c>
      <c r="W414" t="s">
        <v>56</v>
      </c>
      <c r="X414" t="s">
        <v>264</v>
      </c>
      <c r="Y414" t="s">
        <v>51</v>
      </c>
      <c r="Z414">
        <v>1058</v>
      </c>
      <c r="AH414">
        <v>0</v>
      </c>
      <c r="AI414">
        <v>202506</v>
      </c>
      <c r="AJ414" t="s">
        <v>169</v>
      </c>
      <c r="AK414">
        <v>1</v>
      </c>
      <c r="AL414">
        <v>1</v>
      </c>
      <c r="AM414">
        <v>4227057</v>
      </c>
      <c r="AN414">
        <v>1</v>
      </c>
      <c r="AO414">
        <v>1</v>
      </c>
      <c r="AP414">
        <v>999</v>
      </c>
      <c r="AQ414">
        <v>430</v>
      </c>
      <c r="AR414">
        <v>430999</v>
      </c>
      <c r="AT414">
        <v>1</v>
      </c>
      <c r="AU414" t="s">
        <v>57</v>
      </c>
      <c r="AV414">
        <v>101552.46</v>
      </c>
      <c r="AW414">
        <v>114647.6485</v>
      </c>
      <c r="AX414">
        <v>118167.008</v>
      </c>
      <c r="AY414">
        <v>123559.05899999999</v>
      </c>
      <c r="AZ414">
        <v>128796.368</v>
      </c>
      <c r="BA414">
        <v>130000</v>
      </c>
      <c r="BB414">
        <v>135819.11300000001</v>
      </c>
      <c r="BC414">
        <v>145008.255</v>
      </c>
      <c r="BD414">
        <v>146226.546</v>
      </c>
      <c r="BE414">
        <v>148171.67300000001</v>
      </c>
      <c r="BF414">
        <v>156533.16500000001</v>
      </c>
      <c r="BG414">
        <v>167340.8915</v>
      </c>
      <c r="BH414">
        <v>179808.78</v>
      </c>
      <c r="BI414">
        <v>187222.14799999999</v>
      </c>
      <c r="BJ414">
        <v>206328.26500000001</v>
      </c>
      <c r="BK414">
        <v>220390.6225</v>
      </c>
      <c r="BL414">
        <v>239280.00000000009</v>
      </c>
      <c r="BM414">
        <v>298738.61</v>
      </c>
      <c r="BN414">
        <v>365407.64500000002</v>
      </c>
      <c r="BO414">
        <v>399465.49400000001</v>
      </c>
      <c r="BP414">
        <v>515709.15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 x14ac:dyDescent="0.35">
      <c r="A415">
        <v>360161</v>
      </c>
      <c r="B415" t="s">
        <v>388</v>
      </c>
      <c r="C415" t="s">
        <v>389</v>
      </c>
      <c r="D415" s="1">
        <v>45826</v>
      </c>
      <c r="E415">
        <v>53850</v>
      </c>
      <c r="F415">
        <v>287</v>
      </c>
      <c r="G415" t="s">
        <v>301</v>
      </c>
      <c r="H415" t="s">
        <v>48</v>
      </c>
      <c r="I415" t="s">
        <v>49</v>
      </c>
      <c r="K415" t="s">
        <v>365</v>
      </c>
      <c r="L415">
        <v>2873300001853</v>
      </c>
      <c r="M415">
        <v>20250616</v>
      </c>
      <c r="N415" t="s">
        <v>262</v>
      </c>
      <c r="Q415" t="s">
        <v>58</v>
      </c>
      <c r="R415">
        <v>114258.15</v>
      </c>
      <c r="S415">
        <v>15000</v>
      </c>
      <c r="T415">
        <v>3722213</v>
      </c>
      <c r="U415">
        <v>2021570698</v>
      </c>
      <c r="V415" t="s">
        <v>302</v>
      </c>
      <c r="W415" t="s">
        <v>56</v>
      </c>
      <c r="X415" t="s">
        <v>72</v>
      </c>
      <c r="Y415" t="s">
        <v>51</v>
      </c>
      <c r="Z415">
        <v>1877</v>
      </c>
      <c r="AH415">
        <v>0</v>
      </c>
      <c r="AI415">
        <v>202506</v>
      </c>
      <c r="AJ415" t="s">
        <v>168</v>
      </c>
      <c r="AK415">
        <v>1</v>
      </c>
      <c r="AL415">
        <v>1</v>
      </c>
      <c r="AM415">
        <v>3722213</v>
      </c>
      <c r="AN415">
        <v>1</v>
      </c>
      <c r="AO415">
        <v>1</v>
      </c>
      <c r="AP415">
        <v>463</v>
      </c>
      <c r="AQ415">
        <v>430</v>
      </c>
      <c r="AR415">
        <v>430463</v>
      </c>
      <c r="AS415" t="s">
        <v>61</v>
      </c>
      <c r="AU415" t="s">
        <v>61</v>
      </c>
      <c r="AV415">
        <v>85050</v>
      </c>
      <c r="AW415">
        <v>89030</v>
      </c>
      <c r="AX415">
        <v>91669.203999999998</v>
      </c>
      <c r="AY415">
        <v>93087.394</v>
      </c>
      <c r="AZ415">
        <v>94164.18</v>
      </c>
      <c r="BA415">
        <v>96798.05</v>
      </c>
      <c r="BB415">
        <v>100000</v>
      </c>
      <c r="BC415">
        <v>100000</v>
      </c>
      <c r="BD415">
        <v>101589.726</v>
      </c>
      <c r="BE415">
        <v>106295.712</v>
      </c>
      <c r="BF415">
        <v>110193.28</v>
      </c>
      <c r="BG415">
        <v>119645.424</v>
      </c>
      <c r="BH415">
        <v>127698</v>
      </c>
      <c r="BI415">
        <v>137713.79399999999</v>
      </c>
      <c r="BJ415">
        <v>139806</v>
      </c>
      <c r="BK415">
        <v>150000</v>
      </c>
      <c r="BL415">
        <v>161820.22</v>
      </c>
      <c r="BM415">
        <v>190199.99999999991</v>
      </c>
      <c r="BN415">
        <v>213800</v>
      </c>
      <c r="BO415">
        <v>259913.9999999998</v>
      </c>
      <c r="BP415">
        <v>440000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 x14ac:dyDescent="0.35">
      <c r="A416">
        <v>360160</v>
      </c>
      <c r="B416" t="s">
        <v>388</v>
      </c>
      <c r="C416" t="s">
        <v>389</v>
      </c>
      <c r="D416" s="1">
        <v>45826</v>
      </c>
      <c r="E416">
        <v>53850</v>
      </c>
      <c r="F416">
        <v>116</v>
      </c>
      <c r="G416" t="s">
        <v>259</v>
      </c>
      <c r="H416" t="s">
        <v>48</v>
      </c>
      <c r="I416" t="s">
        <v>49</v>
      </c>
      <c r="K416">
        <v>202506168076065</v>
      </c>
      <c r="L416">
        <v>2343300010453</v>
      </c>
      <c r="M416">
        <v>20250616</v>
      </c>
      <c r="N416" t="s">
        <v>253</v>
      </c>
      <c r="Q416" t="s">
        <v>58</v>
      </c>
      <c r="R416">
        <v>168441.45</v>
      </c>
      <c r="S416">
        <v>168441.45</v>
      </c>
      <c r="T416">
        <v>4247777</v>
      </c>
      <c r="U416">
        <v>233470236</v>
      </c>
      <c r="V416" t="s">
        <v>260</v>
      </c>
      <c r="W416" t="s">
        <v>56</v>
      </c>
      <c r="X416" t="s">
        <v>72</v>
      </c>
      <c r="Y416" t="s">
        <v>51</v>
      </c>
      <c r="Z416">
        <v>1696</v>
      </c>
      <c r="AH416">
        <v>0</v>
      </c>
      <c r="AI416">
        <v>202506</v>
      </c>
      <c r="AJ416" t="s">
        <v>168</v>
      </c>
      <c r="AK416">
        <v>1</v>
      </c>
      <c r="AL416">
        <v>1</v>
      </c>
      <c r="AM416">
        <v>4247777</v>
      </c>
      <c r="AN416">
        <v>1</v>
      </c>
      <c r="AO416">
        <v>0</v>
      </c>
      <c r="AP416">
        <v>463</v>
      </c>
      <c r="AQ416">
        <v>430</v>
      </c>
      <c r="AR416">
        <v>430463</v>
      </c>
      <c r="AS416" t="s">
        <v>61</v>
      </c>
      <c r="AU416" t="s">
        <v>61</v>
      </c>
      <c r="AV416">
        <v>85050</v>
      </c>
      <c r="AW416">
        <v>89030</v>
      </c>
      <c r="AX416">
        <v>91669.203999999998</v>
      </c>
      <c r="AY416">
        <v>93087.394</v>
      </c>
      <c r="AZ416">
        <v>94164.18</v>
      </c>
      <c r="BA416">
        <v>96798.05</v>
      </c>
      <c r="BB416">
        <v>100000</v>
      </c>
      <c r="BC416">
        <v>100000</v>
      </c>
      <c r="BD416">
        <v>101589.726</v>
      </c>
      <c r="BE416">
        <v>106295.712</v>
      </c>
      <c r="BF416">
        <v>110193.28</v>
      </c>
      <c r="BG416">
        <v>119645.424</v>
      </c>
      <c r="BH416">
        <v>127698</v>
      </c>
      <c r="BI416">
        <v>137713.79399999999</v>
      </c>
      <c r="BJ416">
        <v>139806</v>
      </c>
      <c r="BK416">
        <v>150000</v>
      </c>
      <c r="BL416">
        <v>161820.22</v>
      </c>
      <c r="BM416">
        <v>190199.99999999991</v>
      </c>
      <c r="BN416">
        <v>213800</v>
      </c>
      <c r="BO416">
        <v>259913.9999999998</v>
      </c>
      <c r="BP416">
        <v>440000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0</v>
      </c>
      <c r="CI416">
        <v>0</v>
      </c>
      <c r="CJ416">
        <v>0</v>
      </c>
      <c r="CK416">
        <v>0</v>
      </c>
    </row>
    <row r="417" spans="1:89" x14ac:dyDescent="0.35">
      <c r="A417">
        <v>360158</v>
      </c>
      <c r="B417" t="s">
        <v>388</v>
      </c>
      <c r="C417" t="s">
        <v>389</v>
      </c>
      <c r="D417" s="1">
        <v>45826</v>
      </c>
      <c r="E417">
        <v>53850</v>
      </c>
      <c r="F417">
        <v>267</v>
      </c>
      <c r="G417" t="s">
        <v>170</v>
      </c>
      <c r="H417" t="s">
        <v>48</v>
      </c>
      <c r="I417" t="s">
        <v>49</v>
      </c>
      <c r="K417" t="s">
        <v>365</v>
      </c>
      <c r="L417">
        <v>2673300000259</v>
      </c>
      <c r="M417">
        <v>20250616</v>
      </c>
      <c r="N417" t="s">
        <v>262</v>
      </c>
      <c r="Q417" t="s">
        <v>58</v>
      </c>
      <c r="R417">
        <v>105930</v>
      </c>
      <c r="S417">
        <v>19000</v>
      </c>
      <c r="T417">
        <v>1616725</v>
      </c>
      <c r="U417">
        <v>2694030798</v>
      </c>
      <c r="V417" t="s">
        <v>296</v>
      </c>
      <c r="W417" t="s">
        <v>56</v>
      </c>
      <c r="X417" t="s">
        <v>258</v>
      </c>
      <c r="Y417" t="s">
        <v>51</v>
      </c>
      <c r="Z417">
        <v>1878</v>
      </c>
      <c r="AH417">
        <v>0</v>
      </c>
      <c r="AI417">
        <v>202506</v>
      </c>
      <c r="AJ417" t="s">
        <v>169</v>
      </c>
      <c r="AK417">
        <v>1</v>
      </c>
      <c r="AL417">
        <v>1</v>
      </c>
      <c r="AM417">
        <v>1616725</v>
      </c>
      <c r="AN417">
        <v>1</v>
      </c>
      <c r="AO417">
        <v>1</v>
      </c>
      <c r="AP417">
        <v>999</v>
      </c>
      <c r="AQ417">
        <v>430</v>
      </c>
      <c r="AR417">
        <v>430999</v>
      </c>
      <c r="AT417">
        <v>1</v>
      </c>
      <c r="AU417" t="s">
        <v>57</v>
      </c>
      <c r="AV417">
        <v>101552.46</v>
      </c>
      <c r="AW417">
        <v>114647.6485</v>
      </c>
      <c r="AX417">
        <v>118167.008</v>
      </c>
      <c r="AY417">
        <v>123559.05899999999</v>
      </c>
      <c r="AZ417">
        <v>128796.368</v>
      </c>
      <c r="BA417">
        <v>130000</v>
      </c>
      <c r="BB417">
        <v>135819.11300000001</v>
      </c>
      <c r="BC417">
        <v>145008.255</v>
      </c>
      <c r="BD417">
        <v>146226.546</v>
      </c>
      <c r="BE417">
        <v>148171.67300000001</v>
      </c>
      <c r="BF417">
        <v>156533.16500000001</v>
      </c>
      <c r="BG417">
        <v>167340.8915</v>
      </c>
      <c r="BH417">
        <v>179808.78</v>
      </c>
      <c r="BI417">
        <v>187222.14799999999</v>
      </c>
      <c r="BJ417">
        <v>206328.26500000001</v>
      </c>
      <c r="BK417">
        <v>220390.6225</v>
      </c>
      <c r="BL417">
        <v>239280.00000000009</v>
      </c>
      <c r="BM417">
        <v>298738.61</v>
      </c>
      <c r="BN417">
        <v>365407.64500000002</v>
      </c>
      <c r="BO417">
        <v>399465.49400000001</v>
      </c>
      <c r="BP417">
        <v>515709.15</v>
      </c>
      <c r="BQ417">
        <v>1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 x14ac:dyDescent="0.35">
      <c r="A418">
        <v>348970</v>
      </c>
      <c r="B418" t="s">
        <v>388</v>
      </c>
      <c r="C418" t="s">
        <v>389</v>
      </c>
      <c r="D418" s="1">
        <v>45822</v>
      </c>
      <c r="E418">
        <v>53850</v>
      </c>
      <c r="F418">
        <v>267</v>
      </c>
      <c r="G418" t="s">
        <v>170</v>
      </c>
      <c r="H418" t="s">
        <v>48</v>
      </c>
      <c r="I418" t="s">
        <v>49</v>
      </c>
      <c r="K418">
        <v>202506138068290</v>
      </c>
      <c r="L418">
        <v>2673300001267</v>
      </c>
      <c r="M418">
        <v>20250613</v>
      </c>
      <c r="N418" t="s">
        <v>400</v>
      </c>
      <c r="Q418" t="s">
        <v>58</v>
      </c>
      <c r="R418">
        <v>141886.81</v>
      </c>
      <c r="S418">
        <v>0</v>
      </c>
      <c r="T418">
        <v>1643364</v>
      </c>
      <c r="U418" t="s">
        <v>757</v>
      </c>
      <c r="V418" t="s">
        <v>758</v>
      </c>
      <c r="W418" t="s">
        <v>50</v>
      </c>
      <c r="Y418" t="s">
        <v>51</v>
      </c>
      <c r="Z418">
        <v>1832</v>
      </c>
      <c r="AH418">
        <v>0</v>
      </c>
      <c r="AI418">
        <v>202506</v>
      </c>
      <c r="AJ418" t="s">
        <v>168</v>
      </c>
      <c r="AK418">
        <v>1</v>
      </c>
      <c r="AL418">
        <v>1</v>
      </c>
      <c r="AO418">
        <v>0</v>
      </c>
      <c r="AP418">
        <v>999</v>
      </c>
      <c r="AQ418">
        <v>600</v>
      </c>
      <c r="AR418">
        <v>600999</v>
      </c>
      <c r="AS418" t="s">
        <v>52</v>
      </c>
      <c r="AU418" t="s">
        <v>52</v>
      </c>
      <c r="AV418">
        <v>107500</v>
      </c>
      <c r="AW418">
        <v>109625</v>
      </c>
      <c r="AX418">
        <v>110000</v>
      </c>
      <c r="AY418">
        <v>112750</v>
      </c>
      <c r="AZ418">
        <v>120738</v>
      </c>
      <c r="BA418">
        <v>129508.75</v>
      </c>
      <c r="BB418">
        <v>130380</v>
      </c>
      <c r="BC418">
        <v>133610</v>
      </c>
      <c r="BD418">
        <v>133800</v>
      </c>
      <c r="BE418">
        <v>141080</v>
      </c>
      <c r="BF418">
        <v>147500</v>
      </c>
      <c r="BG418">
        <v>155382.03049999999</v>
      </c>
      <c r="BH418">
        <v>165585.11799999999</v>
      </c>
      <c r="BI418">
        <v>166416.67000000001</v>
      </c>
      <c r="BJ418">
        <v>166416.67000000001</v>
      </c>
      <c r="BK418">
        <v>173582.95749999999</v>
      </c>
      <c r="BL418">
        <v>190388.68799999999</v>
      </c>
      <c r="BM418">
        <v>212150</v>
      </c>
      <c r="BN418">
        <v>283513.16900000011</v>
      </c>
      <c r="BO418">
        <v>415377.23</v>
      </c>
      <c r="BP418">
        <v>415377.23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 x14ac:dyDescent="0.35">
      <c r="A419">
        <v>348967</v>
      </c>
      <c r="B419" t="s">
        <v>388</v>
      </c>
      <c r="C419" t="s">
        <v>389</v>
      </c>
      <c r="D419" s="1">
        <v>45822</v>
      </c>
      <c r="E419">
        <v>53850</v>
      </c>
      <c r="F419">
        <v>170</v>
      </c>
      <c r="G419" t="s">
        <v>82</v>
      </c>
      <c r="H419" t="s">
        <v>48</v>
      </c>
      <c r="I419" t="s">
        <v>49</v>
      </c>
      <c r="K419">
        <v>202506138068129</v>
      </c>
      <c r="L419">
        <v>1703306287412</v>
      </c>
      <c r="M419">
        <v>20250613</v>
      </c>
      <c r="N419" t="s">
        <v>400</v>
      </c>
      <c r="Q419" t="s">
        <v>58</v>
      </c>
      <c r="R419">
        <v>188729.33</v>
      </c>
      <c r="S419">
        <v>0</v>
      </c>
      <c r="T419">
        <v>4206289</v>
      </c>
      <c r="U419" t="s">
        <v>759</v>
      </c>
      <c r="V419" t="s">
        <v>760</v>
      </c>
      <c r="W419" t="s">
        <v>50</v>
      </c>
      <c r="Y419" t="s">
        <v>51</v>
      </c>
      <c r="Z419">
        <v>1476</v>
      </c>
      <c r="AH419">
        <v>0</v>
      </c>
      <c r="AI419">
        <v>202506</v>
      </c>
      <c r="AJ419" t="s">
        <v>168</v>
      </c>
      <c r="AK419">
        <v>1</v>
      </c>
      <c r="AL419">
        <v>1</v>
      </c>
      <c r="AO419">
        <v>0</v>
      </c>
      <c r="AP419">
        <v>999</v>
      </c>
      <c r="AQ419">
        <v>600</v>
      </c>
      <c r="AR419">
        <v>600999</v>
      </c>
      <c r="AS419" t="s">
        <v>52</v>
      </c>
      <c r="AU419" t="s">
        <v>52</v>
      </c>
      <c r="AV419">
        <v>107500</v>
      </c>
      <c r="AW419">
        <v>109625</v>
      </c>
      <c r="AX419">
        <v>110000</v>
      </c>
      <c r="AY419">
        <v>112750</v>
      </c>
      <c r="AZ419">
        <v>120738</v>
      </c>
      <c r="BA419">
        <v>129508.75</v>
      </c>
      <c r="BB419">
        <v>130380</v>
      </c>
      <c r="BC419">
        <v>133610</v>
      </c>
      <c r="BD419">
        <v>133800</v>
      </c>
      <c r="BE419">
        <v>141080</v>
      </c>
      <c r="BF419">
        <v>147500</v>
      </c>
      <c r="BG419">
        <v>155382.03049999999</v>
      </c>
      <c r="BH419">
        <v>165585.11799999999</v>
      </c>
      <c r="BI419">
        <v>166416.67000000001</v>
      </c>
      <c r="BJ419">
        <v>166416.67000000001</v>
      </c>
      <c r="BK419">
        <v>173582.95749999999</v>
      </c>
      <c r="BL419">
        <v>190388.68799999999</v>
      </c>
      <c r="BM419">
        <v>212150</v>
      </c>
      <c r="BN419">
        <v>283513.16900000011</v>
      </c>
      <c r="BO419">
        <v>415377.23</v>
      </c>
      <c r="BP419">
        <v>415377.23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 x14ac:dyDescent="0.35">
      <c r="A420">
        <v>348959</v>
      </c>
      <c r="B420" t="s">
        <v>388</v>
      </c>
      <c r="C420" t="s">
        <v>389</v>
      </c>
      <c r="D420" s="1">
        <v>45822</v>
      </c>
      <c r="E420">
        <v>53850</v>
      </c>
      <c r="F420">
        <v>267</v>
      </c>
      <c r="G420" t="s">
        <v>170</v>
      </c>
      <c r="H420" t="s">
        <v>48</v>
      </c>
      <c r="I420" t="s">
        <v>49</v>
      </c>
      <c r="K420">
        <v>202506138068290</v>
      </c>
      <c r="L420">
        <v>2673300001267</v>
      </c>
      <c r="M420">
        <v>20250613</v>
      </c>
      <c r="N420" t="s">
        <v>400</v>
      </c>
      <c r="Q420" t="s">
        <v>58</v>
      </c>
      <c r="R420">
        <v>141886.81</v>
      </c>
      <c r="S420">
        <v>0</v>
      </c>
      <c r="T420">
        <v>1643258</v>
      </c>
      <c r="U420" t="s">
        <v>761</v>
      </c>
      <c r="V420" t="s">
        <v>762</v>
      </c>
      <c r="W420" t="s">
        <v>50</v>
      </c>
      <c r="Y420" t="s">
        <v>51</v>
      </c>
      <c r="Z420">
        <v>1832</v>
      </c>
      <c r="AH420">
        <v>0</v>
      </c>
      <c r="AI420">
        <v>202506</v>
      </c>
      <c r="AJ420" t="s">
        <v>168</v>
      </c>
      <c r="AK420">
        <v>1</v>
      </c>
      <c r="AL420">
        <v>1</v>
      </c>
      <c r="AO420">
        <v>0</v>
      </c>
      <c r="AP420">
        <v>999</v>
      </c>
      <c r="AQ420">
        <v>600</v>
      </c>
      <c r="AR420">
        <v>600999</v>
      </c>
      <c r="AS420" t="s">
        <v>52</v>
      </c>
      <c r="AU420" t="s">
        <v>52</v>
      </c>
      <c r="AV420">
        <v>107500</v>
      </c>
      <c r="AW420">
        <v>109625</v>
      </c>
      <c r="AX420">
        <v>110000</v>
      </c>
      <c r="AY420">
        <v>112750</v>
      </c>
      <c r="AZ420">
        <v>120738</v>
      </c>
      <c r="BA420">
        <v>129508.75</v>
      </c>
      <c r="BB420">
        <v>130380</v>
      </c>
      <c r="BC420">
        <v>133610</v>
      </c>
      <c r="BD420">
        <v>133800</v>
      </c>
      <c r="BE420">
        <v>141080</v>
      </c>
      <c r="BF420">
        <v>147500</v>
      </c>
      <c r="BG420">
        <v>155382.03049999999</v>
      </c>
      <c r="BH420">
        <v>165585.11799999999</v>
      </c>
      <c r="BI420">
        <v>166416.67000000001</v>
      </c>
      <c r="BJ420">
        <v>166416.67000000001</v>
      </c>
      <c r="BK420">
        <v>173582.95749999999</v>
      </c>
      <c r="BL420">
        <v>190388.68799999999</v>
      </c>
      <c r="BM420">
        <v>212150</v>
      </c>
      <c r="BN420">
        <v>283513.16900000011</v>
      </c>
      <c r="BO420">
        <v>415377.23</v>
      </c>
      <c r="BP420">
        <v>415377.23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 x14ac:dyDescent="0.35">
      <c r="A421">
        <v>348949</v>
      </c>
      <c r="B421" t="s">
        <v>388</v>
      </c>
      <c r="C421" t="s">
        <v>389</v>
      </c>
      <c r="D421" s="1">
        <v>45821</v>
      </c>
      <c r="E421">
        <v>53850</v>
      </c>
      <c r="F421">
        <v>106</v>
      </c>
      <c r="G421" t="s">
        <v>346</v>
      </c>
      <c r="H421" t="s">
        <v>48</v>
      </c>
      <c r="I421" t="s">
        <v>49</v>
      </c>
      <c r="K421">
        <v>202506128064930</v>
      </c>
      <c r="L421">
        <v>1063302771425</v>
      </c>
      <c r="M421">
        <v>20250612</v>
      </c>
      <c r="N421" t="s">
        <v>417</v>
      </c>
      <c r="Q421" t="s">
        <v>58</v>
      </c>
      <c r="R421">
        <v>118000</v>
      </c>
      <c r="S421">
        <v>0</v>
      </c>
      <c r="T421">
        <v>4533753</v>
      </c>
      <c r="U421" t="s">
        <v>763</v>
      </c>
      <c r="V421" t="s">
        <v>764</v>
      </c>
      <c r="W421" t="s">
        <v>66</v>
      </c>
      <c r="X421" t="s">
        <v>466</v>
      </c>
      <c r="Y421" t="s">
        <v>51</v>
      </c>
      <c r="Z421">
        <v>1630</v>
      </c>
      <c r="AH421">
        <v>0</v>
      </c>
      <c r="AI421">
        <v>202506</v>
      </c>
      <c r="AJ421" t="s">
        <v>168</v>
      </c>
      <c r="AK421">
        <v>1</v>
      </c>
      <c r="AL421">
        <v>1</v>
      </c>
      <c r="AO421">
        <v>0</v>
      </c>
      <c r="AP421">
        <v>999</v>
      </c>
      <c r="AQ421">
        <v>615</v>
      </c>
      <c r="AR421">
        <v>615999</v>
      </c>
      <c r="AT421">
        <v>1</v>
      </c>
      <c r="AU421" t="s">
        <v>61</v>
      </c>
      <c r="AV421">
        <v>85050</v>
      </c>
      <c r="AW421">
        <v>89030</v>
      </c>
      <c r="AX421">
        <v>91669.203999999998</v>
      </c>
      <c r="AY421">
        <v>93087.394</v>
      </c>
      <c r="AZ421">
        <v>94164.18</v>
      </c>
      <c r="BA421">
        <v>96798.05</v>
      </c>
      <c r="BB421">
        <v>100000</v>
      </c>
      <c r="BC421">
        <v>100000</v>
      </c>
      <c r="BD421">
        <v>101589.726</v>
      </c>
      <c r="BE421">
        <v>106295.712</v>
      </c>
      <c r="BF421">
        <v>110193.28</v>
      </c>
      <c r="BG421">
        <v>119645.424</v>
      </c>
      <c r="BH421">
        <v>127698</v>
      </c>
      <c r="BI421">
        <v>137713.79399999999</v>
      </c>
      <c r="BJ421">
        <v>139806</v>
      </c>
      <c r="BK421">
        <v>150000</v>
      </c>
      <c r="BL421">
        <v>161820.22</v>
      </c>
      <c r="BM421">
        <v>190199.99999999991</v>
      </c>
      <c r="BN421">
        <v>213800</v>
      </c>
      <c r="BO421">
        <v>259913.9999999998</v>
      </c>
      <c r="BP421">
        <v>440000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 x14ac:dyDescent="0.35">
      <c r="A422">
        <v>348948</v>
      </c>
      <c r="B422" t="s">
        <v>388</v>
      </c>
      <c r="C422" t="s">
        <v>389</v>
      </c>
      <c r="D422" s="1">
        <v>45821</v>
      </c>
      <c r="E422">
        <v>53850</v>
      </c>
      <c r="F422">
        <v>171</v>
      </c>
      <c r="G422" t="s">
        <v>70</v>
      </c>
      <c r="H422" t="s">
        <v>48</v>
      </c>
      <c r="I422" t="s">
        <v>49</v>
      </c>
      <c r="K422" t="s">
        <v>366</v>
      </c>
      <c r="L422">
        <v>1713302214147</v>
      </c>
      <c r="M422">
        <v>20250612</v>
      </c>
      <c r="N422" t="s">
        <v>253</v>
      </c>
      <c r="Q422" t="s">
        <v>58</v>
      </c>
      <c r="R422">
        <v>119000</v>
      </c>
      <c r="S422">
        <v>119000</v>
      </c>
      <c r="T422">
        <v>4199319</v>
      </c>
      <c r="U422">
        <v>6037810725</v>
      </c>
      <c r="V422" t="s">
        <v>317</v>
      </c>
      <c r="W422" t="s">
        <v>56</v>
      </c>
      <c r="X422" t="s">
        <v>258</v>
      </c>
      <c r="Y422" t="s">
        <v>51</v>
      </c>
      <c r="Z422">
        <v>1903</v>
      </c>
      <c r="AH422">
        <v>0</v>
      </c>
      <c r="AI422">
        <v>202506</v>
      </c>
      <c r="AJ422" t="s">
        <v>168</v>
      </c>
      <c r="AK422">
        <v>1</v>
      </c>
      <c r="AL422">
        <v>1</v>
      </c>
      <c r="AM422">
        <v>4199319</v>
      </c>
      <c r="AN422">
        <v>1</v>
      </c>
      <c r="AO422">
        <v>0</v>
      </c>
      <c r="AP422">
        <v>999</v>
      </c>
      <c r="AQ422">
        <v>430</v>
      </c>
      <c r="AR422">
        <v>430999</v>
      </c>
      <c r="AT422">
        <v>1</v>
      </c>
      <c r="AU422" t="s">
        <v>57</v>
      </c>
      <c r="AV422">
        <v>101552.46</v>
      </c>
      <c r="AW422">
        <v>114647.6485</v>
      </c>
      <c r="AX422">
        <v>118167.008</v>
      </c>
      <c r="AY422">
        <v>123559.05899999999</v>
      </c>
      <c r="AZ422">
        <v>128796.368</v>
      </c>
      <c r="BA422">
        <v>130000</v>
      </c>
      <c r="BB422">
        <v>135819.11300000001</v>
      </c>
      <c r="BC422">
        <v>145008.255</v>
      </c>
      <c r="BD422">
        <v>146226.546</v>
      </c>
      <c r="BE422">
        <v>148171.67300000001</v>
      </c>
      <c r="BF422">
        <v>156533.16500000001</v>
      </c>
      <c r="BG422">
        <v>167340.8915</v>
      </c>
      <c r="BH422">
        <v>179808.78</v>
      </c>
      <c r="BI422">
        <v>187222.14799999999</v>
      </c>
      <c r="BJ422">
        <v>206328.26500000001</v>
      </c>
      <c r="BK422">
        <v>220390.6225</v>
      </c>
      <c r="BL422">
        <v>239280.00000000009</v>
      </c>
      <c r="BM422">
        <v>298738.61</v>
      </c>
      <c r="BN422">
        <v>365407.64500000002</v>
      </c>
      <c r="BO422">
        <v>399465.49400000001</v>
      </c>
      <c r="BP422">
        <v>515709.15</v>
      </c>
      <c r="BQ422">
        <v>1</v>
      </c>
      <c r="BR422">
        <v>1</v>
      </c>
      <c r="BS422">
        <v>1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 x14ac:dyDescent="0.35">
      <c r="A423">
        <v>348943</v>
      </c>
      <c r="B423" t="s">
        <v>388</v>
      </c>
      <c r="C423" t="s">
        <v>389</v>
      </c>
      <c r="D423" s="1">
        <v>45821</v>
      </c>
      <c r="E423">
        <v>53850</v>
      </c>
      <c r="F423">
        <v>171</v>
      </c>
      <c r="G423" t="s">
        <v>70</v>
      </c>
      <c r="H423" t="s">
        <v>48</v>
      </c>
      <c r="I423" t="s">
        <v>49</v>
      </c>
      <c r="K423" t="s">
        <v>366</v>
      </c>
      <c r="L423">
        <v>1713305728950</v>
      </c>
      <c r="M423">
        <v>20250612</v>
      </c>
      <c r="N423" t="s">
        <v>253</v>
      </c>
      <c r="Q423" t="s">
        <v>58</v>
      </c>
      <c r="R423">
        <v>411342.35</v>
      </c>
      <c r="S423">
        <v>411342.35</v>
      </c>
      <c r="T423">
        <v>572895</v>
      </c>
      <c r="U423">
        <v>4161600723</v>
      </c>
      <c r="V423" t="s">
        <v>257</v>
      </c>
      <c r="W423" t="s">
        <v>56</v>
      </c>
      <c r="X423" t="s">
        <v>258</v>
      </c>
      <c r="Y423" t="s">
        <v>51</v>
      </c>
      <c r="Z423">
        <v>1903</v>
      </c>
      <c r="AH423">
        <v>0</v>
      </c>
      <c r="AI423">
        <v>202506</v>
      </c>
      <c r="AJ423" t="s">
        <v>169</v>
      </c>
      <c r="AK423">
        <v>1</v>
      </c>
      <c r="AL423">
        <v>1</v>
      </c>
      <c r="AM423">
        <v>572895</v>
      </c>
      <c r="AN423">
        <v>1</v>
      </c>
      <c r="AO423">
        <v>0</v>
      </c>
      <c r="AP423">
        <v>999</v>
      </c>
      <c r="AQ423">
        <v>430</v>
      </c>
      <c r="AR423">
        <v>430999</v>
      </c>
      <c r="AT423">
        <v>1</v>
      </c>
      <c r="AU423" t="s">
        <v>57</v>
      </c>
      <c r="AV423">
        <v>101552.46</v>
      </c>
      <c r="AW423">
        <v>114647.6485</v>
      </c>
      <c r="AX423">
        <v>118167.008</v>
      </c>
      <c r="AY423">
        <v>123559.05899999999</v>
      </c>
      <c r="AZ423">
        <v>128796.368</v>
      </c>
      <c r="BA423">
        <v>130000</v>
      </c>
      <c r="BB423">
        <v>135819.11300000001</v>
      </c>
      <c r="BC423">
        <v>145008.255</v>
      </c>
      <c r="BD423">
        <v>146226.546</v>
      </c>
      <c r="BE423">
        <v>148171.67300000001</v>
      </c>
      <c r="BF423">
        <v>156533.16500000001</v>
      </c>
      <c r="BG423">
        <v>167340.8915</v>
      </c>
      <c r="BH423">
        <v>179808.78</v>
      </c>
      <c r="BI423">
        <v>187222.14799999999</v>
      </c>
      <c r="BJ423">
        <v>206328.26500000001</v>
      </c>
      <c r="BK423">
        <v>220390.6225</v>
      </c>
      <c r="BL423">
        <v>239280.00000000009</v>
      </c>
      <c r="BM423">
        <v>298738.61</v>
      </c>
      <c r="BN423">
        <v>365407.64500000002</v>
      </c>
      <c r="BO423">
        <v>399465.49400000001</v>
      </c>
      <c r="BP423">
        <v>515709.15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0</v>
      </c>
    </row>
    <row r="424" spans="1:89" x14ac:dyDescent="0.35">
      <c r="A424">
        <v>348934</v>
      </c>
      <c r="B424" t="s">
        <v>388</v>
      </c>
      <c r="C424" t="s">
        <v>389</v>
      </c>
      <c r="D424" s="1">
        <v>45821</v>
      </c>
      <c r="E424">
        <v>53850</v>
      </c>
      <c r="F424">
        <v>204</v>
      </c>
      <c r="G424" t="s">
        <v>273</v>
      </c>
      <c r="H424" t="s">
        <v>48</v>
      </c>
      <c r="I424" t="s">
        <v>49</v>
      </c>
      <c r="K424">
        <v>202506128065217</v>
      </c>
      <c r="L424">
        <v>2043300010790</v>
      </c>
      <c r="M424">
        <v>20250612</v>
      </c>
      <c r="N424" t="s">
        <v>400</v>
      </c>
      <c r="Q424" t="s">
        <v>58</v>
      </c>
      <c r="R424">
        <v>157500</v>
      </c>
      <c r="S424">
        <v>0</v>
      </c>
      <c r="T424">
        <v>4362444</v>
      </c>
      <c r="U424" t="s">
        <v>765</v>
      </c>
      <c r="V424" t="s">
        <v>766</v>
      </c>
      <c r="W424" t="s">
        <v>50</v>
      </c>
      <c r="Y424" t="s">
        <v>51</v>
      </c>
      <c r="Z424">
        <v>1285</v>
      </c>
      <c r="AH424">
        <v>0</v>
      </c>
      <c r="AI424">
        <v>202506</v>
      </c>
      <c r="AJ424" t="s">
        <v>168</v>
      </c>
      <c r="AK424">
        <v>1</v>
      </c>
      <c r="AL424">
        <v>1</v>
      </c>
      <c r="AO424">
        <v>0</v>
      </c>
      <c r="AP424">
        <v>999</v>
      </c>
      <c r="AQ424">
        <v>600</v>
      </c>
      <c r="AR424">
        <v>600999</v>
      </c>
      <c r="AS424" t="s">
        <v>52</v>
      </c>
      <c r="AU424" t="s">
        <v>52</v>
      </c>
      <c r="AV424">
        <v>107500</v>
      </c>
      <c r="AW424">
        <v>109625</v>
      </c>
      <c r="AX424">
        <v>110000</v>
      </c>
      <c r="AY424">
        <v>112750</v>
      </c>
      <c r="AZ424">
        <v>120738</v>
      </c>
      <c r="BA424">
        <v>129508.75</v>
      </c>
      <c r="BB424">
        <v>130380</v>
      </c>
      <c r="BC424">
        <v>133610</v>
      </c>
      <c r="BD424">
        <v>133800</v>
      </c>
      <c r="BE424">
        <v>141080</v>
      </c>
      <c r="BF424">
        <v>147500</v>
      </c>
      <c r="BG424">
        <v>155382.03049999999</v>
      </c>
      <c r="BH424">
        <v>165585.11799999999</v>
      </c>
      <c r="BI424">
        <v>166416.67000000001</v>
      </c>
      <c r="BJ424">
        <v>166416.67000000001</v>
      </c>
      <c r="BK424">
        <v>173582.95749999999</v>
      </c>
      <c r="BL424">
        <v>190388.68799999999</v>
      </c>
      <c r="BM424">
        <v>212150</v>
      </c>
      <c r="BN424">
        <v>283513.16900000011</v>
      </c>
      <c r="BO424">
        <v>415377.23</v>
      </c>
      <c r="BP424">
        <v>415377.23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 x14ac:dyDescent="0.35">
      <c r="A425">
        <v>348928</v>
      </c>
      <c r="B425" t="s">
        <v>388</v>
      </c>
      <c r="C425" t="s">
        <v>389</v>
      </c>
      <c r="D425" s="1">
        <v>45821</v>
      </c>
      <c r="E425">
        <v>53850</v>
      </c>
      <c r="F425">
        <v>132</v>
      </c>
      <c r="G425" t="s">
        <v>767</v>
      </c>
      <c r="H425" t="s">
        <v>48</v>
      </c>
      <c r="I425" t="s">
        <v>49</v>
      </c>
      <c r="K425">
        <v>202506128065012</v>
      </c>
      <c r="L425">
        <v>1323300002272</v>
      </c>
      <c r="M425">
        <v>20250612</v>
      </c>
      <c r="N425" t="s">
        <v>400</v>
      </c>
      <c r="Q425" t="s">
        <v>58</v>
      </c>
      <c r="R425">
        <v>1160000</v>
      </c>
      <c r="S425">
        <v>0</v>
      </c>
      <c r="T425">
        <v>4846311</v>
      </c>
      <c r="U425">
        <v>1788310769</v>
      </c>
      <c r="V425" t="s">
        <v>768</v>
      </c>
      <c r="W425" t="s">
        <v>56</v>
      </c>
      <c r="X425" t="s">
        <v>435</v>
      </c>
      <c r="Y425" t="s">
        <v>51</v>
      </c>
      <c r="Z425">
        <v>1959</v>
      </c>
      <c r="AH425">
        <v>0</v>
      </c>
      <c r="AI425">
        <v>202506</v>
      </c>
      <c r="AJ425" t="s">
        <v>168</v>
      </c>
      <c r="AK425">
        <v>1</v>
      </c>
      <c r="AL425">
        <v>1</v>
      </c>
      <c r="AO425">
        <v>0</v>
      </c>
      <c r="AP425">
        <v>999</v>
      </c>
      <c r="AQ425">
        <v>430</v>
      </c>
      <c r="AR425">
        <v>430999</v>
      </c>
      <c r="AT425">
        <v>1</v>
      </c>
      <c r="AU425" t="s">
        <v>57</v>
      </c>
      <c r="AV425">
        <v>101552.46</v>
      </c>
      <c r="AW425">
        <v>114647.6485</v>
      </c>
      <c r="AX425">
        <v>118167.008</v>
      </c>
      <c r="AY425">
        <v>123559.05899999999</v>
      </c>
      <c r="AZ425">
        <v>128796.368</v>
      </c>
      <c r="BA425">
        <v>130000</v>
      </c>
      <c r="BB425">
        <v>135819.11300000001</v>
      </c>
      <c r="BC425">
        <v>145008.255</v>
      </c>
      <c r="BD425">
        <v>146226.546</v>
      </c>
      <c r="BE425">
        <v>148171.67300000001</v>
      </c>
      <c r="BF425">
        <v>156533.16500000001</v>
      </c>
      <c r="BG425">
        <v>167340.8915</v>
      </c>
      <c r="BH425">
        <v>179808.78</v>
      </c>
      <c r="BI425">
        <v>187222.14799999999</v>
      </c>
      <c r="BJ425">
        <v>206328.26500000001</v>
      </c>
      <c r="BK425">
        <v>220390.6225</v>
      </c>
      <c r="BL425">
        <v>239280.00000000009</v>
      </c>
      <c r="BM425">
        <v>298738.61</v>
      </c>
      <c r="BN425">
        <v>365407.64500000002</v>
      </c>
      <c r="BO425">
        <v>399465.49400000001</v>
      </c>
      <c r="BP425">
        <v>515709.15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</row>
    <row r="426" spans="1:89" x14ac:dyDescent="0.35">
      <c r="A426">
        <v>348923</v>
      </c>
      <c r="B426" t="s">
        <v>388</v>
      </c>
      <c r="C426" t="s">
        <v>389</v>
      </c>
      <c r="D426" s="1">
        <v>45820</v>
      </c>
      <c r="E426">
        <v>53850</v>
      </c>
      <c r="F426">
        <v>273</v>
      </c>
      <c r="G426" t="s">
        <v>275</v>
      </c>
      <c r="H426" t="s">
        <v>48</v>
      </c>
      <c r="I426" t="s">
        <v>49</v>
      </c>
      <c r="K426">
        <v>202506118062086</v>
      </c>
      <c r="L426">
        <v>2733300011950</v>
      </c>
      <c r="M426">
        <v>20250611</v>
      </c>
      <c r="N426" t="s">
        <v>400</v>
      </c>
      <c r="Q426" t="s">
        <v>58</v>
      </c>
      <c r="R426">
        <v>196000</v>
      </c>
      <c r="S426">
        <v>0</v>
      </c>
      <c r="T426">
        <v>3730680</v>
      </c>
      <c r="U426">
        <v>4508770718</v>
      </c>
      <c r="V426" t="s">
        <v>769</v>
      </c>
      <c r="W426" t="s">
        <v>56</v>
      </c>
      <c r="X426" t="s">
        <v>451</v>
      </c>
      <c r="Y426" t="s">
        <v>51</v>
      </c>
      <c r="Z426">
        <v>1801</v>
      </c>
      <c r="AH426">
        <v>0</v>
      </c>
      <c r="AI426">
        <v>202506</v>
      </c>
      <c r="AJ426" t="s">
        <v>168</v>
      </c>
      <c r="AK426">
        <v>1</v>
      </c>
      <c r="AL426">
        <v>1</v>
      </c>
      <c r="AO426">
        <v>0</v>
      </c>
      <c r="AP426">
        <v>999</v>
      </c>
      <c r="AQ426">
        <v>430</v>
      </c>
      <c r="AR426">
        <v>430999</v>
      </c>
      <c r="AT426">
        <v>1</v>
      </c>
      <c r="AU426" t="s">
        <v>57</v>
      </c>
      <c r="AV426">
        <v>101552.46</v>
      </c>
      <c r="AW426">
        <v>114647.6485</v>
      </c>
      <c r="AX426">
        <v>118167.008</v>
      </c>
      <c r="AY426">
        <v>123559.05899999999</v>
      </c>
      <c r="AZ426">
        <v>128796.368</v>
      </c>
      <c r="BA426">
        <v>130000</v>
      </c>
      <c r="BB426">
        <v>135819.11300000001</v>
      </c>
      <c r="BC426">
        <v>145008.255</v>
      </c>
      <c r="BD426">
        <v>146226.546</v>
      </c>
      <c r="BE426">
        <v>148171.67300000001</v>
      </c>
      <c r="BF426">
        <v>156533.16500000001</v>
      </c>
      <c r="BG426">
        <v>167340.8915</v>
      </c>
      <c r="BH426">
        <v>179808.78</v>
      </c>
      <c r="BI426">
        <v>187222.14799999999</v>
      </c>
      <c r="BJ426">
        <v>206328.26500000001</v>
      </c>
      <c r="BK426">
        <v>220390.6225</v>
      </c>
      <c r="BL426">
        <v>239280.00000000009</v>
      </c>
      <c r="BM426">
        <v>298738.61</v>
      </c>
      <c r="BN426">
        <v>365407.64500000002</v>
      </c>
      <c r="BO426">
        <v>399465.49400000001</v>
      </c>
      <c r="BP426">
        <v>515709.15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 x14ac:dyDescent="0.35">
      <c r="A427">
        <v>348920</v>
      </c>
      <c r="B427" t="s">
        <v>388</v>
      </c>
      <c r="C427" t="s">
        <v>389</v>
      </c>
      <c r="D427" s="1">
        <v>45820</v>
      </c>
      <c r="E427">
        <v>53850</v>
      </c>
      <c r="F427">
        <v>114</v>
      </c>
      <c r="G427" t="s">
        <v>267</v>
      </c>
      <c r="H427" t="s">
        <v>48</v>
      </c>
      <c r="I427" t="s">
        <v>49</v>
      </c>
      <c r="K427">
        <v>202506118061751</v>
      </c>
      <c r="L427">
        <v>1143306278902</v>
      </c>
      <c r="M427">
        <v>20250611</v>
      </c>
      <c r="N427" t="s">
        <v>400</v>
      </c>
      <c r="Q427" t="s">
        <v>58</v>
      </c>
      <c r="R427">
        <v>125000</v>
      </c>
      <c r="S427">
        <v>0</v>
      </c>
      <c r="T427">
        <v>4210170</v>
      </c>
      <c r="U427" t="s">
        <v>770</v>
      </c>
      <c r="V427" t="s">
        <v>771</v>
      </c>
      <c r="W427" t="s">
        <v>50</v>
      </c>
      <c r="Y427" t="s">
        <v>51</v>
      </c>
      <c r="Z427">
        <v>907</v>
      </c>
      <c r="AH427">
        <v>0</v>
      </c>
      <c r="AI427">
        <v>202506</v>
      </c>
      <c r="AJ427" t="s">
        <v>169</v>
      </c>
      <c r="AK427">
        <v>1</v>
      </c>
      <c r="AL427">
        <v>1</v>
      </c>
      <c r="AO427">
        <v>0</v>
      </c>
      <c r="AP427">
        <v>999</v>
      </c>
      <c r="AQ427">
        <v>600</v>
      </c>
      <c r="AR427">
        <v>600999</v>
      </c>
      <c r="AS427" t="s">
        <v>52</v>
      </c>
      <c r="AU427" t="s">
        <v>52</v>
      </c>
      <c r="AV427">
        <v>107500</v>
      </c>
      <c r="AW427">
        <v>109625</v>
      </c>
      <c r="AX427">
        <v>110000</v>
      </c>
      <c r="AY427">
        <v>112750</v>
      </c>
      <c r="AZ427">
        <v>120738</v>
      </c>
      <c r="BA427">
        <v>129508.75</v>
      </c>
      <c r="BB427">
        <v>130380</v>
      </c>
      <c r="BC427">
        <v>133610</v>
      </c>
      <c r="BD427">
        <v>133800</v>
      </c>
      <c r="BE427">
        <v>141080</v>
      </c>
      <c r="BF427">
        <v>147500</v>
      </c>
      <c r="BG427">
        <v>155382.03049999999</v>
      </c>
      <c r="BH427">
        <v>165585.11799999999</v>
      </c>
      <c r="BI427">
        <v>166416.67000000001</v>
      </c>
      <c r="BJ427">
        <v>166416.67000000001</v>
      </c>
      <c r="BK427">
        <v>173582.95749999999</v>
      </c>
      <c r="BL427">
        <v>190388.68799999999</v>
      </c>
      <c r="BM427">
        <v>212150</v>
      </c>
      <c r="BN427">
        <v>283513.16900000011</v>
      </c>
      <c r="BO427">
        <v>415377.23</v>
      </c>
      <c r="BP427">
        <v>415377.23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 x14ac:dyDescent="0.35">
      <c r="A428">
        <v>348917</v>
      </c>
      <c r="B428" t="s">
        <v>388</v>
      </c>
      <c r="C428" t="s">
        <v>389</v>
      </c>
      <c r="D428" s="1">
        <v>45820</v>
      </c>
      <c r="E428">
        <v>53850</v>
      </c>
      <c r="F428">
        <v>108</v>
      </c>
      <c r="G428" t="s">
        <v>89</v>
      </c>
      <c r="H428" t="s">
        <v>48</v>
      </c>
      <c r="I428" t="s">
        <v>49</v>
      </c>
      <c r="K428" t="s">
        <v>367</v>
      </c>
      <c r="L428">
        <v>1083300011180</v>
      </c>
      <c r="M428">
        <v>20250611</v>
      </c>
      <c r="N428" t="s">
        <v>262</v>
      </c>
      <c r="Q428" t="s">
        <v>58</v>
      </c>
      <c r="R428">
        <v>115507.85</v>
      </c>
      <c r="S428">
        <v>0</v>
      </c>
      <c r="T428">
        <v>1118</v>
      </c>
      <c r="U428">
        <v>3246700722</v>
      </c>
      <c r="V428" t="s">
        <v>416</v>
      </c>
      <c r="W428" t="s">
        <v>56</v>
      </c>
      <c r="X428" t="s">
        <v>411</v>
      </c>
      <c r="Y428" t="s">
        <v>51</v>
      </c>
      <c r="Z428">
        <v>1058</v>
      </c>
      <c r="AH428">
        <v>0</v>
      </c>
      <c r="AI428">
        <v>202506</v>
      </c>
      <c r="AJ428" t="s">
        <v>168</v>
      </c>
      <c r="AK428">
        <v>1</v>
      </c>
      <c r="AL428">
        <v>1</v>
      </c>
      <c r="AO428">
        <v>1</v>
      </c>
      <c r="AP428">
        <v>999</v>
      </c>
      <c r="AQ428">
        <v>430</v>
      </c>
      <c r="AR428">
        <v>430999</v>
      </c>
      <c r="AT428">
        <v>1</v>
      </c>
      <c r="AU428" t="s">
        <v>57</v>
      </c>
      <c r="AV428">
        <v>101552.46</v>
      </c>
      <c r="AW428">
        <v>114647.6485</v>
      </c>
      <c r="AX428">
        <v>118167.008</v>
      </c>
      <c r="AY428">
        <v>123559.05899999999</v>
      </c>
      <c r="AZ428">
        <v>128796.368</v>
      </c>
      <c r="BA428">
        <v>130000</v>
      </c>
      <c r="BB428">
        <v>135819.11300000001</v>
      </c>
      <c r="BC428">
        <v>145008.255</v>
      </c>
      <c r="BD428">
        <v>146226.546</v>
      </c>
      <c r="BE428">
        <v>148171.67300000001</v>
      </c>
      <c r="BF428">
        <v>156533.16500000001</v>
      </c>
      <c r="BG428">
        <v>167340.8915</v>
      </c>
      <c r="BH428">
        <v>179808.78</v>
      </c>
      <c r="BI428">
        <v>187222.14799999999</v>
      </c>
      <c r="BJ428">
        <v>206328.26500000001</v>
      </c>
      <c r="BK428">
        <v>220390.6225</v>
      </c>
      <c r="BL428">
        <v>239280.00000000009</v>
      </c>
      <c r="BM428">
        <v>298738.61</v>
      </c>
      <c r="BN428">
        <v>365407.64500000002</v>
      </c>
      <c r="BO428">
        <v>399465.49400000001</v>
      </c>
      <c r="BP428">
        <v>515709.15</v>
      </c>
      <c r="BQ428">
        <v>1</v>
      </c>
      <c r="BR428">
        <v>1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 x14ac:dyDescent="0.35">
      <c r="A429">
        <v>348914</v>
      </c>
      <c r="B429" t="s">
        <v>388</v>
      </c>
      <c r="C429" t="s">
        <v>389</v>
      </c>
      <c r="D429" s="1">
        <v>45820</v>
      </c>
      <c r="E429">
        <v>53850</v>
      </c>
      <c r="F429">
        <v>116</v>
      </c>
      <c r="G429" t="s">
        <v>259</v>
      </c>
      <c r="H429" t="s">
        <v>48</v>
      </c>
      <c r="I429" t="s">
        <v>49</v>
      </c>
      <c r="K429">
        <v>202506118061485</v>
      </c>
      <c r="L429">
        <v>2343300010453</v>
      </c>
      <c r="M429">
        <v>20250611</v>
      </c>
      <c r="N429" t="s">
        <v>253</v>
      </c>
      <c r="Q429" t="s">
        <v>58</v>
      </c>
      <c r="R429">
        <v>87896.5</v>
      </c>
      <c r="S429">
        <v>87896.5</v>
      </c>
      <c r="T429">
        <v>4247777</v>
      </c>
      <c r="U429">
        <v>233470236</v>
      </c>
      <c r="V429" t="s">
        <v>260</v>
      </c>
      <c r="W429" t="s">
        <v>56</v>
      </c>
      <c r="X429" t="s">
        <v>72</v>
      </c>
      <c r="Y429" t="s">
        <v>51</v>
      </c>
      <c r="Z429">
        <v>1696</v>
      </c>
      <c r="AH429">
        <v>0</v>
      </c>
      <c r="AI429">
        <v>202506</v>
      </c>
      <c r="AJ429" t="s">
        <v>168</v>
      </c>
      <c r="AK429">
        <v>1</v>
      </c>
      <c r="AL429">
        <v>1</v>
      </c>
      <c r="AM429">
        <v>4247777</v>
      </c>
      <c r="AN429">
        <v>1</v>
      </c>
      <c r="AO429">
        <v>0</v>
      </c>
      <c r="AP429">
        <v>463</v>
      </c>
      <c r="AQ429">
        <v>430</v>
      </c>
      <c r="AR429">
        <v>430463</v>
      </c>
      <c r="AS429" t="s">
        <v>61</v>
      </c>
      <c r="AU429" t="s">
        <v>61</v>
      </c>
      <c r="AV429">
        <v>85050</v>
      </c>
      <c r="AW429">
        <v>89030</v>
      </c>
      <c r="AX429">
        <v>91669.203999999998</v>
      </c>
      <c r="AY429">
        <v>93087.394</v>
      </c>
      <c r="AZ429">
        <v>94164.18</v>
      </c>
      <c r="BA429">
        <v>96798.05</v>
      </c>
      <c r="BB429">
        <v>100000</v>
      </c>
      <c r="BC429">
        <v>100000</v>
      </c>
      <c r="BD429">
        <v>101589.726</v>
      </c>
      <c r="BE429">
        <v>106295.712</v>
      </c>
      <c r="BF429">
        <v>110193.28</v>
      </c>
      <c r="BG429">
        <v>119645.424</v>
      </c>
      <c r="BH429">
        <v>127698</v>
      </c>
      <c r="BI429">
        <v>137713.79399999999</v>
      </c>
      <c r="BJ429">
        <v>139806</v>
      </c>
      <c r="BK429">
        <v>150000</v>
      </c>
      <c r="BL429">
        <v>161820.22</v>
      </c>
      <c r="BM429">
        <v>190199.99999999991</v>
      </c>
      <c r="BN429">
        <v>213800</v>
      </c>
      <c r="BO429">
        <v>259913.9999999998</v>
      </c>
      <c r="BP429">
        <v>440000</v>
      </c>
      <c r="BQ429">
        <v>1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 x14ac:dyDescent="0.35">
      <c r="A430">
        <v>348908</v>
      </c>
      <c r="B430" t="s">
        <v>388</v>
      </c>
      <c r="C430" t="s">
        <v>389</v>
      </c>
      <c r="D430" s="1">
        <v>45820</v>
      </c>
      <c r="E430">
        <v>53850</v>
      </c>
      <c r="F430">
        <v>102</v>
      </c>
      <c r="G430" t="s">
        <v>55</v>
      </c>
      <c r="H430" t="s">
        <v>48</v>
      </c>
      <c r="I430" t="s">
        <v>49</v>
      </c>
      <c r="K430">
        <v>202506118061607</v>
      </c>
      <c r="L430">
        <v>1023308720728</v>
      </c>
      <c r="M430">
        <v>20250611</v>
      </c>
      <c r="N430" t="s">
        <v>400</v>
      </c>
      <c r="Q430" t="s">
        <v>58</v>
      </c>
      <c r="R430">
        <v>160000</v>
      </c>
      <c r="S430">
        <v>0</v>
      </c>
      <c r="T430">
        <v>558487</v>
      </c>
      <c r="U430" t="s">
        <v>772</v>
      </c>
      <c r="V430" t="s">
        <v>773</v>
      </c>
      <c r="W430" t="s">
        <v>50</v>
      </c>
      <c r="Y430" t="s">
        <v>51</v>
      </c>
      <c r="Z430">
        <v>1648</v>
      </c>
      <c r="AH430">
        <v>0</v>
      </c>
      <c r="AI430">
        <v>202506</v>
      </c>
      <c r="AJ430" t="s">
        <v>168</v>
      </c>
      <c r="AK430">
        <v>1</v>
      </c>
      <c r="AL430">
        <v>1</v>
      </c>
      <c r="AO430">
        <v>0</v>
      </c>
      <c r="AP430">
        <v>999</v>
      </c>
      <c r="AQ430">
        <v>600</v>
      </c>
      <c r="AR430">
        <v>600999</v>
      </c>
      <c r="AS430" t="s">
        <v>52</v>
      </c>
      <c r="AU430" t="s">
        <v>52</v>
      </c>
      <c r="AV430">
        <v>107500</v>
      </c>
      <c r="AW430">
        <v>109625</v>
      </c>
      <c r="AX430">
        <v>110000</v>
      </c>
      <c r="AY430">
        <v>112750</v>
      </c>
      <c r="AZ430">
        <v>120738</v>
      </c>
      <c r="BA430">
        <v>129508.75</v>
      </c>
      <c r="BB430">
        <v>130380</v>
      </c>
      <c r="BC430">
        <v>133610</v>
      </c>
      <c r="BD430">
        <v>133800</v>
      </c>
      <c r="BE430">
        <v>141080</v>
      </c>
      <c r="BF430">
        <v>147500</v>
      </c>
      <c r="BG430">
        <v>155382.03049999999</v>
      </c>
      <c r="BH430">
        <v>165585.11799999999</v>
      </c>
      <c r="BI430">
        <v>166416.67000000001</v>
      </c>
      <c r="BJ430">
        <v>166416.67000000001</v>
      </c>
      <c r="BK430">
        <v>173582.95749999999</v>
      </c>
      <c r="BL430">
        <v>190388.68799999999</v>
      </c>
      <c r="BM430">
        <v>212150</v>
      </c>
      <c r="BN430">
        <v>283513.16900000011</v>
      </c>
      <c r="BO430">
        <v>415377.23</v>
      </c>
      <c r="BP430">
        <v>415377.23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 x14ac:dyDescent="0.35">
      <c r="A431">
        <v>348897</v>
      </c>
      <c r="B431" t="s">
        <v>388</v>
      </c>
      <c r="C431" t="s">
        <v>389</v>
      </c>
      <c r="D431" s="1">
        <v>45820</v>
      </c>
      <c r="E431">
        <v>53850</v>
      </c>
      <c r="F431">
        <v>108</v>
      </c>
      <c r="G431" t="s">
        <v>89</v>
      </c>
      <c r="H431" t="s">
        <v>48</v>
      </c>
      <c r="I431" t="s">
        <v>49</v>
      </c>
      <c r="K431" t="s">
        <v>367</v>
      </c>
      <c r="L431">
        <v>1083306291105</v>
      </c>
      <c r="M431">
        <v>20250611</v>
      </c>
      <c r="N431" t="s">
        <v>262</v>
      </c>
      <c r="Q431" t="s">
        <v>58</v>
      </c>
      <c r="R431">
        <v>109896.81</v>
      </c>
      <c r="S431">
        <v>76840.7</v>
      </c>
      <c r="T431">
        <v>4227057</v>
      </c>
      <c r="U431">
        <v>4874620729</v>
      </c>
      <c r="V431" t="s">
        <v>263</v>
      </c>
      <c r="W431" t="s">
        <v>56</v>
      </c>
      <c r="X431" t="s">
        <v>264</v>
      </c>
      <c r="Y431" t="s">
        <v>51</v>
      </c>
      <c r="Z431">
        <v>1058</v>
      </c>
      <c r="AH431">
        <v>0</v>
      </c>
      <c r="AI431">
        <v>202506</v>
      </c>
      <c r="AJ431" t="s">
        <v>169</v>
      </c>
      <c r="AK431">
        <v>1</v>
      </c>
      <c r="AL431">
        <v>1</v>
      </c>
      <c r="AM431">
        <v>4227057</v>
      </c>
      <c r="AN431">
        <v>1</v>
      </c>
      <c r="AO431">
        <v>1</v>
      </c>
      <c r="AP431">
        <v>999</v>
      </c>
      <c r="AQ431">
        <v>430</v>
      </c>
      <c r="AR431">
        <v>430999</v>
      </c>
      <c r="AT431">
        <v>1</v>
      </c>
      <c r="AU431" t="s">
        <v>57</v>
      </c>
      <c r="AV431">
        <v>101552.46</v>
      </c>
      <c r="AW431">
        <v>114647.6485</v>
      </c>
      <c r="AX431">
        <v>118167.008</v>
      </c>
      <c r="AY431">
        <v>123559.05899999999</v>
      </c>
      <c r="AZ431">
        <v>128796.368</v>
      </c>
      <c r="BA431">
        <v>130000</v>
      </c>
      <c r="BB431">
        <v>135819.11300000001</v>
      </c>
      <c r="BC431">
        <v>145008.255</v>
      </c>
      <c r="BD431">
        <v>146226.546</v>
      </c>
      <c r="BE431">
        <v>148171.67300000001</v>
      </c>
      <c r="BF431">
        <v>156533.16500000001</v>
      </c>
      <c r="BG431">
        <v>167340.8915</v>
      </c>
      <c r="BH431">
        <v>179808.78</v>
      </c>
      <c r="BI431">
        <v>187222.14799999999</v>
      </c>
      <c r="BJ431">
        <v>206328.26500000001</v>
      </c>
      <c r="BK431">
        <v>220390.6225</v>
      </c>
      <c r="BL431">
        <v>239280.00000000009</v>
      </c>
      <c r="BM431">
        <v>298738.61</v>
      </c>
      <c r="BN431">
        <v>365407.64500000002</v>
      </c>
      <c r="BO431">
        <v>399465.49400000001</v>
      </c>
      <c r="BP431">
        <v>515709.15</v>
      </c>
      <c r="BQ431">
        <v>1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 x14ac:dyDescent="0.35">
      <c r="A432">
        <v>348893</v>
      </c>
      <c r="B432" t="s">
        <v>388</v>
      </c>
      <c r="C432" t="s">
        <v>389</v>
      </c>
      <c r="D432" s="1">
        <v>45820</v>
      </c>
      <c r="E432">
        <v>53850</v>
      </c>
      <c r="F432">
        <v>188</v>
      </c>
      <c r="G432" t="s">
        <v>352</v>
      </c>
      <c r="H432" t="s">
        <v>48</v>
      </c>
      <c r="I432" t="s">
        <v>49</v>
      </c>
      <c r="K432">
        <v>202506118061973</v>
      </c>
      <c r="L432">
        <v>1883309518885</v>
      </c>
      <c r="M432">
        <v>20250611</v>
      </c>
      <c r="N432" t="s">
        <v>392</v>
      </c>
      <c r="Q432" t="s">
        <v>58</v>
      </c>
      <c r="R432">
        <v>200000</v>
      </c>
      <c r="S432">
        <v>0</v>
      </c>
      <c r="T432">
        <v>3062147</v>
      </c>
      <c r="U432" t="s">
        <v>774</v>
      </c>
      <c r="V432" t="s">
        <v>775</v>
      </c>
      <c r="W432" t="s">
        <v>66</v>
      </c>
      <c r="X432" t="s">
        <v>80</v>
      </c>
      <c r="Y432" t="s">
        <v>51</v>
      </c>
      <c r="Z432">
        <v>637</v>
      </c>
      <c r="AH432">
        <v>0</v>
      </c>
      <c r="AI432">
        <v>202506</v>
      </c>
      <c r="AJ432" t="s">
        <v>169</v>
      </c>
      <c r="AK432">
        <v>1</v>
      </c>
      <c r="AL432">
        <v>1</v>
      </c>
      <c r="AM432">
        <v>3062147</v>
      </c>
      <c r="AN432">
        <v>1</v>
      </c>
      <c r="AO432">
        <v>0</v>
      </c>
      <c r="AP432">
        <v>477</v>
      </c>
      <c r="AQ432">
        <v>615</v>
      </c>
      <c r="AR432">
        <v>615477</v>
      </c>
      <c r="AS432" t="s">
        <v>270</v>
      </c>
      <c r="AU432" t="s">
        <v>270</v>
      </c>
      <c r="AV432">
        <v>37615</v>
      </c>
      <c r="AW432">
        <v>38129.25</v>
      </c>
      <c r="AX432">
        <v>38617</v>
      </c>
      <c r="AY432">
        <v>38985.5</v>
      </c>
      <c r="AZ432">
        <v>39276</v>
      </c>
      <c r="BA432">
        <v>39430</v>
      </c>
      <c r="BB432">
        <v>39650</v>
      </c>
      <c r="BC432">
        <v>39925</v>
      </c>
      <c r="BD432">
        <v>40004</v>
      </c>
      <c r="BE432">
        <v>40009.5</v>
      </c>
      <c r="BF432">
        <v>40505</v>
      </c>
      <c r="BG432">
        <v>41243.25</v>
      </c>
      <c r="BH432">
        <v>43919</v>
      </c>
      <c r="BI432">
        <v>46035.25</v>
      </c>
      <c r="BJ432">
        <v>46659.5</v>
      </c>
      <c r="BK432">
        <v>48836.25</v>
      </c>
      <c r="BL432">
        <v>52876.000000000007</v>
      </c>
      <c r="BM432">
        <v>56324.25</v>
      </c>
      <c r="BN432">
        <v>59434.5</v>
      </c>
      <c r="BO432">
        <v>63675.005999999987</v>
      </c>
      <c r="BP432">
        <v>68166.679999999993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</row>
    <row r="433" spans="1:89" x14ac:dyDescent="0.35">
      <c r="A433">
        <v>348883</v>
      </c>
      <c r="B433" t="s">
        <v>388</v>
      </c>
      <c r="C433" t="s">
        <v>389</v>
      </c>
      <c r="D433" s="1">
        <v>45820</v>
      </c>
      <c r="E433">
        <v>53850</v>
      </c>
      <c r="F433">
        <v>114</v>
      </c>
      <c r="G433" t="s">
        <v>267</v>
      </c>
      <c r="H433" t="s">
        <v>48</v>
      </c>
      <c r="I433" t="s">
        <v>49</v>
      </c>
      <c r="K433">
        <v>202506118061751</v>
      </c>
      <c r="L433">
        <v>1143306278902</v>
      </c>
      <c r="M433">
        <v>20250611</v>
      </c>
      <c r="N433" t="s">
        <v>400</v>
      </c>
      <c r="Q433" t="s">
        <v>58</v>
      </c>
      <c r="R433">
        <v>125000</v>
      </c>
      <c r="S433">
        <v>0</v>
      </c>
      <c r="T433">
        <v>4210168</v>
      </c>
      <c r="U433" t="s">
        <v>776</v>
      </c>
      <c r="V433" t="s">
        <v>777</v>
      </c>
      <c r="W433" t="s">
        <v>50</v>
      </c>
      <c r="Y433" t="s">
        <v>51</v>
      </c>
      <c r="Z433">
        <v>907</v>
      </c>
      <c r="AH433">
        <v>0</v>
      </c>
      <c r="AI433">
        <v>202506</v>
      </c>
      <c r="AJ433" t="s">
        <v>169</v>
      </c>
      <c r="AK433">
        <v>1</v>
      </c>
      <c r="AL433">
        <v>1</v>
      </c>
      <c r="AO433">
        <v>0</v>
      </c>
      <c r="AP433">
        <v>999</v>
      </c>
      <c r="AQ433">
        <v>600</v>
      </c>
      <c r="AR433">
        <v>600999</v>
      </c>
      <c r="AS433" t="s">
        <v>52</v>
      </c>
      <c r="AU433" t="s">
        <v>52</v>
      </c>
      <c r="AV433">
        <v>107500</v>
      </c>
      <c r="AW433">
        <v>109625</v>
      </c>
      <c r="AX433">
        <v>110000</v>
      </c>
      <c r="AY433">
        <v>112750</v>
      </c>
      <c r="AZ433">
        <v>120738</v>
      </c>
      <c r="BA433">
        <v>129508.75</v>
      </c>
      <c r="BB433">
        <v>130380</v>
      </c>
      <c r="BC433">
        <v>133610</v>
      </c>
      <c r="BD433">
        <v>133800</v>
      </c>
      <c r="BE433">
        <v>141080</v>
      </c>
      <c r="BF433">
        <v>147500</v>
      </c>
      <c r="BG433">
        <v>155382.03049999999</v>
      </c>
      <c r="BH433">
        <v>165585.11799999999</v>
      </c>
      <c r="BI433">
        <v>166416.67000000001</v>
      </c>
      <c r="BJ433">
        <v>166416.67000000001</v>
      </c>
      <c r="BK433">
        <v>173582.95749999999</v>
      </c>
      <c r="BL433">
        <v>190388.68799999999</v>
      </c>
      <c r="BM433">
        <v>212150</v>
      </c>
      <c r="BN433">
        <v>283513.16900000011</v>
      </c>
      <c r="BO433">
        <v>415377.23</v>
      </c>
      <c r="BP433">
        <v>415377.23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 x14ac:dyDescent="0.35">
      <c r="A434">
        <v>348876</v>
      </c>
      <c r="B434" t="s">
        <v>388</v>
      </c>
      <c r="C434" t="s">
        <v>389</v>
      </c>
      <c r="D434" s="1">
        <v>45819</v>
      </c>
      <c r="E434">
        <v>53850</v>
      </c>
      <c r="F434">
        <v>121</v>
      </c>
      <c r="G434" t="s">
        <v>71</v>
      </c>
      <c r="H434" t="s">
        <v>48</v>
      </c>
      <c r="I434" t="s">
        <v>49</v>
      </c>
      <c r="K434" t="s">
        <v>368</v>
      </c>
      <c r="L434">
        <v>1213300002600</v>
      </c>
      <c r="M434">
        <v>20250610</v>
      </c>
      <c r="N434" t="s">
        <v>262</v>
      </c>
      <c r="Q434" t="s">
        <v>58</v>
      </c>
      <c r="R434">
        <v>1045535.28</v>
      </c>
      <c r="S434">
        <v>0</v>
      </c>
      <c r="T434">
        <v>4939345</v>
      </c>
      <c r="U434">
        <v>5754810728</v>
      </c>
      <c r="V434" t="s">
        <v>176</v>
      </c>
      <c r="W434" t="s">
        <v>56</v>
      </c>
      <c r="X434" t="s">
        <v>72</v>
      </c>
      <c r="Y434" t="s">
        <v>51</v>
      </c>
      <c r="Z434">
        <v>1058</v>
      </c>
      <c r="AH434">
        <v>0</v>
      </c>
      <c r="AI434">
        <v>202506</v>
      </c>
      <c r="AJ434" t="s">
        <v>169</v>
      </c>
      <c r="AK434">
        <v>1</v>
      </c>
      <c r="AL434">
        <v>1</v>
      </c>
      <c r="AO434">
        <v>1</v>
      </c>
      <c r="AP434">
        <v>463</v>
      </c>
      <c r="AQ434">
        <v>430</v>
      </c>
      <c r="AR434">
        <v>430463</v>
      </c>
      <c r="AS434" t="s">
        <v>61</v>
      </c>
      <c r="AU434" t="s">
        <v>61</v>
      </c>
      <c r="AV434">
        <v>85050</v>
      </c>
      <c r="AW434">
        <v>89030</v>
      </c>
      <c r="AX434">
        <v>91669.203999999998</v>
      </c>
      <c r="AY434">
        <v>93087.394</v>
      </c>
      <c r="AZ434">
        <v>94164.18</v>
      </c>
      <c r="BA434">
        <v>96798.05</v>
      </c>
      <c r="BB434">
        <v>100000</v>
      </c>
      <c r="BC434">
        <v>100000</v>
      </c>
      <c r="BD434">
        <v>101589.726</v>
      </c>
      <c r="BE434">
        <v>106295.712</v>
      </c>
      <c r="BF434">
        <v>110193.28</v>
      </c>
      <c r="BG434">
        <v>119645.424</v>
      </c>
      <c r="BH434">
        <v>127698</v>
      </c>
      <c r="BI434">
        <v>137713.79399999999</v>
      </c>
      <c r="BJ434">
        <v>139806</v>
      </c>
      <c r="BK434">
        <v>150000</v>
      </c>
      <c r="BL434">
        <v>161820.22</v>
      </c>
      <c r="BM434">
        <v>190199.99999999991</v>
      </c>
      <c r="BN434">
        <v>213800</v>
      </c>
      <c r="BO434">
        <v>259913.9999999998</v>
      </c>
      <c r="BP434">
        <v>440000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</row>
    <row r="435" spans="1:89" x14ac:dyDescent="0.35">
      <c r="A435">
        <v>348875</v>
      </c>
      <c r="B435" t="s">
        <v>388</v>
      </c>
      <c r="C435" t="s">
        <v>389</v>
      </c>
      <c r="D435" s="1">
        <v>45819</v>
      </c>
      <c r="E435">
        <v>53850</v>
      </c>
      <c r="F435">
        <v>121</v>
      </c>
      <c r="G435" t="s">
        <v>71</v>
      </c>
      <c r="H435" t="s">
        <v>48</v>
      </c>
      <c r="I435" t="s">
        <v>49</v>
      </c>
      <c r="K435" t="s">
        <v>368</v>
      </c>
      <c r="L435">
        <v>1213300002971</v>
      </c>
      <c r="M435">
        <v>20250610</v>
      </c>
      <c r="N435" t="s">
        <v>262</v>
      </c>
      <c r="Q435" t="s">
        <v>58</v>
      </c>
      <c r="R435">
        <v>118962.43</v>
      </c>
      <c r="S435">
        <v>0</v>
      </c>
      <c r="T435">
        <v>4859756</v>
      </c>
      <c r="U435">
        <v>7229510727</v>
      </c>
      <c r="V435" t="s">
        <v>778</v>
      </c>
      <c r="W435" t="s">
        <v>56</v>
      </c>
      <c r="X435" t="s">
        <v>575</v>
      </c>
      <c r="Y435" t="s">
        <v>51</v>
      </c>
      <c r="Z435">
        <v>1058</v>
      </c>
      <c r="AH435">
        <v>0</v>
      </c>
      <c r="AI435">
        <v>202506</v>
      </c>
      <c r="AJ435" t="s">
        <v>168</v>
      </c>
      <c r="AK435">
        <v>1</v>
      </c>
      <c r="AL435">
        <v>1</v>
      </c>
      <c r="AO435">
        <v>1</v>
      </c>
      <c r="AP435">
        <v>999</v>
      </c>
      <c r="AQ435">
        <v>430</v>
      </c>
      <c r="AR435">
        <v>430999</v>
      </c>
      <c r="AT435">
        <v>1</v>
      </c>
      <c r="AU435" t="s">
        <v>57</v>
      </c>
      <c r="AV435">
        <v>101552.46</v>
      </c>
      <c r="AW435">
        <v>114647.6485</v>
      </c>
      <c r="AX435">
        <v>118167.008</v>
      </c>
      <c r="AY435">
        <v>123559.05899999999</v>
      </c>
      <c r="AZ435">
        <v>128796.368</v>
      </c>
      <c r="BA435">
        <v>130000</v>
      </c>
      <c r="BB435">
        <v>135819.11300000001</v>
      </c>
      <c r="BC435">
        <v>145008.255</v>
      </c>
      <c r="BD435">
        <v>146226.546</v>
      </c>
      <c r="BE435">
        <v>148171.67300000001</v>
      </c>
      <c r="BF435">
        <v>156533.16500000001</v>
      </c>
      <c r="BG435">
        <v>167340.8915</v>
      </c>
      <c r="BH435">
        <v>179808.78</v>
      </c>
      <c r="BI435">
        <v>187222.14799999999</v>
      </c>
      <c r="BJ435">
        <v>206328.26500000001</v>
      </c>
      <c r="BK435">
        <v>220390.6225</v>
      </c>
      <c r="BL435">
        <v>239280.00000000009</v>
      </c>
      <c r="BM435">
        <v>298738.61</v>
      </c>
      <c r="BN435">
        <v>365407.64500000002</v>
      </c>
      <c r="BO435">
        <v>399465.49400000001</v>
      </c>
      <c r="BP435">
        <v>515709.15</v>
      </c>
      <c r="BQ435">
        <v>1</v>
      </c>
      <c r="BR435">
        <v>1</v>
      </c>
      <c r="BS435">
        <v>1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 x14ac:dyDescent="0.35">
      <c r="A436">
        <v>348873</v>
      </c>
      <c r="B436" t="s">
        <v>388</v>
      </c>
      <c r="C436" t="s">
        <v>389</v>
      </c>
      <c r="D436" s="1">
        <v>45819</v>
      </c>
      <c r="E436">
        <v>53850</v>
      </c>
      <c r="F436">
        <v>103</v>
      </c>
      <c r="G436" t="s">
        <v>59</v>
      </c>
      <c r="H436" t="s">
        <v>48</v>
      </c>
      <c r="I436" t="s">
        <v>49</v>
      </c>
      <c r="K436">
        <v>202506108058114</v>
      </c>
      <c r="L436">
        <v>1033306986160</v>
      </c>
      <c r="M436">
        <v>20250610</v>
      </c>
      <c r="N436" t="s">
        <v>417</v>
      </c>
      <c r="Q436" t="s">
        <v>58</v>
      </c>
      <c r="R436">
        <v>141000</v>
      </c>
      <c r="S436">
        <v>0</v>
      </c>
      <c r="T436">
        <v>557564</v>
      </c>
      <c r="U436" t="s">
        <v>424</v>
      </c>
      <c r="V436" t="s">
        <v>425</v>
      </c>
      <c r="W436" t="s">
        <v>50</v>
      </c>
      <c r="Y436" t="s">
        <v>51</v>
      </c>
      <c r="Z436">
        <v>515</v>
      </c>
      <c r="AH436">
        <v>0</v>
      </c>
      <c r="AI436">
        <v>202506</v>
      </c>
      <c r="AJ436" t="s">
        <v>168</v>
      </c>
      <c r="AK436">
        <v>1</v>
      </c>
      <c r="AL436">
        <v>1</v>
      </c>
      <c r="AO436">
        <v>0</v>
      </c>
      <c r="AP436">
        <v>999</v>
      </c>
      <c r="AQ436">
        <v>600</v>
      </c>
      <c r="AR436">
        <v>600999</v>
      </c>
      <c r="AS436" t="s">
        <v>52</v>
      </c>
      <c r="AU436" t="s">
        <v>52</v>
      </c>
      <c r="AV436">
        <v>107500</v>
      </c>
      <c r="AW436">
        <v>109625</v>
      </c>
      <c r="AX436">
        <v>110000</v>
      </c>
      <c r="AY436">
        <v>112750</v>
      </c>
      <c r="AZ436">
        <v>120738</v>
      </c>
      <c r="BA436">
        <v>129508.75</v>
      </c>
      <c r="BB436">
        <v>130380</v>
      </c>
      <c r="BC436">
        <v>133610</v>
      </c>
      <c r="BD436">
        <v>133800</v>
      </c>
      <c r="BE436">
        <v>141080</v>
      </c>
      <c r="BF436">
        <v>147500</v>
      </c>
      <c r="BG436">
        <v>155382.03049999999</v>
      </c>
      <c r="BH436">
        <v>165585.11799999999</v>
      </c>
      <c r="BI436">
        <v>166416.67000000001</v>
      </c>
      <c r="BJ436">
        <v>166416.67000000001</v>
      </c>
      <c r="BK436">
        <v>173582.95749999999</v>
      </c>
      <c r="BL436">
        <v>190388.68799999999</v>
      </c>
      <c r="BM436">
        <v>212150</v>
      </c>
      <c r="BN436">
        <v>283513.16900000011</v>
      </c>
      <c r="BO436">
        <v>415377.23</v>
      </c>
      <c r="BP436">
        <v>415377.23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 x14ac:dyDescent="0.35">
      <c r="A437">
        <v>348864</v>
      </c>
      <c r="B437" t="s">
        <v>388</v>
      </c>
      <c r="C437" t="s">
        <v>389</v>
      </c>
      <c r="D437" s="1">
        <v>45819</v>
      </c>
      <c r="E437">
        <v>53850</v>
      </c>
      <c r="F437">
        <v>104</v>
      </c>
      <c r="G437" t="s">
        <v>53</v>
      </c>
      <c r="H437" t="s">
        <v>48</v>
      </c>
      <c r="I437" t="s">
        <v>49</v>
      </c>
      <c r="K437" t="s">
        <v>368</v>
      </c>
      <c r="L437">
        <v>1043304173550</v>
      </c>
      <c r="M437">
        <v>20250610</v>
      </c>
      <c r="N437" t="s">
        <v>262</v>
      </c>
      <c r="Q437" t="s">
        <v>58</v>
      </c>
      <c r="R437">
        <v>106353.02</v>
      </c>
      <c r="S437">
        <v>0</v>
      </c>
      <c r="T437">
        <v>417355</v>
      </c>
      <c r="U437">
        <v>374690725</v>
      </c>
      <c r="V437" t="s">
        <v>397</v>
      </c>
      <c r="W437" t="s">
        <v>56</v>
      </c>
      <c r="X437" t="s">
        <v>78</v>
      </c>
      <c r="Y437" t="s">
        <v>51</v>
      </c>
      <c r="Z437">
        <v>1919</v>
      </c>
      <c r="AH437">
        <v>0</v>
      </c>
      <c r="AI437">
        <v>202506</v>
      </c>
      <c r="AJ437" t="s">
        <v>168</v>
      </c>
      <c r="AK437">
        <v>1</v>
      </c>
      <c r="AL437">
        <v>1</v>
      </c>
      <c r="AM437">
        <v>417355</v>
      </c>
      <c r="AN437">
        <v>1</v>
      </c>
      <c r="AO437">
        <v>1</v>
      </c>
      <c r="AP437">
        <v>464</v>
      </c>
      <c r="AQ437">
        <v>430</v>
      </c>
      <c r="AR437">
        <v>430464</v>
      </c>
      <c r="AS437" t="s">
        <v>79</v>
      </c>
      <c r="AU437" t="s">
        <v>79</v>
      </c>
      <c r="AV437">
        <v>76382.789999999994</v>
      </c>
      <c r="AW437">
        <v>79891.56</v>
      </c>
      <c r="AX437">
        <v>79937.08</v>
      </c>
      <c r="AY437">
        <v>88865.89</v>
      </c>
      <c r="AZ437">
        <v>94634.78</v>
      </c>
      <c r="BA437">
        <v>97229.53</v>
      </c>
      <c r="BB437">
        <v>98360.01</v>
      </c>
      <c r="BC437">
        <v>100000</v>
      </c>
      <c r="BD437">
        <v>104738.68</v>
      </c>
      <c r="BE437">
        <v>108176.82</v>
      </c>
      <c r="BF437">
        <v>110891.36</v>
      </c>
      <c r="BG437">
        <v>115427.47</v>
      </c>
      <c r="BH437">
        <v>118009.65</v>
      </c>
      <c r="BI437">
        <v>136718.03</v>
      </c>
      <c r="BJ437">
        <v>148758.49</v>
      </c>
      <c r="BK437">
        <v>182944.14</v>
      </c>
      <c r="BL437">
        <v>217448.27</v>
      </c>
      <c r="BM437">
        <v>222704.65</v>
      </c>
      <c r="BN437">
        <v>225130.1</v>
      </c>
      <c r="BO437">
        <v>259946.2</v>
      </c>
      <c r="BP437">
        <v>270019.89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 x14ac:dyDescent="0.35">
      <c r="A438">
        <v>348862</v>
      </c>
      <c r="B438" t="s">
        <v>388</v>
      </c>
      <c r="C438" t="s">
        <v>389</v>
      </c>
      <c r="D438" s="1">
        <v>45819</v>
      </c>
      <c r="E438">
        <v>53850</v>
      </c>
      <c r="F438">
        <v>161</v>
      </c>
      <c r="G438" t="s">
        <v>95</v>
      </c>
      <c r="H438" t="s">
        <v>48</v>
      </c>
      <c r="I438" t="s">
        <v>49</v>
      </c>
      <c r="K438" t="s">
        <v>368</v>
      </c>
      <c r="L438">
        <v>1613300029653</v>
      </c>
      <c r="M438">
        <v>20250610</v>
      </c>
      <c r="N438" t="s">
        <v>262</v>
      </c>
      <c r="Q438" t="s">
        <v>58</v>
      </c>
      <c r="R438">
        <v>97229.53</v>
      </c>
      <c r="S438">
        <v>8600</v>
      </c>
      <c r="T438">
        <v>4088769</v>
      </c>
      <c r="U438">
        <v>5150120722</v>
      </c>
      <c r="V438" t="s">
        <v>407</v>
      </c>
      <c r="W438" t="s">
        <v>56</v>
      </c>
      <c r="X438" t="s">
        <v>78</v>
      </c>
      <c r="Y438" t="s">
        <v>51</v>
      </c>
      <c r="Z438">
        <v>1903</v>
      </c>
      <c r="AH438">
        <v>0</v>
      </c>
      <c r="AI438">
        <v>202506</v>
      </c>
      <c r="AJ438" t="s">
        <v>63</v>
      </c>
      <c r="AK438">
        <v>0</v>
      </c>
      <c r="AL438">
        <v>1</v>
      </c>
      <c r="AM438">
        <v>4088769</v>
      </c>
      <c r="AN438">
        <v>1</v>
      </c>
      <c r="AO438">
        <v>1</v>
      </c>
      <c r="AP438">
        <v>464</v>
      </c>
      <c r="AQ438">
        <v>430</v>
      </c>
      <c r="AR438">
        <v>430464</v>
      </c>
      <c r="AS438" t="s">
        <v>79</v>
      </c>
      <c r="AU438" t="s">
        <v>79</v>
      </c>
      <c r="AV438">
        <v>76382.789999999994</v>
      </c>
      <c r="AW438">
        <v>79891.56</v>
      </c>
      <c r="AX438">
        <v>79937.08</v>
      </c>
      <c r="AY438">
        <v>88865.89</v>
      </c>
      <c r="AZ438">
        <v>94634.78</v>
      </c>
      <c r="BA438">
        <v>97229.53</v>
      </c>
      <c r="BB438">
        <v>98360.01</v>
      </c>
      <c r="BC438">
        <v>100000</v>
      </c>
      <c r="BD438">
        <v>104738.68</v>
      </c>
      <c r="BE438">
        <v>108176.82</v>
      </c>
      <c r="BF438">
        <v>110891.36</v>
      </c>
      <c r="BG438">
        <v>115427.47</v>
      </c>
      <c r="BH438">
        <v>118009.65</v>
      </c>
      <c r="BI438">
        <v>136718.03</v>
      </c>
      <c r="BJ438">
        <v>148758.49</v>
      </c>
      <c r="BK438">
        <v>182944.14</v>
      </c>
      <c r="BL438">
        <v>217448.27</v>
      </c>
      <c r="BM438">
        <v>222704.65</v>
      </c>
      <c r="BN438">
        <v>225130.1</v>
      </c>
      <c r="BO438">
        <v>259946.2</v>
      </c>
      <c r="BP438">
        <v>270019.89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 x14ac:dyDescent="0.35">
      <c r="A439">
        <v>348850</v>
      </c>
      <c r="B439" t="s">
        <v>388</v>
      </c>
      <c r="C439" t="s">
        <v>389</v>
      </c>
      <c r="D439" s="1">
        <v>45819</v>
      </c>
      <c r="E439">
        <v>53850</v>
      </c>
      <c r="F439">
        <v>174</v>
      </c>
      <c r="G439" t="s">
        <v>88</v>
      </c>
      <c r="H439" t="s">
        <v>48</v>
      </c>
      <c r="I439" t="s">
        <v>49</v>
      </c>
      <c r="K439">
        <v>202506108058413</v>
      </c>
      <c r="L439">
        <v>1933300021419</v>
      </c>
      <c r="M439">
        <v>20250610</v>
      </c>
      <c r="N439" t="s">
        <v>505</v>
      </c>
      <c r="Q439" t="s">
        <v>58</v>
      </c>
      <c r="R439">
        <v>115000</v>
      </c>
      <c r="S439">
        <v>0</v>
      </c>
      <c r="T439">
        <v>4193406</v>
      </c>
      <c r="U439" t="s">
        <v>779</v>
      </c>
      <c r="V439" t="s">
        <v>780</v>
      </c>
      <c r="W439" t="s">
        <v>50</v>
      </c>
      <c r="Y439" t="s">
        <v>51</v>
      </c>
      <c r="Z439">
        <v>1583</v>
      </c>
      <c r="AH439">
        <v>0</v>
      </c>
      <c r="AI439">
        <v>202506</v>
      </c>
      <c r="AJ439" t="s">
        <v>168</v>
      </c>
      <c r="AK439">
        <v>1</v>
      </c>
      <c r="AL439">
        <v>1</v>
      </c>
      <c r="AO439">
        <v>0</v>
      </c>
      <c r="AP439">
        <v>999</v>
      </c>
      <c r="AQ439">
        <v>600</v>
      </c>
      <c r="AR439">
        <v>600999</v>
      </c>
      <c r="AS439" t="s">
        <v>52</v>
      </c>
      <c r="AU439" t="s">
        <v>52</v>
      </c>
      <c r="AV439">
        <v>107500</v>
      </c>
      <c r="AW439">
        <v>109625</v>
      </c>
      <c r="AX439">
        <v>110000</v>
      </c>
      <c r="AY439">
        <v>112750</v>
      </c>
      <c r="AZ439">
        <v>120738</v>
      </c>
      <c r="BA439">
        <v>129508.75</v>
      </c>
      <c r="BB439">
        <v>130380</v>
      </c>
      <c r="BC439">
        <v>133610</v>
      </c>
      <c r="BD439">
        <v>133800</v>
      </c>
      <c r="BE439">
        <v>141080</v>
      </c>
      <c r="BF439">
        <v>147500</v>
      </c>
      <c r="BG439">
        <v>155382.03049999999</v>
      </c>
      <c r="BH439">
        <v>165585.11799999999</v>
      </c>
      <c r="BI439">
        <v>166416.67000000001</v>
      </c>
      <c r="BJ439">
        <v>166416.67000000001</v>
      </c>
      <c r="BK439">
        <v>173582.95749999999</v>
      </c>
      <c r="BL439">
        <v>190388.68799999999</v>
      </c>
      <c r="BM439">
        <v>212150</v>
      </c>
      <c r="BN439">
        <v>283513.16900000011</v>
      </c>
      <c r="BO439">
        <v>415377.23</v>
      </c>
      <c r="BP439">
        <v>415377.23</v>
      </c>
      <c r="BQ439">
        <v>1</v>
      </c>
      <c r="BR439">
        <v>1</v>
      </c>
      <c r="BS439">
        <v>1</v>
      </c>
      <c r="BT439">
        <v>1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 x14ac:dyDescent="0.35">
      <c r="A440">
        <v>348845</v>
      </c>
      <c r="B440" t="s">
        <v>388</v>
      </c>
      <c r="C440" t="s">
        <v>389</v>
      </c>
      <c r="D440" s="1">
        <v>45819</v>
      </c>
      <c r="E440">
        <v>53850</v>
      </c>
      <c r="F440">
        <v>196</v>
      </c>
      <c r="G440" t="s">
        <v>305</v>
      </c>
      <c r="H440" t="s">
        <v>48</v>
      </c>
      <c r="I440" t="s">
        <v>49</v>
      </c>
      <c r="K440">
        <v>202506108058491</v>
      </c>
      <c r="L440">
        <v>1963302353139</v>
      </c>
      <c r="M440">
        <v>20250610</v>
      </c>
      <c r="N440" t="s">
        <v>392</v>
      </c>
      <c r="Q440" t="s">
        <v>58</v>
      </c>
      <c r="R440">
        <v>116502.98</v>
      </c>
      <c r="S440">
        <v>0</v>
      </c>
      <c r="T440">
        <v>4799894</v>
      </c>
      <c r="U440">
        <v>3147630713</v>
      </c>
      <c r="V440" t="s">
        <v>781</v>
      </c>
      <c r="W440" t="s">
        <v>56</v>
      </c>
      <c r="X440" t="s">
        <v>782</v>
      </c>
      <c r="Y440" t="s">
        <v>51</v>
      </c>
      <c r="Z440">
        <v>1453</v>
      </c>
      <c r="AH440">
        <v>0</v>
      </c>
      <c r="AI440">
        <v>202506</v>
      </c>
      <c r="AJ440" t="s">
        <v>169</v>
      </c>
      <c r="AK440">
        <v>1</v>
      </c>
      <c r="AL440">
        <v>1</v>
      </c>
      <c r="AO440">
        <v>0</v>
      </c>
      <c r="AP440">
        <v>999</v>
      </c>
      <c r="AQ440">
        <v>430</v>
      </c>
      <c r="AR440">
        <v>430999</v>
      </c>
      <c r="AT440">
        <v>1</v>
      </c>
      <c r="AU440" t="s">
        <v>57</v>
      </c>
      <c r="AV440">
        <v>101552.46</v>
      </c>
      <c r="AW440">
        <v>114647.6485</v>
      </c>
      <c r="AX440">
        <v>118167.008</v>
      </c>
      <c r="AY440">
        <v>123559.05899999999</v>
      </c>
      <c r="AZ440">
        <v>128796.368</v>
      </c>
      <c r="BA440">
        <v>130000</v>
      </c>
      <c r="BB440">
        <v>135819.11300000001</v>
      </c>
      <c r="BC440">
        <v>145008.255</v>
      </c>
      <c r="BD440">
        <v>146226.546</v>
      </c>
      <c r="BE440">
        <v>148171.67300000001</v>
      </c>
      <c r="BF440">
        <v>156533.16500000001</v>
      </c>
      <c r="BG440">
        <v>167340.8915</v>
      </c>
      <c r="BH440">
        <v>179808.78</v>
      </c>
      <c r="BI440">
        <v>187222.14799999999</v>
      </c>
      <c r="BJ440">
        <v>206328.26500000001</v>
      </c>
      <c r="BK440">
        <v>220390.6225</v>
      </c>
      <c r="BL440">
        <v>239280.00000000009</v>
      </c>
      <c r="BM440">
        <v>298738.61</v>
      </c>
      <c r="BN440">
        <v>365407.64500000002</v>
      </c>
      <c r="BO440">
        <v>399465.49400000001</v>
      </c>
      <c r="BP440">
        <v>515709.15</v>
      </c>
      <c r="BQ440">
        <v>1</v>
      </c>
      <c r="BR440">
        <v>1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 x14ac:dyDescent="0.35">
      <c r="A441">
        <v>348842</v>
      </c>
      <c r="B441" t="s">
        <v>388</v>
      </c>
      <c r="C441" t="s">
        <v>389</v>
      </c>
      <c r="D441" s="1">
        <v>45819</v>
      </c>
      <c r="E441">
        <v>53850</v>
      </c>
      <c r="F441">
        <v>116</v>
      </c>
      <c r="G441" t="s">
        <v>259</v>
      </c>
      <c r="H441" t="s">
        <v>48</v>
      </c>
      <c r="I441" t="s">
        <v>49</v>
      </c>
      <c r="K441">
        <v>202506108058199</v>
      </c>
      <c r="L441">
        <v>1163307623245</v>
      </c>
      <c r="M441">
        <v>20250610</v>
      </c>
      <c r="N441" t="s">
        <v>400</v>
      </c>
      <c r="Q441" t="s">
        <v>58</v>
      </c>
      <c r="R441">
        <v>261560</v>
      </c>
      <c r="S441">
        <v>0</v>
      </c>
      <c r="T441">
        <v>3725043</v>
      </c>
      <c r="U441">
        <v>8672980722</v>
      </c>
      <c r="V441" t="s">
        <v>783</v>
      </c>
      <c r="W441" t="s">
        <v>56</v>
      </c>
      <c r="X441" t="s">
        <v>62</v>
      </c>
      <c r="Y441" t="s">
        <v>51</v>
      </c>
      <c r="Z441">
        <v>1919</v>
      </c>
      <c r="AH441">
        <v>0</v>
      </c>
      <c r="AI441">
        <v>202506</v>
      </c>
      <c r="AJ441" t="s">
        <v>168</v>
      </c>
      <c r="AK441">
        <v>1</v>
      </c>
      <c r="AL441">
        <v>1</v>
      </c>
      <c r="AO441">
        <v>0</v>
      </c>
      <c r="AP441">
        <v>412</v>
      </c>
      <c r="AQ441">
        <v>430</v>
      </c>
      <c r="AR441">
        <v>430412</v>
      </c>
      <c r="AS441" t="s">
        <v>61</v>
      </c>
      <c r="AU441" t="s">
        <v>61</v>
      </c>
      <c r="AV441">
        <v>85050</v>
      </c>
      <c r="AW441">
        <v>89030</v>
      </c>
      <c r="AX441">
        <v>91669.203999999998</v>
      </c>
      <c r="AY441">
        <v>93087.394</v>
      </c>
      <c r="AZ441">
        <v>94164.18</v>
      </c>
      <c r="BA441">
        <v>96798.05</v>
      </c>
      <c r="BB441">
        <v>100000</v>
      </c>
      <c r="BC441">
        <v>100000</v>
      </c>
      <c r="BD441">
        <v>101589.726</v>
      </c>
      <c r="BE441">
        <v>106295.712</v>
      </c>
      <c r="BF441">
        <v>110193.28</v>
      </c>
      <c r="BG441">
        <v>119645.424</v>
      </c>
      <c r="BH441">
        <v>127698</v>
      </c>
      <c r="BI441">
        <v>137713.79399999999</v>
      </c>
      <c r="BJ441">
        <v>139806</v>
      </c>
      <c r="BK441">
        <v>150000</v>
      </c>
      <c r="BL441">
        <v>161820.22</v>
      </c>
      <c r="BM441">
        <v>190199.99999999991</v>
      </c>
      <c r="BN441">
        <v>213800</v>
      </c>
      <c r="BO441">
        <v>259913.9999999998</v>
      </c>
      <c r="BP441">
        <v>440000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0</v>
      </c>
    </row>
    <row r="442" spans="1:89" x14ac:dyDescent="0.35">
      <c r="A442">
        <v>348837</v>
      </c>
      <c r="B442" t="s">
        <v>388</v>
      </c>
      <c r="C442" t="s">
        <v>389</v>
      </c>
      <c r="D442" s="1">
        <v>45819</v>
      </c>
      <c r="E442">
        <v>53850</v>
      </c>
      <c r="F442">
        <v>103</v>
      </c>
      <c r="G442" t="s">
        <v>59</v>
      </c>
      <c r="H442" t="s">
        <v>48</v>
      </c>
      <c r="I442" t="s">
        <v>49</v>
      </c>
      <c r="K442">
        <v>202506108058114</v>
      </c>
      <c r="L442">
        <v>1033306986160</v>
      </c>
      <c r="M442">
        <v>20250610</v>
      </c>
      <c r="N442" t="s">
        <v>417</v>
      </c>
      <c r="Q442" t="s">
        <v>58</v>
      </c>
      <c r="R442">
        <v>141000</v>
      </c>
      <c r="S442">
        <v>0</v>
      </c>
      <c r="T442">
        <v>606758</v>
      </c>
      <c r="U442" t="s">
        <v>431</v>
      </c>
      <c r="V442" t="s">
        <v>432</v>
      </c>
      <c r="W442" t="s">
        <v>50</v>
      </c>
      <c r="Y442" t="s">
        <v>51</v>
      </c>
      <c r="Z442">
        <v>1224</v>
      </c>
      <c r="AH442">
        <v>0</v>
      </c>
      <c r="AI442">
        <v>202506</v>
      </c>
      <c r="AJ442" t="s">
        <v>168</v>
      </c>
      <c r="AK442">
        <v>1</v>
      </c>
      <c r="AL442">
        <v>1</v>
      </c>
      <c r="AO442">
        <v>0</v>
      </c>
      <c r="AP442">
        <v>999</v>
      </c>
      <c r="AQ442">
        <v>600</v>
      </c>
      <c r="AR442">
        <v>600999</v>
      </c>
      <c r="AS442" t="s">
        <v>52</v>
      </c>
      <c r="AU442" t="s">
        <v>52</v>
      </c>
      <c r="AV442">
        <v>107500</v>
      </c>
      <c r="AW442">
        <v>109625</v>
      </c>
      <c r="AX442">
        <v>110000</v>
      </c>
      <c r="AY442">
        <v>112750</v>
      </c>
      <c r="AZ442">
        <v>120738</v>
      </c>
      <c r="BA442">
        <v>129508.75</v>
      </c>
      <c r="BB442">
        <v>130380</v>
      </c>
      <c r="BC442">
        <v>133610</v>
      </c>
      <c r="BD442">
        <v>133800</v>
      </c>
      <c r="BE442">
        <v>141080</v>
      </c>
      <c r="BF442">
        <v>147500</v>
      </c>
      <c r="BG442">
        <v>155382.03049999999</v>
      </c>
      <c r="BH442">
        <v>165585.11799999999</v>
      </c>
      <c r="BI442">
        <v>166416.67000000001</v>
      </c>
      <c r="BJ442">
        <v>166416.67000000001</v>
      </c>
      <c r="BK442">
        <v>173582.95749999999</v>
      </c>
      <c r="BL442">
        <v>190388.68799999999</v>
      </c>
      <c r="BM442">
        <v>212150</v>
      </c>
      <c r="BN442">
        <v>283513.16900000011</v>
      </c>
      <c r="BO442">
        <v>415377.23</v>
      </c>
      <c r="BP442">
        <v>415377.23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 x14ac:dyDescent="0.35">
      <c r="A443">
        <v>348836</v>
      </c>
      <c r="B443" t="s">
        <v>388</v>
      </c>
      <c r="C443" t="s">
        <v>389</v>
      </c>
      <c r="D443" s="1">
        <v>45819</v>
      </c>
      <c r="E443">
        <v>53850</v>
      </c>
      <c r="F443">
        <v>103</v>
      </c>
      <c r="G443" t="s">
        <v>59</v>
      </c>
      <c r="H443" t="s">
        <v>48</v>
      </c>
      <c r="I443" t="s">
        <v>49</v>
      </c>
      <c r="K443">
        <v>202506108058114</v>
      </c>
      <c r="L443">
        <v>1033306986160</v>
      </c>
      <c r="M443">
        <v>20250610</v>
      </c>
      <c r="N443" t="s">
        <v>417</v>
      </c>
      <c r="Q443" t="s">
        <v>58</v>
      </c>
      <c r="R443">
        <v>141000</v>
      </c>
      <c r="S443">
        <v>0</v>
      </c>
      <c r="T443">
        <v>4041365</v>
      </c>
      <c r="U443" t="s">
        <v>429</v>
      </c>
      <c r="V443" t="s">
        <v>430</v>
      </c>
      <c r="W443" t="s">
        <v>50</v>
      </c>
      <c r="Y443" t="s">
        <v>51</v>
      </c>
      <c r="AH443">
        <v>0</v>
      </c>
      <c r="AI443">
        <v>202506</v>
      </c>
      <c r="AJ443" t="s">
        <v>168</v>
      </c>
      <c r="AK443">
        <v>1</v>
      </c>
      <c r="AL443">
        <v>1</v>
      </c>
      <c r="AO443">
        <v>0</v>
      </c>
      <c r="AP443">
        <v>999</v>
      </c>
      <c r="AQ443">
        <v>600</v>
      </c>
      <c r="AR443">
        <v>600999</v>
      </c>
      <c r="AS443" t="s">
        <v>52</v>
      </c>
      <c r="AU443" t="s">
        <v>52</v>
      </c>
      <c r="AV443">
        <v>107500</v>
      </c>
      <c r="AW443">
        <v>109625</v>
      </c>
      <c r="AX443">
        <v>110000</v>
      </c>
      <c r="AY443">
        <v>112750</v>
      </c>
      <c r="AZ443">
        <v>120738</v>
      </c>
      <c r="BA443">
        <v>129508.75</v>
      </c>
      <c r="BB443">
        <v>130380</v>
      </c>
      <c r="BC443">
        <v>133610</v>
      </c>
      <c r="BD443">
        <v>133800</v>
      </c>
      <c r="BE443">
        <v>141080</v>
      </c>
      <c r="BF443">
        <v>147500</v>
      </c>
      <c r="BG443">
        <v>155382.03049999999</v>
      </c>
      <c r="BH443">
        <v>165585.11799999999</v>
      </c>
      <c r="BI443">
        <v>166416.67000000001</v>
      </c>
      <c r="BJ443">
        <v>166416.67000000001</v>
      </c>
      <c r="BK443">
        <v>173582.95749999999</v>
      </c>
      <c r="BL443">
        <v>190388.68799999999</v>
      </c>
      <c r="BM443">
        <v>212150</v>
      </c>
      <c r="BN443">
        <v>283513.16900000011</v>
      </c>
      <c r="BO443">
        <v>415377.23</v>
      </c>
      <c r="BP443">
        <v>415377.23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 x14ac:dyDescent="0.35">
      <c r="A444">
        <v>348834</v>
      </c>
      <c r="B444" t="s">
        <v>388</v>
      </c>
      <c r="C444" t="s">
        <v>389</v>
      </c>
      <c r="D444" s="1">
        <v>45819</v>
      </c>
      <c r="E444">
        <v>53850</v>
      </c>
      <c r="F444">
        <v>116</v>
      </c>
      <c r="G444" t="s">
        <v>259</v>
      </c>
      <c r="H444" t="s">
        <v>48</v>
      </c>
      <c r="I444" t="s">
        <v>49</v>
      </c>
      <c r="K444">
        <v>202506108057916</v>
      </c>
      <c r="L444">
        <v>2343300010453</v>
      </c>
      <c r="M444">
        <v>20250610</v>
      </c>
      <c r="N444" t="s">
        <v>253</v>
      </c>
      <c r="Q444" t="s">
        <v>58</v>
      </c>
      <c r="R444">
        <v>136096.6</v>
      </c>
      <c r="S444">
        <v>136096.6</v>
      </c>
      <c r="T444">
        <v>4247777</v>
      </c>
      <c r="U444">
        <v>233470236</v>
      </c>
      <c r="V444" t="s">
        <v>260</v>
      </c>
      <c r="W444" t="s">
        <v>56</v>
      </c>
      <c r="X444" t="s">
        <v>72</v>
      </c>
      <c r="Y444" t="s">
        <v>51</v>
      </c>
      <c r="Z444">
        <v>1696</v>
      </c>
      <c r="AH444">
        <v>0</v>
      </c>
      <c r="AI444">
        <v>202506</v>
      </c>
      <c r="AJ444" t="s">
        <v>168</v>
      </c>
      <c r="AK444">
        <v>1</v>
      </c>
      <c r="AL444">
        <v>1</v>
      </c>
      <c r="AM444">
        <v>4247777</v>
      </c>
      <c r="AN444">
        <v>1</v>
      </c>
      <c r="AO444">
        <v>0</v>
      </c>
      <c r="AP444">
        <v>463</v>
      </c>
      <c r="AQ444">
        <v>430</v>
      </c>
      <c r="AR444">
        <v>430463</v>
      </c>
      <c r="AS444" t="s">
        <v>61</v>
      </c>
      <c r="AU444" t="s">
        <v>61</v>
      </c>
      <c r="AV444">
        <v>85050</v>
      </c>
      <c r="AW444">
        <v>89030</v>
      </c>
      <c r="AX444">
        <v>91669.203999999998</v>
      </c>
      <c r="AY444">
        <v>93087.394</v>
      </c>
      <c r="AZ444">
        <v>94164.18</v>
      </c>
      <c r="BA444">
        <v>96798.05</v>
      </c>
      <c r="BB444">
        <v>100000</v>
      </c>
      <c r="BC444">
        <v>100000</v>
      </c>
      <c r="BD444">
        <v>101589.726</v>
      </c>
      <c r="BE444">
        <v>106295.712</v>
      </c>
      <c r="BF444">
        <v>110193.28</v>
      </c>
      <c r="BG444">
        <v>119645.424</v>
      </c>
      <c r="BH444">
        <v>127698</v>
      </c>
      <c r="BI444">
        <v>137713.79399999999</v>
      </c>
      <c r="BJ444">
        <v>139806</v>
      </c>
      <c r="BK444">
        <v>150000</v>
      </c>
      <c r="BL444">
        <v>161820.22</v>
      </c>
      <c r="BM444">
        <v>190199.99999999991</v>
      </c>
      <c r="BN444">
        <v>213800</v>
      </c>
      <c r="BO444">
        <v>259913.9999999998</v>
      </c>
      <c r="BP444">
        <v>440000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 x14ac:dyDescent="0.35">
      <c r="A445">
        <v>348833</v>
      </c>
      <c r="B445" t="s">
        <v>388</v>
      </c>
      <c r="C445" t="s">
        <v>389</v>
      </c>
      <c r="D445" s="1">
        <v>45819</v>
      </c>
      <c r="E445">
        <v>53850</v>
      </c>
      <c r="F445">
        <v>103</v>
      </c>
      <c r="G445" t="s">
        <v>59</v>
      </c>
      <c r="H445" t="s">
        <v>48</v>
      </c>
      <c r="I445" t="s">
        <v>49</v>
      </c>
      <c r="K445">
        <v>202506108058114</v>
      </c>
      <c r="L445">
        <v>1033306986160</v>
      </c>
      <c r="M445">
        <v>20250610</v>
      </c>
      <c r="N445" t="s">
        <v>417</v>
      </c>
      <c r="Q445" t="s">
        <v>58</v>
      </c>
      <c r="R445">
        <v>141000</v>
      </c>
      <c r="S445">
        <v>0</v>
      </c>
      <c r="T445">
        <v>4055669</v>
      </c>
      <c r="U445" t="s">
        <v>418</v>
      </c>
      <c r="V445" t="s">
        <v>419</v>
      </c>
      <c r="W445" t="s">
        <v>50</v>
      </c>
      <c r="Y445" t="s">
        <v>51</v>
      </c>
      <c r="AH445">
        <v>0</v>
      </c>
      <c r="AI445">
        <v>202506</v>
      </c>
      <c r="AJ445" t="s">
        <v>168</v>
      </c>
      <c r="AK445">
        <v>1</v>
      </c>
      <c r="AL445">
        <v>1</v>
      </c>
      <c r="AO445">
        <v>0</v>
      </c>
      <c r="AP445">
        <v>999</v>
      </c>
      <c r="AQ445">
        <v>600</v>
      </c>
      <c r="AR445">
        <v>600999</v>
      </c>
      <c r="AS445" t="s">
        <v>52</v>
      </c>
      <c r="AU445" t="s">
        <v>52</v>
      </c>
      <c r="AV445">
        <v>107500</v>
      </c>
      <c r="AW445">
        <v>109625</v>
      </c>
      <c r="AX445">
        <v>110000</v>
      </c>
      <c r="AY445">
        <v>112750</v>
      </c>
      <c r="AZ445">
        <v>120738</v>
      </c>
      <c r="BA445">
        <v>129508.75</v>
      </c>
      <c r="BB445">
        <v>130380</v>
      </c>
      <c r="BC445">
        <v>133610</v>
      </c>
      <c r="BD445">
        <v>133800</v>
      </c>
      <c r="BE445">
        <v>141080</v>
      </c>
      <c r="BF445">
        <v>147500</v>
      </c>
      <c r="BG445">
        <v>155382.03049999999</v>
      </c>
      <c r="BH445">
        <v>165585.11799999999</v>
      </c>
      <c r="BI445">
        <v>166416.67000000001</v>
      </c>
      <c r="BJ445">
        <v>166416.67000000001</v>
      </c>
      <c r="BK445">
        <v>173582.95749999999</v>
      </c>
      <c r="BL445">
        <v>190388.68799999999</v>
      </c>
      <c r="BM445">
        <v>212150</v>
      </c>
      <c r="BN445">
        <v>283513.16900000011</v>
      </c>
      <c r="BO445">
        <v>415377.23</v>
      </c>
      <c r="BP445">
        <v>415377.23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 x14ac:dyDescent="0.35">
      <c r="A446">
        <v>348831</v>
      </c>
      <c r="B446" t="s">
        <v>388</v>
      </c>
      <c r="C446" t="s">
        <v>389</v>
      </c>
      <c r="D446" s="1">
        <v>45819</v>
      </c>
      <c r="E446">
        <v>53850</v>
      </c>
      <c r="F446">
        <v>171</v>
      </c>
      <c r="G446" t="s">
        <v>70</v>
      </c>
      <c r="H446" t="s">
        <v>48</v>
      </c>
      <c r="I446" t="s">
        <v>49</v>
      </c>
      <c r="K446" t="s">
        <v>368</v>
      </c>
      <c r="L446">
        <v>1713305728950</v>
      </c>
      <c r="M446">
        <v>20250610</v>
      </c>
      <c r="N446" t="s">
        <v>253</v>
      </c>
      <c r="Q446" t="s">
        <v>58</v>
      </c>
      <c r="R446">
        <v>191560</v>
      </c>
      <c r="S446">
        <v>191560</v>
      </c>
      <c r="T446">
        <v>572895</v>
      </c>
      <c r="U446">
        <v>4161600723</v>
      </c>
      <c r="V446" t="s">
        <v>257</v>
      </c>
      <c r="W446" t="s">
        <v>56</v>
      </c>
      <c r="X446" t="s">
        <v>258</v>
      </c>
      <c r="Y446" t="s">
        <v>51</v>
      </c>
      <c r="Z446">
        <v>1903</v>
      </c>
      <c r="AH446">
        <v>0</v>
      </c>
      <c r="AI446">
        <v>202506</v>
      </c>
      <c r="AJ446" t="s">
        <v>169</v>
      </c>
      <c r="AK446">
        <v>1</v>
      </c>
      <c r="AL446">
        <v>1</v>
      </c>
      <c r="AM446">
        <v>572895</v>
      </c>
      <c r="AN446">
        <v>1</v>
      </c>
      <c r="AO446">
        <v>0</v>
      </c>
      <c r="AP446">
        <v>999</v>
      </c>
      <c r="AQ446">
        <v>430</v>
      </c>
      <c r="AR446">
        <v>430999</v>
      </c>
      <c r="AT446">
        <v>1</v>
      </c>
      <c r="AU446" t="s">
        <v>57</v>
      </c>
      <c r="AV446">
        <v>101552.46</v>
      </c>
      <c r="AW446">
        <v>114647.6485</v>
      </c>
      <c r="AX446">
        <v>118167.008</v>
      </c>
      <c r="AY446">
        <v>123559.05899999999</v>
      </c>
      <c r="AZ446">
        <v>128796.368</v>
      </c>
      <c r="BA446">
        <v>130000</v>
      </c>
      <c r="BB446">
        <v>135819.11300000001</v>
      </c>
      <c r="BC446">
        <v>145008.255</v>
      </c>
      <c r="BD446">
        <v>146226.546</v>
      </c>
      <c r="BE446">
        <v>148171.67300000001</v>
      </c>
      <c r="BF446">
        <v>156533.16500000001</v>
      </c>
      <c r="BG446">
        <v>167340.8915</v>
      </c>
      <c r="BH446">
        <v>179808.78</v>
      </c>
      <c r="BI446">
        <v>187222.14799999999</v>
      </c>
      <c r="BJ446">
        <v>206328.26500000001</v>
      </c>
      <c r="BK446">
        <v>220390.6225</v>
      </c>
      <c r="BL446">
        <v>239280.00000000009</v>
      </c>
      <c r="BM446">
        <v>298738.61</v>
      </c>
      <c r="BN446">
        <v>365407.64500000002</v>
      </c>
      <c r="BO446">
        <v>399465.49400000001</v>
      </c>
      <c r="BP446">
        <v>515709.15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 x14ac:dyDescent="0.35">
      <c r="A447">
        <v>348830</v>
      </c>
      <c r="B447" t="s">
        <v>388</v>
      </c>
      <c r="C447" t="s">
        <v>389</v>
      </c>
      <c r="D447" s="1">
        <v>45819</v>
      </c>
      <c r="E447">
        <v>53850</v>
      </c>
      <c r="F447">
        <v>121</v>
      </c>
      <c r="G447" t="s">
        <v>71</v>
      </c>
      <c r="H447" t="s">
        <v>48</v>
      </c>
      <c r="I447" t="s">
        <v>49</v>
      </c>
      <c r="K447">
        <v>202506108058216</v>
      </c>
      <c r="L447">
        <v>1213300010279</v>
      </c>
      <c r="M447">
        <v>20250610</v>
      </c>
      <c r="N447" t="s">
        <v>392</v>
      </c>
      <c r="Q447" t="s">
        <v>58</v>
      </c>
      <c r="R447">
        <v>100000</v>
      </c>
      <c r="S447">
        <v>0</v>
      </c>
      <c r="T447">
        <v>1001714</v>
      </c>
      <c r="U447" t="s">
        <v>784</v>
      </c>
      <c r="V447" t="s">
        <v>785</v>
      </c>
      <c r="W447" t="s">
        <v>66</v>
      </c>
      <c r="X447" t="s">
        <v>175</v>
      </c>
      <c r="Y447" t="s">
        <v>51</v>
      </c>
      <c r="Z447">
        <v>928</v>
      </c>
      <c r="AH447">
        <v>0</v>
      </c>
      <c r="AI447">
        <v>202506</v>
      </c>
      <c r="AJ447" t="s">
        <v>169</v>
      </c>
      <c r="AK447">
        <v>1</v>
      </c>
      <c r="AL447">
        <v>1</v>
      </c>
      <c r="AO447">
        <v>0</v>
      </c>
      <c r="AP447">
        <v>999</v>
      </c>
      <c r="AQ447">
        <v>615</v>
      </c>
      <c r="AR447">
        <v>615999</v>
      </c>
      <c r="AT447">
        <v>1</v>
      </c>
      <c r="AU447" t="s">
        <v>61</v>
      </c>
      <c r="AV447">
        <v>85050</v>
      </c>
      <c r="AW447">
        <v>89030</v>
      </c>
      <c r="AX447">
        <v>91669.203999999998</v>
      </c>
      <c r="AY447">
        <v>93087.394</v>
      </c>
      <c r="AZ447">
        <v>94164.18</v>
      </c>
      <c r="BA447">
        <v>96798.05</v>
      </c>
      <c r="BB447">
        <v>100000</v>
      </c>
      <c r="BC447">
        <v>100000</v>
      </c>
      <c r="BD447">
        <v>101589.726</v>
      </c>
      <c r="BE447">
        <v>106295.712</v>
      </c>
      <c r="BF447">
        <v>110193.28</v>
      </c>
      <c r="BG447">
        <v>119645.424</v>
      </c>
      <c r="BH447">
        <v>127698</v>
      </c>
      <c r="BI447">
        <v>137713.79399999999</v>
      </c>
      <c r="BJ447">
        <v>139806</v>
      </c>
      <c r="BK447">
        <v>150000</v>
      </c>
      <c r="BL447">
        <v>161820.22</v>
      </c>
      <c r="BM447">
        <v>190199.99999999991</v>
      </c>
      <c r="BN447">
        <v>213800</v>
      </c>
      <c r="BO447">
        <v>259913.9999999998</v>
      </c>
      <c r="BP447">
        <v>440000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 x14ac:dyDescent="0.35">
      <c r="A448">
        <v>348823</v>
      </c>
      <c r="B448" t="s">
        <v>388</v>
      </c>
      <c r="C448" t="s">
        <v>389</v>
      </c>
      <c r="D448" s="1">
        <v>45818</v>
      </c>
      <c r="E448">
        <v>53850</v>
      </c>
      <c r="F448">
        <v>103</v>
      </c>
      <c r="G448" t="s">
        <v>59</v>
      </c>
      <c r="H448" t="s">
        <v>48</v>
      </c>
      <c r="I448" t="s">
        <v>49</v>
      </c>
      <c r="K448" t="s">
        <v>369</v>
      </c>
      <c r="L448">
        <v>1033306978505</v>
      </c>
      <c r="M448">
        <v>20250609</v>
      </c>
      <c r="N448" t="s">
        <v>262</v>
      </c>
      <c r="Q448" t="s">
        <v>58</v>
      </c>
      <c r="R448">
        <v>102000</v>
      </c>
      <c r="S448">
        <v>0</v>
      </c>
      <c r="T448">
        <v>4917206</v>
      </c>
      <c r="U448">
        <v>8210620723</v>
      </c>
      <c r="V448" t="s">
        <v>786</v>
      </c>
      <c r="W448" t="s">
        <v>56</v>
      </c>
      <c r="X448" t="s">
        <v>62</v>
      </c>
      <c r="Y448" t="s">
        <v>51</v>
      </c>
      <c r="Z448">
        <v>739</v>
      </c>
      <c r="AH448">
        <v>0</v>
      </c>
      <c r="AI448">
        <v>202506</v>
      </c>
      <c r="AJ448" t="s">
        <v>168</v>
      </c>
      <c r="AK448">
        <v>1</v>
      </c>
      <c r="AL448">
        <v>1</v>
      </c>
      <c r="AO448">
        <v>1</v>
      </c>
      <c r="AP448">
        <v>412</v>
      </c>
      <c r="AQ448">
        <v>430</v>
      </c>
      <c r="AR448">
        <v>430412</v>
      </c>
      <c r="AS448" t="s">
        <v>61</v>
      </c>
      <c r="AU448" t="s">
        <v>61</v>
      </c>
      <c r="AV448">
        <v>85050</v>
      </c>
      <c r="AW448">
        <v>89030</v>
      </c>
      <c r="AX448">
        <v>91669.203999999998</v>
      </c>
      <c r="AY448">
        <v>93087.394</v>
      </c>
      <c r="AZ448">
        <v>94164.18</v>
      </c>
      <c r="BA448">
        <v>96798.05</v>
      </c>
      <c r="BB448">
        <v>100000</v>
      </c>
      <c r="BC448">
        <v>100000</v>
      </c>
      <c r="BD448">
        <v>101589.726</v>
      </c>
      <c r="BE448">
        <v>106295.712</v>
      </c>
      <c r="BF448">
        <v>110193.28</v>
      </c>
      <c r="BG448">
        <v>119645.424</v>
      </c>
      <c r="BH448">
        <v>127698</v>
      </c>
      <c r="BI448">
        <v>137713.79399999999</v>
      </c>
      <c r="BJ448">
        <v>139806</v>
      </c>
      <c r="BK448">
        <v>150000</v>
      </c>
      <c r="BL448">
        <v>161820.22</v>
      </c>
      <c r="BM448">
        <v>190199.99999999991</v>
      </c>
      <c r="BN448">
        <v>213800</v>
      </c>
      <c r="BO448">
        <v>259913.9999999998</v>
      </c>
      <c r="BP448">
        <v>440000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 x14ac:dyDescent="0.35">
      <c r="A449">
        <v>348822</v>
      </c>
      <c r="B449" t="s">
        <v>388</v>
      </c>
      <c r="C449" t="s">
        <v>389</v>
      </c>
      <c r="D449" s="1">
        <v>45818</v>
      </c>
      <c r="E449">
        <v>53850</v>
      </c>
      <c r="F449">
        <v>111</v>
      </c>
      <c r="G449" t="s">
        <v>504</v>
      </c>
      <c r="H449" t="s">
        <v>48</v>
      </c>
      <c r="I449" t="s">
        <v>49</v>
      </c>
      <c r="K449">
        <v>202506098054794</v>
      </c>
      <c r="L449">
        <v>1113302817195</v>
      </c>
      <c r="M449">
        <v>20250609</v>
      </c>
      <c r="N449" t="s">
        <v>392</v>
      </c>
      <c r="Q449" t="s">
        <v>58</v>
      </c>
      <c r="R449">
        <v>118493.59</v>
      </c>
      <c r="S449">
        <v>0</v>
      </c>
      <c r="T449">
        <v>456132</v>
      </c>
      <c r="U449" t="s">
        <v>787</v>
      </c>
      <c r="V449" t="s">
        <v>788</v>
      </c>
      <c r="W449" t="s">
        <v>50</v>
      </c>
      <c r="Y449" t="s">
        <v>51</v>
      </c>
      <c r="Z449">
        <v>445</v>
      </c>
      <c r="AH449">
        <v>0</v>
      </c>
      <c r="AI449">
        <v>202506</v>
      </c>
      <c r="AJ449" t="s">
        <v>168</v>
      </c>
      <c r="AK449">
        <v>1</v>
      </c>
      <c r="AL449">
        <v>1</v>
      </c>
      <c r="AO449">
        <v>0</v>
      </c>
      <c r="AP449">
        <v>999</v>
      </c>
      <c r="AQ449">
        <v>600</v>
      </c>
      <c r="AR449">
        <v>600999</v>
      </c>
      <c r="AS449" t="s">
        <v>52</v>
      </c>
      <c r="AU449" t="s">
        <v>52</v>
      </c>
      <c r="AV449">
        <v>107500</v>
      </c>
      <c r="AW449">
        <v>109625</v>
      </c>
      <c r="AX449">
        <v>110000</v>
      </c>
      <c r="AY449">
        <v>112750</v>
      </c>
      <c r="AZ449">
        <v>120738</v>
      </c>
      <c r="BA449">
        <v>129508.75</v>
      </c>
      <c r="BB449">
        <v>130380</v>
      </c>
      <c r="BC449">
        <v>133610</v>
      </c>
      <c r="BD449">
        <v>133800</v>
      </c>
      <c r="BE449">
        <v>141080</v>
      </c>
      <c r="BF449">
        <v>147500</v>
      </c>
      <c r="BG449">
        <v>155382.03049999999</v>
      </c>
      <c r="BH449">
        <v>165585.11799999999</v>
      </c>
      <c r="BI449">
        <v>166416.67000000001</v>
      </c>
      <c r="BJ449">
        <v>166416.67000000001</v>
      </c>
      <c r="BK449">
        <v>173582.95749999999</v>
      </c>
      <c r="BL449">
        <v>190388.68799999999</v>
      </c>
      <c r="BM449">
        <v>212150</v>
      </c>
      <c r="BN449">
        <v>283513.16900000011</v>
      </c>
      <c r="BO449">
        <v>415377.23</v>
      </c>
      <c r="BP449">
        <v>415377.23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 x14ac:dyDescent="0.35">
      <c r="A450">
        <v>348817</v>
      </c>
      <c r="B450" t="s">
        <v>388</v>
      </c>
      <c r="C450" t="s">
        <v>389</v>
      </c>
      <c r="D450" s="1">
        <v>45818</v>
      </c>
      <c r="E450">
        <v>53850</v>
      </c>
      <c r="F450">
        <v>161</v>
      </c>
      <c r="G450" t="s">
        <v>95</v>
      </c>
      <c r="H450" t="s">
        <v>48</v>
      </c>
      <c r="I450" t="s">
        <v>49</v>
      </c>
      <c r="K450" t="s">
        <v>369</v>
      </c>
      <c r="L450">
        <v>1613300029653</v>
      </c>
      <c r="M450">
        <v>20250609</v>
      </c>
      <c r="N450" t="s">
        <v>262</v>
      </c>
      <c r="Q450" t="s">
        <v>58</v>
      </c>
      <c r="R450">
        <v>115427.47</v>
      </c>
      <c r="S450">
        <v>10800</v>
      </c>
      <c r="T450">
        <v>4088769</v>
      </c>
      <c r="U450">
        <v>5150120722</v>
      </c>
      <c r="V450" t="s">
        <v>407</v>
      </c>
      <c r="W450" t="s">
        <v>56</v>
      </c>
      <c r="X450" t="s">
        <v>78</v>
      </c>
      <c r="Y450" t="s">
        <v>51</v>
      </c>
      <c r="Z450">
        <v>1903</v>
      </c>
      <c r="AH450">
        <v>0</v>
      </c>
      <c r="AI450">
        <v>202506</v>
      </c>
      <c r="AJ450" t="s">
        <v>63</v>
      </c>
      <c r="AK450">
        <v>0</v>
      </c>
      <c r="AL450">
        <v>1</v>
      </c>
      <c r="AM450">
        <v>4088769</v>
      </c>
      <c r="AN450">
        <v>1</v>
      </c>
      <c r="AO450">
        <v>1</v>
      </c>
      <c r="AP450">
        <v>464</v>
      </c>
      <c r="AQ450">
        <v>430</v>
      </c>
      <c r="AR450">
        <v>430464</v>
      </c>
      <c r="AS450" t="s">
        <v>79</v>
      </c>
      <c r="AU450" t="s">
        <v>79</v>
      </c>
      <c r="AV450">
        <v>76382.789999999994</v>
      </c>
      <c r="AW450">
        <v>79891.56</v>
      </c>
      <c r="AX450">
        <v>79937.08</v>
      </c>
      <c r="AY450">
        <v>88865.89</v>
      </c>
      <c r="AZ450">
        <v>94634.78</v>
      </c>
      <c r="BA450">
        <v>97229.53</v>
      </c>
      <c r="BB450">
        <v>98360.01</v>
      </c>
      <c r="BC450">
        <v>100000</v>
      </c>
      <c r="BD450">
        <v>104738.68</v>
      </c>
      <c r="BE450">
        <v>108176.82</v>
      </c>
      <c r="BF450">
        <v>110891.36</v>
      </c>
      <c r="BG450">
        <v>115427.47</v>
      </c>
      <c r="BH450">
        <v>118009.65</v>
      </c>
      <c r="BI450">
        <v>136718.03</v>
      </c>
      <c r="BJ450">
        <v>148758.49</v>
      </c>
      <c r="BK450">
        <v>182944.14</v>
      </c>
      <c r="BL450">
        <v>217448.27</v>
      </c>
      <c r="BM450">
        <v>222704.65</v>
      </c>
      <c r="BN450">
        <v>225130.1</v>
      </c>
      <c r="BO450">
        <v>259946.2</v>
      </c>
      <c r="BP450">
        <v>270019.89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 x14ac:dyDescent="0.35">
      <c r="A451">
        <v>348809</v>
      </c>
      <c r="B451" t="s">
        <v>388</v>
      </c>
      <c r="C451" t="s">
        <v>389</v>
      </c>
      <c r="D451" s="1">
        <v>45818</v>
      </c>
      <c r="E451">
        <v>53850</v>
      </c>
      <c r="F451">
        <v>128</v>
      </c>
      <c r="G451" t="s">
        <v>274</v>
      </c>
      <c r="H451" t="s">
        <v>48</v>
      </c>
      <c r="I451" t="s">
        <v>49</v>
      </c>
      <c r="K451" t="s">
        <v>369</v>
      </c>
      <c r="L451">
        <v>1283300001665</v>
      </c>
      <c r="M451">
        <v>20250609</v>
      </c>
      <c r="N451" t="s">
        <v>262</v>
      </c>
      <c r="Q451" t="s">
        <v>58</v>
      </c>
      <c r="R451">
        <v>148675.4</v>
      </c>
      <c r="S451">
        <v>1790</v>
      </c>
      <c r="T451">
        <v>4254896</v>
      </c>
      <c r="U451">
        <v>6234730726</v>
      </c>
      <c r="V451" t="s">
        <v>410</v>
      </c>
      <c r="W451" t="s">
        <v>56</v>
      </c>
      <c r="X451" t="s">
        <v>411</v>
      </c>
      <c r="Y451" t="s">
        <v>51</v>
      </c>
      <c r="Z451">
        <v>1919</v>
      </c>
      <c r="AH451">
        <v>0</v>
      </c>
      <c r="AI451">
        <v>202506</v>
      </c>
      <c r="AJ451" t="s">
        <v>168</v>
      </c>
      <c r="AK451">
        <v>1</v>
      </c>
      <c r="AL451">
        <v>1</v>
      </c>
      <c r="AO451">
        <v>1</v>
      </c>
      <c r="AP451">
        <v>999</v>
      </c>
      <c r="AQ451">
        <v>430</v>
      </c>
      <c r="AR451">
        <v>430999</v>
      </c>
      <c r="AT451">
        <v>1</v>
      </c>
      <c r="AU451" t="s">
        <v>57</v>
      </c>
      <c r="AV451">
        <v>101552.46</v>
      </c>
      <c r="AW451">
        <v>114647.6485</v>
      </c>
      <c r="AX451">
        <v>118167.008</v>
      </c>
      <c r="AY451">
        <v>123559.05899999999</v>
      </c>
      <c r="AZ451">
        <v>128796.368</v>
      </c>
      <c r="BA451">
        <v>130000</v>
      </c>
      <c r="BB451">
        <v>135819.11300000001</v>
      </c>
      <c r="BC451">
        <v>145008.255</v>
      </c>
      <c r="BD451">
        <v>146226.546</v>
      </c>
      <c r="BE451">
        <v>148171.67300000001</v>
      </c>
      <c r="BF451">
        <v>156533.16500000001</v>
      </c>
      <c r="BG451">
        <v>167340.8915</v>
      </c>
      <c r="BH451">
        <v>179808.78</v>
      </c>
      <c r="BI451">
        <v>187222.14799999999</v>
      </c>
      <c r="BJ451">
        <v>206328.26500000001</v>
      </c>
      <c r="BK451">
        <v>220390.6225</v>
      </c>
      <c r="BL451">
        <v>239280.00000000009</v>
      </c>
      <c r="BM451">
        <v>298738.61</v>
      </c>
      <c r="BN451">
        <v>365407.64500000002</v>
      </c>
      <c r="BO451">
        <v>399465.49400000001</v>
      </c>
      <c r="BP451">
        <v>515709.15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 x14ac:dyDescent="0.35">
      <c r="A452">
        <v>348801</v>
      </c>
      <c r="B452" t="s">
        <v>388</v>
      </c>
      <c r="C452" t="s">
        <v>389</v>
      </c>
      <c r="D452" s="1">
        <v>45818</v>
      </c>
      <c r="E452">
        <v>53850</v>
      </c>
      <c r="F452">
        <v>111</v>
      </c>
      <c r="G452" t="s">
        <v>504</v>
      </c>
      <c r="H452" t="s">
        <v>48</v>
      </c>
      <c r="I452" t="s">
        <v>49</v>
      </c>
      <c r="K452">
        <v>202506098054794</v>
      </c>
      <c r="L452">
        <v>1113302817195</v>
      </c>
      <c r="M452">
        <v>20250609</v>
      </c>
      <c r="N452" t="s">
        <v>392</v>
      </c>
      <c r="Q452" t="s">
        <v>58</v>
      </c>
      <c r="R452">
        <v>118493.59</v>
      </c>
      <c r="S452">
        <v>0</v>
      </c>
      <c r="T452">
        <v>4425262</v>
      </c>
      <c r="U452" t="s">
        <v>789</v>
      </c>
      <c r="V452" t="s">
        <v>790</v>
      </c>
      <c r="W452" t="s">
        <v>50</v>
      </c>
      <c r="Y452" t="s">
        <v>51</v>
      </c>
      <c r="Z452">
        <v>445</v>
      </c>
      <c r="AH452">
        <v>0</v>
      </c>
      <c r="AI452">
        <v>202506</v>
      </c>
      <c r="AJ452" t="s">
        <v>168</v>
      </c>
      <c r="AK452">
        <v>1</v>
      </c>
      <c r="AL452">
        <v>1</v>
      </c>
      <c r="AO452">
        <v>0</v>
      </c>
      <c r="AP452">
        <v>999</v>
      </c>
      <c r="AQ452">
        <v>600</v>
      </c>
      <c r="AR452">
        <v>600999</v>
      </c>
      <c r="AS452" t="s">
        <v>52</v>
      </c>
      <c r="AU452" t="s">
        <v>52</v>
      </c>
      <c r="AV452">
        <v>107500</v>
      </c>
      <c r="AW452">
        <v>109625</v>
      </c>
      <c r="AX452">
        <v>110000</v>
      </c>
      <c r="AY452">
        <v>112750</v>
      </c>
      <c r="AZ452">
        <v>120738</v>
      </c>
      <c r="BA452">
        <v>129508.75</v>
      </c>
      <c r="BB452">
        <v>130380</v>
      </c>
      <c r="BC452">
        <v>133610</v>
      </c>
      <c r="BD452">
        <v>133800</v>
      </c>
      <c r="BE452">
        <v>141080</v>
      </c>
      <c r="BF452">
        <v>147500</v>
      </c>
      <c r="BG452">
        <v>155382.03049999999</v>
      </c>
      <c r="BH452">
        <v>165585.11799999999</v>
      </c>
      <c r="BI452">
        <v>166416.67000000001</v>
      </c>
      <c r="BJ452">
        <v>166416.67000000001</v>
      </c>
      <c r="BK452">
        <v>173582.95749999999</v>
      </c>
      <c r="BL452">
        <v>190388.68799999999</v>
      </c>
      <c r="BM452">
        <v>212150</v>
      </c>
      <c r="BN452">
        <v>283513.16900000011</v>
      </c>
      <c r="BO452">
        <v>415377.23</v>
      </c>
      <c r="BP452">
        <v>415377.23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 x14ac:dyDescent="0.35">
      <c r="A453">
        <v>348798</v>
      </c>
      <c r="B453" t="s">
        <v>388</v>
      </c>
      <c r="C453" t="s">
        <v>389</v>
      </c>
      <c r="D453" s="1">
        <v>45818</v>
      </c>
      <c r="E453">
        <v>53850</v>
      </c>
      <c r="F453">
        <v>129</v>
      </c>
      <c r="G453" t="s">
        <v>283</v>
      </c>
      <c r="H453" t="s">
        <v>48</v>
      </c>
      <c r="I453" t="s">
        <v>49</v>
      </c>
      <c r="K453">
        <v>202506098054845</v>
      </c>
      <c r="L453">
        <v>2343300010453</v>
      </c>
      <c r="M453">
        <v>20250609</v>
      </c>
      <c r="N453" t="s">
        <v>392</v>
      </c>
      <c r="Q453" t="s">
        <v>58</v>
      </c>
      <c r="R453">
        <v>101566</v>
      </c>
      <c r="S453">
        <v>0</v>
      </c>
      <c r="T453">
        <v>4247777</v>
      </c>
      <c r="U453">
        <v>233470236</v>
      </c>
      <c r="V453" t="s">
        <v>260</v>
      </c>
      <c r="W453" t="s">
        <v>56</v>
      </c>
      <c r="X453" t="s">
        <v>72</v>
      </c>
      <c r="Y453" t="s">
        <v>51</v>
      </c>
      <c r="Z453">
        <v>1696</v>
      </c>
      <c r="AH453">
        <v>0</v>
      </c>
      <c r="AI453">
        <v>202506</v>
      </c>
      <c r="AJ453" t="s">
        <v>168</v>
      </c>
      <c r="AK453">
        <v>1</v>
      </c>
      <c r="AL453">
        <v>1</v>
      </c>
      <c r="AM453">
        <v>4247777</v>
      </c>
      <c r="AN453">
        <v>1</v>
      </c>
      <c r="AO453">
        <v>0</v>
      </c>
      <c r="AP453">
        <v>463</v>
      </c>
      <c r="AQ453">
        <v>430</v>
      </c>
      <c r="AR453">
        <v>430463</v>
      </c>
      <c r="AS453" t="s">
        <v>61</v>
      </c>
      <c r="AU453" t="s">
        <v>61</v>
      </c>
      <c r="AV453">
        <v>85050</v>
      </c>
      <c r="AW453">
        <v>89030</v>
      </c>
      <c r="AX453">
        <v>91669.203999999998</v>
      </c>
      <c r="AY453">
        <v>93087.394</v>
      </c>
      <c r="AZ453">
        <v>94164.18</v>
      </c>
      <c r="BA453">
        <v>96798.05</v>
      </c>
      <c r="BB453">
        <v>100000</v>
      </c>
      <c r="BC453">
        <v>100000</v>
      </c>
      <c r="BD453">
        <v>101589.726</v>
      </c>
      <c r="BE453">
        <v>106295.712</v>
      </c>
      <c r="BF453">
        <v>110193.28</v>
      </c>
      <c r="BG453">
        <v>119645.424</v>
      </c>
      <c r="BH453">
        <v>127698</v>
      </c>
      <c r="BI453">
        <v>137713.79399999999</v>
      </c>
      <c r="BJ453">
        <v>139806</v>
      </c>
      <c r="BK453">
        <v>150000</v>
      </c>
      <c r="BL453">
        <v>161820.22</v>
      </c>
      <c r="BM453">
        <v>190199.99999999991</v>
      </c>
      <c r="BN453">
        <v>213800</v>
      </c>
      <c r="BO453">
        <v>259913.9999999998</v>
      </c>
      <c r="BP453">
        <v>440000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 x14ac:dyDescent="0.35">
      <c r="A454">
        <v>348795</v>
      </c>
      <c r="B454" t="s">
        <v>388</v>
      </c>
      <c r="C454" t="s">
        <v>389</v>
      </c>
      <c r="D454" s="1">
        <v>45818</v>
      </c>
      <c r="E454">
        <v>53850</v>
      </c>
      <c r="F454">
        <v>111</v>
      </c>
      <c r="G454" t="s">
        <v>504</v>
      </c>
      <c r="H454" t="s">
        <v>48</v>
      </c>
      <c r="I454" t="s">
        <v>49</v>
      </c>
      <c r="K454">
        <v>202506098054794</v>
      </c>
      <c r="L454">
        <v>1113302817195</v>
      </c>
      <c r="M454">
        <v>20250609</v>
      </c>
      <c r="N454" t="s">
        <v>392</v>
      </c>
      <c r="Q454" t="s">
        <v>58</v>
      </c>
      <c r="R454">
        <v>118493.59</v>
      </c>
      <c r="S454">
        <v>0</v>
      </c>
      <c r="T454">
        <v>541375</v>
      </c>
      <c r="U454" t="s">
        <v>791</v>
      </c>
      <c r="V454" t="s">
        <v>792</v>
      </c>
      <c r="W454" t="s">
        <v>50</v>
      </c>
      <c r="Y454" t="s">
        <v>51</v>
      </c>
      <c r="Z454">
        <v>593</v>
      </c>
      <c r="AH454">
        <v>0</v>
      </c>
      <c r="AI454">
        <v>202506</v>
      </c>
      <c r="AJ454" t="s">
        <v>168</v>
      </c>
      <c r="AK454">
        <v>1</v>
      </c>
      <c r="AL454">
        <v>1</v>
      </c>
      <c r="AO454">
        <v>0</v>
      </c>
      <c r="AP454">
        <v>999</v>
      </c>
      <c r="AQ454">
        <v>600</v>
      </c>
      <c r="AR454">
        <v>600999</v>
      </c>
      <c r="AS454" t="s">
        <v>52</v>
      </c>
      <c r="AU454" t="s">
        <v>52</v>
      </c>
      <c r="AV454">
        <v>107500</v>
      </c>
      <c r="AW454">
        <v>109625</v>
      </c>
      <c r="AX454">
        <v>110000</v>
      </c>
      <c r="AY454">
        <v>112750</v>
      </c>
      <c r="AZ454">
        <v>120738</v>
      </c>
      <c r="BA454">
        <v>129508.75</v>
      </c>
      <c r="BB454">
        <v>130380</v>
      </c>
      <c r="BC454">
        <v>133610</v>
      </c>
      <c r="BD454">
        <v>133800</v>
      </c>
      <c r="BE454">
        <v>141080</v>
      </c>
      <c r="BF454">
        <v>147500</v>
      </c>
      <c r="BG454">
        <v>155382.03049999999</v>
      </c>
      <c r="BH454">
        <v>165585.11799999999</v>
      </c>
      <c r="BI454">
        <v>166416.67000000001</v>
      </c>
      <c r="BJ454">
        <v>166416.67000000001</v>
      </c>
      <c r="BK454">
        <v>173582.95749999999</v>
      </c>
      <c r="BL454">
        <v>190388.68799999999</v>
      </c>
      <c r="BM454">
        <v>212150</v>
      </c>
      <c r="BN454">
        <v>283513.16900000011</v>
      </c>
      <c r="BO454">
        <v>415377.23</v>
      </c>
      <c r="BP454">
        <v>415377.23</v>
      </c>
      <c r="BQ454">
        <v>1</v>
      </c>
      <c r="BR454">
        <v>1</v>
      </c>
      <c r="BS454">
        <v>1</v>
      </c>
      <c r="BT454">
        <v>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 x14ac:dyDescent="0.35">
      <c r="A455">
        <v>348794</v>
      </c>
      <c r="B455" t="s">
        <v>388</v>
      </c>
      <c r="C455" t="s">
        <v>389</v>
      </c>
      <c r="D455" s="1">
        <v>45818</v>
      </c>
      <c r="E455">
        <v>53850</v>
      </c>
      <c r="F455">
        <v>108</v>
      </c>
      <c r="G455" t="s">
        <v>89</v>
      </c>
      <c r="H455" t="s">
        <v>48</v>
      </c>
      <c r="I455" t="s">
        <v>49</v>
      </c>
      <c r="K455" t="s">
        <v>369</v>
      </c>
      <c r="L455">
        <v>1083306291105</v>
      </c>
      <c r="M455">
        <v>20250609</v>
      </c>
      <c r="N455" t="s">
        <v>262</v>
      </c>
      <c r="Q455" t="s">
        <v>58</v>
      </c>
      <c r="R455">
        <v>166170.51999999999</v>
      </c>
      <c r="S455">
        <v>85891.55</v>
      </c>
      <c r="T455">
        <v>4227057</v>
      </c>
      <c r="U455">
        <v>4874620729</v>
      </c>
      <c r="V455" t="s">
        <v>263</v>
      </c>
      <c r="W455" t="s">
        <v>56</v>
      </c>
      <c r="X455" t="s">
        <v>264</v>
      </c>
      <c r="Y455" t="s">
        <v>51</v>
      </c>
      <c r="Z455">
        <v>1058</v>
      </c>
      <c r="AH455">
        <v>0</v>
      </c>
      <c r="AI455">
        <v>202506</v>
      </c>
      <c r="AJ455" t="s">
        <v>169</v>
      </c>
      <c r="AK455">
        <v>1</v>
      </c>
      <c r="AL455">
        <v>1</v>
      </c>
      <c r="AM455">
        <v>4227057</v>
      </c>
      <c r="AN455">
        <v>1</v>
      </c>
      <c r="AO455">
        <v>1</v>
      </c>
      <c r="AP455">
        <v>999</v>
      </c>
      <c r="AQ455">
        <v>430</v>
      </c>
      <c r="AR455">
        <v>430999</v>
      </c>
      <c r="AT455">
        <v>1</v>
      </c>
      <c r="AU455" t="s">
        <v>57</v>
      </c>
      <c r="AV455">
        <v>101552.46</v>
      </c>
      <c r="AW455">
        <v>114647.6485</v>
      </c>
      <c r="AX455">
        <v>118167.008</v>
      </c>
      <c r="AY455">
        <v>123559.05899999999</v>
      </c>
      <c r="AZ455">
        <v>128796.368</v>
      </c>
      <c r="BA455">
        <v>130000</v>
      </c>
      <c r="BB455">
        <v>135819.11300000001</v>
      </c>
      <c r="BC455">
        <v>145008.255</v>
      </c>
      <c r="BD455">
        <v>146226.546</v>
      </c>
      <c r="BE455">
        <v>148171.67300000001</v>
      </c>
      <c r="BF455">
        <v>156533.16500000001</v>
      </c>
      <c r="BG455">
        <v>167340.8915</v>
      </c>
      <c r="BH455">
        <v>179808.78</v>
      </c>
      <c r="BI455">
        <v>187222.14799999999</v>
      </c>
      <c r="BJ455">
        <v>206328.26500000001</v>
      </c>
      <c r="BK455">
        <v>220390.6225</v>
      </c>
      <c r="BL455">
        <v>239280.00000000009</v>
      </c>
      <c r="BM455">
        <v>298738.61</v>
      </c>
      <c r="BN455">
        <v>365407.64500000002</v>
      </c>
      <c r="BO455">
        <v>399465.49400000001</v>
      </c>
      <c r="BP455">
        <v>515709.15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 x14ac:dyDescent="0.35">
      <c r="A456">
        <v>348790</v>
      </c>
      <c r="B456" t="s">
        <v>388</v>
      </c>
      <c r="C456" t="s">
        <v>389</v>
      </c>
      <c r="D456" s="1">
        <v>45818</v>
      </c>
      <c r="E456">
        <v>53850</v>
      </c>
      <c r="F456">
        <v>116</v>
      </c>
      <c r="G456" t="s">
        <v>259</v>
      </c>
      <c r="H456" t="s">
        <v>48</v>
      </c>
      <c r="I456" t="s">
        <v>49</v>
      </c>
      <c r="K456" t="s">
        <v>369</v>
      </c>
      <c r="L456">
        <v>1163307623465</v>
      </c>
      <c r="M456">
        <v>20250609</v>
      </c>
      <c r="N456" t="s">
        <v>262</v>
      </c>
      <c r="Q456" t="s">
        <v>58</v>
      </c>
      <c r="R456">
        <v>95000</v>
      </c>
      <c r="S456">
        <v>0</v>
      </c>
      <c r="T456">
        <v>3738297</v>
      </c>
      <c r="U456">
        <v>8684570727</v>
      </c>
      <c r="V456" t="s">
        <v>438</v>
      </c>
      <c r="W456" t="s">
        <v>56</v>
      </c>
      <c r="X456" t="s">
        <v>62</v>
      </c>
      <c r="Y456" t="s">
        <v>51</v>
      </c>
      <c r="Z456">
        <v>739</v>
      </c>
      <c r="AH456">
        <v>0</v>
      </c>
      <c r="AI456">
        <v>202506</v>
      </c>
      <c r="AJ456" t="s">
        <v>168</v>
      </c>
      <c r="AK456">
        <v>1</v>
      </c>
      <c r="AL456">
        <v>1</v>
      </c>
      <c r="AO456">
        <v>1</v>
      </c>
      <c r="AP456">
        <v>412</v>
      </c>
      <c r="AQ456">
        <v>430</v>
      </c>
      <c r="AR456">
        <v>430412</v>
      </c>
      <c r="AS456" t="s">
        <v>61</v>
      </c>
      <c r="AU456" t="s">
        <v>61</v>
      </c>
      <c r="AV456">
        <v>85050</v>
      </c>
      <c r="AW456">
        <v>89030</v>
      </c>
      <c r="AX456">
        <v>91669.203999999998</v>
      </c>
      <c r="AY456">
        <v>93087.394</v>
      </c>
      <c r="AZ456">
        <v>94164.18</v>
      </c>
      <c r="BA456">
        <v>96798.05</v>
      </c>
      <c r="BB456">
        <v>100000</v>
      </c>
      <c r="BC456">
        <v>100000</v>
      </c>
      <c r="BD456">
        <v>101589.726</v>
      </c>
      <c r="BE456">
        <v>106295.712</v>
      </c>
      <c r="BF456">
        <v>110193.28</v>
      </c>
      <c r="BG456">
        <v>119645.424</v>
      </c>
      <c r="BH456">
        <v>127698</v>
      </c>
      <c r="BI456">
        <v>137713.79399999999</v>
      </c>
      <c r="BJ456">
        <v>139806</v>
      </c>
      <c r="BK456">
        <v>150000</v>
      </c>
      <c r="BL456">
        <v>161820.22</v>
      </c>
      <c r="BM456">
        <v>190199.99999999991</v>
      </c>
      <c r="BN456">
        <v>213800</v>
      </c>
      <c r="BO456">
        <v>259913.9999999998</v>
      </c>
      <c r="BP456">
        <v>440000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 x14ac:dyDescent="0.35">
      <c r="A457">
        <v>348785</v>
      </c>
      <c r="B457" t="s">
        <v>388</v>
      </c>
      <c r="C457" t="s">
        <v>389</v>
      </c>
      <c r="D457" s="1">
        <v>45818</v>
      </c>
      <c r="E457">
        <v>53850</v>
      </c>
      <c r="F457">
        <v>143</v>
      </c>
      <c r="G457" t="s">
        <v>793</v>
      </c>
      <c r="H457" t="s">
        <v>48</v>
      </c>
      <c r="I457" t="s">
        <v>49</v>
      </c>
      <c r="K457">
        <v>202506098054888</v>
      </c>
      <c r="L457">
        <v>1433300351202</v>
      </c>
      <c r="M457">
        <v>20250609</v>
      </c>
      <c r="N457" t="s">
        <v>505</v>
      </c>
      <c r="Q457" t="s">
        <v>58</v>
      </c>
      <c r="R457">
        <v>140000</v>
      </c>
      <c r="S457">
        <v>0</v>
      </c>
      <c r="T457">
        <v>4625323</v>
      </c>
      <c r="U457" t="s">
        <v>794</v>
      </c>
      <c r="V457" t="s">
        <v>795</v>
      </c>
      <c r="W457" t="s">
        <v>50</v>
      </c>
      <c r="Y457" t="s">
        <v>51</v>
      </c>
      <c r="Z457">
        <v>860</v>
      </c>
      <c r="AH457">
        <v>0</v>
      </c>
      <c r="AI457">
        <v>202506</v>
      </c>
      <c r="AJ457" t="s">
        <v>168</v>
      </c>
      <c r="AK457">
        <v>1</v>
      </c>
      <c r="AL457">
        <v>1</v>
      </c>
      <c r="AO457">
        <v>0</v>
      </c>
      <c r="AP457">
        <v>999</v>
      </c>
      <c r="AQ457">
        <v>600</v>
      </c>
      <c r="AR457">
        <v>600999</v>
      </c>
      <c r="AS457" t="s">
        <v>52</v>
      </c>
      <c r="AU457" t="s">
        <v>52</v>
      </c>
      <c r="AV457">
        <v>107500</v>
      </c>
      <c r="AW457">
        <v>109625</v>
      </c>
      <c r="AX457">
        <v>110000</v>
      </c>
      <c r="AY457">
        <v>112750</v>
      </c>
      <c r="AZ457">
        <v>120738</v>
      </c>
      <c r="BA457">
        <v>129508.75</v>
      </c>
      <c r="BB457">
        <v>130380</v>
      </c>
      <c r="BC457">
        <v>133610</v>
      </c>
      <c r="BD457">
        <v>133800</v>
      </c>
      <c r="BE457">
        <v>141080</v>
      </c>
      <c r="BF457">
        <v>147500</v>
      </c>
      <c r="BG457">
        <v>155382.03049999999</v>
      </c>
      <c r="BH457">
        <v>165585.11799999999</v>
      </c>
      <c r="BI457">
        <v>166416.67000000001</v>
      </c>
      <c r="BJ457">
        <v>166416.67000000001</v>
      </c>
      <c r="BK457">
        <v>173582.95749999999</v>
      </c>
      <c r="BL457">
        <v>190388.68799999999</v>
      </c>
      <c r="BM457">
        <v>212150</v>
      </c>
      <c r="BN457">
        <v>283513.16900000011</v>
      </c>
      <c r="BO457">
        <v>415377.23</v>
      </c>
      <c r="BP457">
        <v>415377.23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 x14ac:dyDescent="0.35">
      <c r="A458">
        <v>348776</v>
      </c>
      <c r="B458" t="s">
        <v>388</v>
      </c>
      <c r="C458" t="s">
        <v>389</v>
      </c>
      <c r="D458" s="1">
        <v>45818</v>
      </c>
      <c r="E458">
        <v>53850</v>
      </c>
      <c r="F458">
        <v>175</v>
      </c>
      <c r="G458" t="s">
        <v>65</v>
      </c>
      <c r="H458" t="s">
        <v>48</v>
      </c>
      <c r="I458" t="s">
        <v>49</v>
      </c>
      <c r="K458" t="s">
        <v>369</v>
      </c>
      <c r="L458">
        <v>1753302203127</v>
      </c>
      <c r="M458">
        <v>20250609</v>
      </c>
      <c r="N458" t="s">
        <v>262</v>
      </c>
      <c r="Q458" t="s">
        <v>58</v>
      </c>
      <c r="R458">
        <v>130423.76</v>
      </c>
      <c r="S458">
        <v>33195</v>
      </c>
      <c r="T458">
        <v>4160138</v>
      </c>
      <c r="U458">
        <v>484200779</v>
      </c>
      <c r="V458" t="s">
        <v>279</v>
      </c>
      <c r="W458" t="s">
        <v>56</v>
      </c>
      <c r="X458" t="s">
        <v>280</v>
      </c>
      <c r="Y458" t="s">
        <v>51</v>
      </c>
      <c r="Z458">
        <v>739</v>
      </c>
      <c r="AH458">
        <v>0</v>
      </c>
      <c r="AI458">
        <v>202506</v>
      </c>
      <c r="AJ458" t="s">
        <v>168</v>
      </c>
      <c r="AK458">
        <v>1</v>
      </c>
      <c r="AL458">
        <v>1</v>
      </c>
      <c r="AM458">
        <v>4160138</v>
      </c>
      <c r="AN458">
        <v>1</v>
      </c>
      <c r="AO458">
        <v>1</v>
      </c>
      <c r="AP458">
        <v>999</v>
      </c>
      <c r="AQ458">
        <v>430</v>
      </c>
      <c r="AR458">
        <v>430999</v>
      </c>
      <c r="AT458">
        <v>1</v>
      </c>
      <c r="AU458" t="s">
        <v>57</v>
      </c>
      <c r="AV458">
        <v>101552.46</v>
      </c>
      <c r="AW458">
        <v>114647.6485</v>
      </c>
      <c r="AX458">
        <v>118167.008</v>
      </c>
      <c r="AY458">
        <v>123559.05899999999</v>
      </c>
      <c r="AZ458">
        <v>128796.368</v>
      </c>
      <c r="BA458">
        <v>130000</v>
      </c>
      <c r="BB458">
        <v>135819.11300000001</v>
      </c>
      <c r="BC458">
        <v>145008.255</v>
      </c>
      <c r="BD458">
        <v>146226.546</v>
      </c>
      <c r="BE458">
        <v>148171.67300000001</v>
      </c>
      <c r="BF458">
        <v>156533.16500000001</v>
      </c>
      <c r="BG458">
        <v>167340.8915</v>
      </c>
      <c r="BH458">
        <v>179808.78</v>
      </c>
      <c r="BI458">
        <v>187222.14799999999</v>
      </c>
      <c r="BJ458">
        <v>206328.26500000001</v>
      </c>
      <c r="BK458">
        <v>220390.6225</v>
      </c>
      <c r="BL458">
        <v>239280.00000000009</v>
      </c>
      <c r="BM458">
        <v>298738.61</v>
      </c>
      <c r="BN458">
        <v>365407.64500000002</v>
      </c>
      <c r="BO458">
        <v>399465.49400000001</v>
      </c>
      <c r="BP458">
        <v>515709.15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 x14ac:dyDescent="0.35">
      <c r="A459">
        <v>348774</v>
      </c>
      <c r="B459" t="s">
        <v>388</v>
      </c>
      <c r="C459" t="s">
        <v>389</v>
      </c>
      <c r="D459" s="1">
        <v>45818</v>
      </c>
      <c r="E459">
        <v>53850</v>
      </c>
      <c r="F459">
        <v>111</v>
      </c>
      <c r="G459" t="s">
        <v>504</v>
      </c>
      <c r="H459" t="s">
        <v>48</v>
      </c>
      <c r="I459" t="s">
        <v>49</v>
      </c>
      <c r="K459">
        <v>202506098054794</v>
      </c>
      <c r="L459">
        <v>1113302817195</v>
      </c>
      <c r="M459">
        <v>20250609</v>
      </c>
      <c r="N459" t="s">
        <v>392</v>
      </c>
      <c r="Q459" t="s">
        <v>58</v>
      </c>
      <c r="R459">
        <v>118493.59</v>
      </c>
      <c r="S459">
        <v>0</v>
      </c>
      <c r="T459">
        <v>4425270</v>
      </c>
      <c r="U459" t="s">
        <v>796</v>
      </c>
      <c r="V459" t="s">
        <v>797</v>
      </c>
      <c r="W459" t="s">
        <v>50</v>
      </c>
      <c r="Y459" t="s">
        <v>51</v>
      </c>
      <c r="Z459">
        <v>593</v>
      </c>
      <c r="AH459">
        <v>0</v>
      </c>
      <c r="AI459">
        <v>202506</v>
      </c>
      <c r="AJ459" t="s">
        <v>168</v>
      </c>
      <c r="AK459">
        <v>1</v>
      </c>
      <c r="AL459">
        <v>1</v>
      </c>
      <c r="AO459">
        <v>0</v>
      </c>
      <c r="AP459">
        <v>999</v>
      </c>
      <c r="AQ459">
        <v>600</v>
      </c>
      <c r="AR459">
        <v>600999</v>
      </c>
      <c r="AS459" t="s">
        <v>52</v>
      </c>
      <c r="AU459" t="s">
        <v>52</v>
      </c>
      <c r="AV459">
        <v>107500</v>
      </c>
      <c r="AW459">
        <v>109625</v>
      </c>
      <c r="AX459">
        <v>110000</v>
      </c>
      <c r="AY459">
        <v>112750</v>
      </c>
      <c r="AZ459">
        <v>120738</v>
      </c>
      <c r="BA459">
        <v>129508.75</v>
      </c>
      <c r="BB459">
        <v>130380</v>
      </c>
      <c r="BC459">
        <v>133610</v>
      </c>
      <c r="BD459">
        <v>133800</v>
      </c>
      <c r="BE459">
        <v>141080</v>
      </c>
      <c r="BF459">
        <v>147500</v>
      </c>
      <c r="BG459">
        <v>155382.03049999999</v>
      </c>
      <c r="BH459">
        <v>165585.11799999999</v>
      </c>
      <c r="BI459">
        <v>166416.67000000001</v>
      </c>
      <c r="BJ459">
        <v>166416.67000000001</v>
      </c>
      <c r="BK459">
        <v>173582.95749999999</v>
      </c>
      <c r="BL459">
        <v>190388.68799999999</v>
      </c>
      <c r="BM459">
        <v>212150</v>
      </c>
      <c r="BN459">
        <v>283513.16900000011</v>
      </c>
      <c r="BO459">
        <v>415377.23</v>
      </c>
      <c r="BP459">
        <v>415377.23</v>
      </c>
      <c r="BQ459">
        <v>1</v>
      </c>
      <c r="BR459">
        <v>1</v>
      </c>
      <c r="BS459">
        <v>1</v>
      </c>
      <c r="BT459">
        <v>1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 x14ac:dyDescent="0.35">
      <c r="A460">
        <v>348767</v>
      </c>
      <c r="B460" t="s">
        <v>388</v>
      </c>
      <c r="C460" t="s">
        <v>389</v>
      </c>
      <c r="D460" s="1">
        <v>45818</v>
      </c>
      <c r="E460">
        <v>53850</v>
      </c>
      <c r="F460">
        <v>287</v>
      </c>
      <c r="G460" t="s">
        <v>301</v>
      </c>
      <c r="H460" t="s">
        <v>48</v>
      </c>
      <c r="I460" t="s">
        <v>49</v>
      </c>
      <c r="K460" t="s">
        <v>369</v>
      </c>
      <c r="L460">
        <v>2873300001853</v>
      </c>
      <c r="M460">
        <v>20250609</v>
      </c>
      <c r="N460" t="s">
        <v>262</v>
      </c>
      <c r="Q460" t="s">
        <v>58</v>
      </c>
      <c r="R460">
        <v>104280.22</v>
      </c>
      <c r="S460">
        <v>0</v>
      </c>
      <c r="T460">
        <v>3722213</v>
      </c>
      <c r="U460">
        <v>2021570698</v>
      </c>
      <c r="V460" t="s">
        <v>302</v>
      </c>
      <c r="W460" t="s">
        <v>56</v>
      </c>
      <c r="X460" t="s">
        <v>72</v>
      </c>
      <c r="Y460" t="s">
        <v>51</v>
      </c>
      <c r="Z460">
        <v>1877</v>
      </c>
      <c r="AH460">
        <v>0</v>
      </c>
      <c r="AI460">
        <v>202506</v>
      </c>
      <c r="AJ460" t="s">
        <v>168</v>
      </c>
      <c r="AK460">
        <v>1</v>
      </c>
      <c r="AL460">
        <v>1</v>
      </c>
      <c r="AM460">
        <v>3722213</v>
      </c>
      <c r="AN460">
        <v>1</v>
      </c>
      <c r="AO460">
        <v>1</v>
      </c>
      <c r="AP460">
        <v>463</v>
      </c>
      <c r="AQ460">
        <v>430</v>
      </c>
      <c r="AR460">
        <v>430463</v>
      </c>
      <c r="AS460" t="s">
        <v>61</v>
      </c>
      <c r="AU460" t="s">
        <v>61</v>
      </c>
      <c r="AV460">
        <v>85050</v>
      </c>
      <c r="AW460">
        <v>89030</v>
      </c>
      <c r="AX460">
        <v>91669.203999999998</v>
      </c>
      <c r="AY460">
        <v>93087.394</v>
      </c>
      <c r="AZ460">
        <v>94164.18</v>
      </c>
      <c r="BA460">
        <v>96798.05</v>
      </c>
      <c r="BB460">
        <v>100000</v>
      </c>
      <c r="BC460">
        <v>100000</v>
      </c>
      <c r="BD460">
        <v>101589.726</v>
      </c>
      <c r="BE460">
        <v>106295.712</v>
      </c>
      <c r="BF460">
        <v>110193.28</v>
      </c>
      <c r="BG460">
        <v>119645.424</v>
      </c>
      <c r="BH460">
        <v>127698</v>
      </c>
      <c r="BI460">
        <v>137713.79399999999</v>
      </c>
      <c r="BJ460">
        <v>139806</v>
      </c>
      <c r="BK460">
        <v>150000</v>
      </c>
      <c r="BL460">
        <v>161820.22</v>
      </c>
      <c r="BM460">
        <v>190199.99999999991</v>
      </c>
      <c r="BN460">
        <v>213800</v>
      </c>
      <c r="BO460">
        <v>259913.9999999998</v>
      </c>
      <c r="BP460">
        <v>440000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 x14ac:dyDescent="0.35">
      <c r="A461">
        <v>348765</v>
      </c>
      <c r="B461" t="s">
        <v>388</v>
      </c>
      <c r="C461" t="s">
        <v>389</v>
      </c>
      <c r="D461" s="1">
        <v>45818</v>
      </c>
      <c r="E461">
        <v>53850</v>
      </c>
      <c r="F461">
        <v>111</v>
      </c>
      <c r="G461" t="s">
        <v>504</v>
      </c>
      <c r="H461" t="s">
        <v>48</v>
      </c>
      <c r="I461" t="s">
        <v>49</v>
      </c>
      <c r="K461">
        <v>202506098054794</v>
      </c>
      <c r="L461">
        <v>1113302817195</v>
      </c>
      <c r="M461">
        <v>20250609</v>
      </c>
      <c r="N461" t="s">
        <v>392</v>
      </c>
      <c r="Q461" t="s">
        <v>58</v>
      </c>
      <c r="R461">
        <v>118493.59</v>
      </c>
      <c r="S461">
        <v>0</v>
      </c>
      <c r="T461">
        <v>1001090</v>
      </c>
      <c r="U461" t="s">
        <v>798</v>
      </c>
      <c r="V461" t="s">
        <v>799</v>
      </c>
      <c r="W461" t="s">
        <v>50</v>
      </c>
      <c r="Y461" t="s">
        <v>51</v>
      </c>
      <c r="Z461">
        <v>1430</v>
      </c>
      <c r="AH461">
        <v>0</v>
      </c>
      <c r="AI461">
        <v>202506</v>
      </c>
      <c r="AJ461" t="s">
        <v>168</v>
      </c>
      <c r="AK461">
        <v>1</v>
      </c>
      <c r="AL461">
        <v>1</v>
      </c>
      <c r="AO461">
        <v>0</v>
      </c>
      <c r="AP461">
        <v>999</v>
      </c>
      <c r="AQ461">
        <v>600</v>
      </c>
      <c r="AR461">
        <v>600999</v>
      </c>
      <c r="AS461" t="s">
        <v>52</v>
      </c>
      <c r="AU461" t="s">
        <v>52</v>
      </c>
      <c r="AV461">
        <v>107500</v>
      </c>
      <c r="AW461">
        <v>109625</v>
      </c>
      <c r="AX461">
        <v>110000</v>
      </c>
      <c r="AY461">
        <v>112750</v>
      </c>
      <c r="AZ461">
        <v>120738</v>
      </c>
      <c r="BA461">
        <v>129508.75</v>
      </c>
      <c r="BB461">
        <v>130380</v>
      </c>
      <c r="BC461">
        <v>133610</v>
      </c>
      <c r="BD461">
        <v>133800</v>
      </c>
      <c r="BE461">
        <v>141080</v>
      </c>
      <c r="BF461">
        <v>147500</v>
      </c>
      <c r="BG461">
        <v>155382.03049999999</v>
      </c>
      <c r="BH461">
        <v>165585.11799999999</v>
      </c>
      <c r="BI461">
        <v>166416.67000000001</v>
      </c>
      <c r="BJ461">
        <v>166416.67000000001</v>
      </c>
      <c r="BK461">
        <v>173582.95749999999</v>
      </c>
      <c r="BL461">
        <v>190388.68799999999</v>
      </c>
      <c r="BM461">
        <v>212150</v>
      </c>
      <c r="BN461">
        <v>283513.16900000011</v>
      </c>
      <c r="BO461">
        <v>415377.23</v>
      </c>
      <c r="BP461">
        <v>415377.23</v>
      </c>
      <c r="BQ461">
        <v>1</v>
      </c>
      <c r="BR461">
        <v>1</v>
      </c>
      <c r="BS461">
        <v>1</v>
      </c>
      <c r="BT461">
        <v>1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 x14ac:dyDescent="0.35">
      <c r="A462">
        <v>348764</v>
      </c>
      <c r="B462" t="s">
        <v>388</v>
      </c>
      <c r="C462" t="s">
        <v>389</v>
      </c>
      <c r="D462" s="1">
        <v>45818</v>
      </c>
      <c r="E462">
        <v>53850</v>
      </c>
      <c r="F462">
        <v>143</v>
      </c>
      <c r="G462" t="s">
        <v>793</v>
      </c>
      <c r="H462" t="s">
        <v>48</v>
      </c>
      <c r="I462" t="s">
        <v>49</v>
      </c>
      <c r="K462">
        <v>202506098054888</v>
      </c>
      <c r="L462">
        <v>1433300351202</v>
      </c>
      <c r="M462">
        <v>20250609</v>
      </c>
      <c r="N462" t="s">
        <v>505</v>
      </c>
      <c r="Q462" t="s">
        <v>58</v>
      </c>
      <c r="R462">
        <v>140000</v>
      </c>
      <c r="S462">
        <v>0</v>
      </c>
      <c r="T462">
        <v>4625326</v>
      </c>
      <c r="U462" t="s">
        <v>800</v>
      </c>
      <c r="V462" t="s">
        <v>801</v>
      </c>
      <c r="W462" t="s">
        <v>50</v>
      </c>
      <c r="Y462" t="s">
        <v>51</v>
      </c>
      <c r="AH462">
        <v>0</v>
      </c>
      <c r="AI462">
        <v>202506</v>
      </c>
      <c r="AJ462" t="s">
        <v>168</v>
      </c>
      <c r="AK462">
        <v>1</v>
      </c>
      <c r="AL462">
        <v>1</v>
      </c>
      <c r="AO462">
        <v>0</v>
      </c>
      <c r="AP462">
        <v>999</v>
      </c>
      <c r="AQ462">
        <v>600</v>
      </c>
      <c r="AR462">
        <v>600999</v>
      </c>
      <c r="AS462" t="s">
        <v>52</v>
      </c>
      <c r="AU462" t="s">
        <v>52</v>
      </c>
      <c r="AV462">
        <v>107500</v>
      </c>
      <c r="AW462">
        <v>109625</v>
      </c>
      <c r="AX462">
        <v>110000</v>
      </c>
      <c r="AY462">
        <v>112750</v>
      </c>
      <c r="AZ462">
        <v>120738</v>
      </c>
      <c r="BA462">
        <v>129508.75</v>
      </c>
      <c r="BB462">
        <v>130380</v>
      </c>
      <c r="BC462">
        <v>133610</v>
      </c>
      <c r="BD462">
        <v>133800</v>
      </c>
      <c r="BE462">
        <v>141080</v>
      </c>
      <c r="BF462">
        <v>147500</v>
      </c>
      <c r="BG462">
        <v>155382.03049999999</v>
      </c>
      <c r="BH462">
        <v>165585.11799999999</v>
      </c>
      <c r="BI462">
        <v>166416.67000000001</v>
      </c>
      <c r="BJ462">
        <v>166416.67000000001</v>
      </c>
      <c r="BK462">
        <v>173582.95749999999</v>
      </c>
      <c r="BL462">
        <v>190388.68799999999</v>
      </c>
      <c r="BM462">
        <v>212150</v>
      </c>
      <c r="BN462">
        <v>283513.16900000011</v>
      </c>
      <c r="BO462">
        <v>415377.23</v>
      </c>
      <c r="BP462">
        <v>415377.23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 x14ac:dyDescent="0.35">
      <c r="A463">
        <v>348763</v>
      </c>
      <c r="B463" t="s">
        <v>388</v>
      </c>
      <c r="C463" t="s">
        <v>389</v>
      </c>
      <c r="D463" s="1">
        <v>45818</v>
      </c>
      <c r="E463">
        <v>53850</v>
      </c>
      <c r="F463">
        <v>182</v>
      </c>
      <c r="G463" t="s">
        <v>284</v>
      </c>
      <c r="H463" t="s">
        <v>48</v>
      </c>
      <c r="I463" t="s">
        <v>49</v>
      </c>
      <c r="K463" t="s">
        <v>369</v>
      </c>
      <c r="L463">
        <v>1823300169301</v>
      </c>
      <c r="M463">
        <v>20250609</v>
      </c>
      <c r="N463" t="s">
        <v>253</v>
      </c>
      <c r="Q463" t="s">
        <v>58</v>
      </c>
      <c r="R463">
        <v>43875</v>
      </c>
      <c r="S463">
        <v>43875</v>
      </c>
      <c r="T463">
        <v>4284957</v>
      </c>
      <c r="U463" t="s">
        <v>285</v>
      </c>
      <c r="V463" t="s">
        <v>286</v>
      </c>
      <c r="W463" t="s">
        <v>66</v>
      </c>
      <c r="X463" t="s">
        <v>255</v>
      </c>
      <c r="Y463" t="s">
        <v>51</v>
      </c>
      <c r="Z463">
        <v>1656</v>
      </c>
      <c r="AH463">
        <v>0</v>
      </c>
      <c r="AI463">
        <v>202506</v>
      </c>
      <c r="AJ463" t="s">
        <v>169</v>
      </c>
      <c r="AK463">
        <v>1</v>
      </c>
      <c r="AL463">
        <v>1</v>
      </c>
      <c r="AM463">
        <v>4284957</v>
      </c>
      <c r="AN463">
        <v>1</v>
      </c>
      <c r="AO463">
        <v>0</v>
      </c>
      <c r="AP463">
        <v>920</v>
      </c>
      <c r="AQ463">
        <v>615</v>
      </c>
      <c r="AR463">
        <v>615920</v>
      </c>
      <c r="AS463" t="s">
        <v>270</v>
      </c>
      <c r="AU463" t="s">
        <v>270</v>
      </c>
      <c r="AV463">
        <v>37615</v>
      </c>
      <c r="AW463">
        <v>38129.25</v>
      </c>
      <c r="AX463">
        <v>38617</v>
      </c>
      <c r="AY463">
        <v>38985.5</v>
      </c>
      <c r="AZ463">
        <v>39276</v>
      </c>
      <c r="BA463">
        <v>39430</v>
      </c>
      <c r="BB463">
        <v>39650</v>
      </c>
      <c r="BC463">
        <v>39925</v>
      </c>
      <c r="BD463">
        <v>40004</v>
      </c>
      <c r="BE463">
        <v>40009.5</v>
      </c>
      <c r="BF463">
        <v>40505</v>
      </c>
      <c r="BG463">
        <v>41243.25</v>
      </c>
      <c r="BH463">
        <v>43919</v>
      </c>
      <c r="BI463">
        <v>46035.25</v>
      </c>
      <c r="BJ463">
        <v>46659.5</v>
      </c>
      <c r="BK463">
        <v>48836.25</v>
      </c>
      <c r="BL463">
        <v>52876.000000000007</v>
      </c>
      <c r="BM463">
        <v>56324.25</v>
      </c>
      <c r="BN463">
        <v>59434.5</v>
      </c>
      <c r="BO463">
        <v>63675.005999999987</v>
      </c>
      <c r="BP463">
        <v>68166.679999999993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 x14ac:dyDescent="0.35">
      <c r="A464">
        <v>348755</v>
      </c>
      <c r="B464" t="s">
        <v>388</v>
      </c>
      <c r="C464" t="s">
        <v>389</v>
      </c>
      <c r="D464" s="1">
        <v>45815</v>
      </c>
      <c r="E464">
        <v>53850</v>
      </c>
      <c r="F464">
        <v>171</v>
      </c>
      <c r="G464" t="s">
        <v>70</v>
      </c>
      <c r="H464" t="s">
        <v>48</v>
      </c>
      <c r="I464" t="s">
        <v>49</v>
      </c>
      <c r="K464" t="s">
        <v>370</v>
      </c>
      <c r="L464">
        <v>1713302214147</v>
      </c>
      <c r="M464">
        <v>20250606</v>
      </c>
      <c r="N464" t="s">
        <v>253</v>
      </c>
      <c r="Q464" t="s">
        <v>58</v>
      </c>
      <c r="R464">
        <v>128126.37</v>
      </c>
      <c r="S464">
        <v>128126.37</v>
      </c>
      <c r="T464">
        <v>4199319</v>
      </c>
      <c r="U464">
        <v>6037810725</v>
      </c>
      <c r="V464" t="s">
        <v>317</v>
      </c>
      <c r="W464" t="s">
        <v>56</v>
      </c>
      <c r="X464" t="s">
        <v>258</v>
      </c>
      <c r="Y464" t="s">
        <v>51</v>
      </c>
      <c r="Z464">
        <v>1903</v>
      </c>
      <c r="AH464">
        <v>0</v>
      </c>
      <c r="AI464">
        <v>202506</v>
      </c>
      <c r="AJ464" t="s">
        <v>168</v>
      </c>
      <c r="AK464">
        <v>1</v>
      </c>
      <c r="AL464">
        <v>1</v>
      </c>
      <c r="AM464">
        <v>4199319</v>
      </c>
      <c r="AN464">
        <v>1</v>
      </c>
      <c r="AO464">
        <v>0</v>
      </c>
      <c r="AP464">
        <v>999</v>
      </c>
      <c r="AQ464">
        <v>430</v>
      </c>
      <c r="AR464">
        <v>430999</v>
      </c>
      <c r="AT464">
        <v>1</v>
      </c>
      <c r="AU464" t="s">
        <v>57</v>
      </c>
      <c r="AV464">
        <v>101552.46</v>
      </c>
      <c r="AW464">
        <v>114647.6485</v>
      </c>
      <c r="AX464">
        <v>118167.008</v>
      </c>
      <c r="AY464">
        <v>123559.05899999999</v>
      </c>
      <c r="AZ464">
        <v>128796.368</v>
      </c>
      <c r="BA464">
        <v>130000</v>
      </c>
      <c r="BB464">
        <v>135819.11300000001</v>
      </c>
      <c r="BC464">
        <v>145008.255</v>
      </c>
      <c r="BD464">
        <v>146226.546</v>
      </c>
      <c r="BE464">
        <v>148171.67300000001</v>
      </c>
      <c r="BF464">
        <v>156533.16500000001</v>
      </c>
      <c r="BG464">
        <v>167340.8915</v>
      </c>
      <c r="BH464">
        <v>179808.78</v>
      </c>
      <c r="BI464">
        <v>187222.14799999999</v>
      </c>
      <c r="BJ464">
        <v>206328.26500000001</v>
      </c>
      <c r="BK464">
        <v>220390.6225</v>
      </c>
      <c r="BL464">
        <v>239280.00000000009</v>
      </c>
      <c r="BM464">
        <v>298738.61</v>
      </c>
      <c r="BN464">
        <v>365407.64500000002</v>
      </c>
      <c r="BO464">
        <v>399465.49400000001</v>
      </c>
      <c r="BP464">
        <v>515709.15</v>
      </c>
      <c r="BQ464">
        <v>1</v>
      </c>
      <c r="BR464">
        <v>1</v>
      </c>
      <c r="BS464">
        <v>1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 x14ac:dyDescent="0.35">
      <c r="A465">
        <v>348754</v>
      </c>
      <c r="B465" t="s">
        <v>388</v>
      </c>
      <c r="C465" t="s">
        <v>389</v>
      </c>
      <c r="D465" s="1">
        <v>45815</v>
      </c>
      <c r="E465">
        <v>53850</v>
      </c>
      <c r="F465">
        <v>116</v>
      </c>
      <c r="G465" t="s">
        <v>259</v>
      </c>
      <c r="H465" t="s">
        <v>48</v>
      </c>
      <c r="I465" t="s">
        <v>49</v>
      </c>
      <c r="K465">
        <v>202506068048048</v>
      </c>
      <c r="L465">
        <v>2343300010453</v>
      </c>
      <c r="M465">
        <v>20250606</v>
      </c>
      <c r="N465" t="s">
        <v>253</v>
      </c>
      <c r="Q465" t="s">
        <v>58</v>
      </c>
      <c r="R465">
        <v>126487.25</v>
      </c>
      <c r="S465">
        <v>126487.25</v>
      </c>
      <c r="T465">
        <v>4247777</v>
      </c>
      <c r="U465">
        <v>233470236</v>
      </c>
      <c r="V465" t="s">
        <v>260</v>
      </c>
      <c r="W465" t="s">
        <v>56</v>
      </c>
      <c r="X465" t="s">
        <v>72</v>
      </c>
      <c r="Y465" t="s">
        <v>51</v>
      </c>
      <c r="Z465">
        <v>1696</v>
      </c>
      <c r="AH465">
        <v>0</v>
      </c>
      <c r="AI465">
        <v>202506</v>
      </c>
      <c r="AJ465" t="s">
        <v>168</v>
      </c>
      <c r="AK465">
        <v>1</v>
      </c>
      <c r="AL465">
        <v>1</v>
      </c>
      <c r="AM465">
        <v>4247777</v>
      </c>
      <c r="AN465">
        <v>1</v>
      </c>
      <c r="AO465">
        <v>0</v>
      </c>
      <c r="AP465">
        <v>463</v>
      </c>
      <c r="AQ465">
        <v>430</v>
      </c>
      <c r="AR465">
        <v>430463</v>
      </c>
      <c r="AS465" t="s">
        <v>61</v>
      </c>
      <c r="AU465" t="s">
        <v>61</v>
      </c>
      <c r="AV465">
        <v>85050</v>
      </c>
      <c r="AW465">
        <v>89030</v>
      </c>
      <c r="AX465">
        <v>91669.203999999998</v>
      </c>
      <c r="AY465">
        <v>93087.394</v>
      </c>
      <c r="AZ465">
        <v>94164.18</v>
      </c>
      <c r="BA465">
        <v>96798.05</v>
      </c>
      <c r="BB465">
        <v>100000</v>
      </c>
      <c r="BC465">
        <v>100000</v>
      </c>
      <c r="BD465">
        <v>101589.726</v>
      </c>
      <c r="BE465">
        <v>106295.712</v>
      </c>
      <c r="BF465">
        <v>110193.28</v>
      </c>
      <c r="BG465">
        <v>119645.424</v>
      </c>
      <c r="BH465">
        <v>127698</v>
      </c>
      <c r="BI465">
        <v>137713.79399999999</v>
      </c>
      <c r="BJ465">
        <v>139806</v>
      </c>
      <c r="BK465">
        <v>150000</v>
      </c>
      <c r="BL465">
        <v>161820.22</v>
      </c>
      <c r="BM465">
        <v>190199.99999999991</v>
      </c>
      <c r="BN465">
        <v>213800</v>
      </c>
      <c r="BO465">
        <v>259913.9999999998</v>
      </c>
      <c r="BP465">
        <v>440000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 x14ac:dyDescent="0.35">
      <c r="A466">
        <v>348742</v>
      </c>
      <c r="B466" t="s">
        <v>388</v>
      </c>
      <c r="C466" t="s">
        <v>389</v>
      </c>
      <c r="D466" s="1">
        <v>45815</v>
      </c>
      <c r="E466">
        <v>53850</v>
      </c>
      <c r="F466">
        <v>109</v>
      </c>
      <c r="G466" t="s">
        <v>68</v>
      </c>
      <c r="H466" t="s">
        <v>48</v>
      </c>
      <c r="I466" t="s">
        <v>49</v>
      </c>
      <c r="K466">
        <v>202506068048241</v>
      </c>
      <c r="L466">
        <v>1093306674139</v>
      </c>
      <c r="M466">
        <v>20250606</v>
      </c>
      <c r="N466" t="s">
        <v>400</v>
      </c>
      <c r="Q466" t="s">
        <v>58</v>
      </c>
      <c r="R466">
        <v>395000</v>
      </c>
      <c r="S466">
        <v>0</v>
      </c>
      <c r="T466">
        <v>435408</v>
      </c>
      <c r="U466" t="s">
        <v>802</v>
      </c>
      <c r="V466" t="s">
        <v>803</v>
      </c>
      <c r="W466" t="s">
        <v>50</v>
      </c>
      <c r="Y466" t="s">
        <v>51</v>
      </c>
      <c r="Z466">
        <v>778</v>
      </c>
      <c r="AH466">
        <v>0</v>
      </c>
      <c r="AI466">
        <v>202506</v>
      </c>
      <c r="AJ466" t="s">
        <v>168</v>
      </c>
      <c r="AK466">
        <v>1</v>
      </c>
      <c r="AL466">
        <v>1</v>
      </c>
      <c r="AO466">
        <v>0</v>
      </c>
      <c r="AP466">
        <v>999</v>
      </c>
      <c r="AQ466">
        <v>600</v>
      </c>
      <c r="AR466">
        <v>600999</v>
      </c>
      <c r="AS466" t="s">
        <v>52</v>
      </c>
      <c r="AU466" t="s">
        <v>52</v>
      </c>
      <c r="AV466">
        <v>107500</v>
      </c>
      <c r="AW466">
        <v>109625</v>
      </c>
      <c r="AX466">
        <v>110000</v>
      </c>
      <c r="AY466">
        <v>112750</v>
      </c>
      <c r="AZ466">
        <v>120738</v>
      </c>
      <c r="BA466">
        <v>129508.75</v>
      </c>
      <c r="BB466">
        <v>130380</v>
      </c>
      <c r="BC466">
        <v>133610</v>
      </c>
      <c r="BD466">
        <v>133800</v>
      </c>
      <c r="BE466">
        <v>141080</v>
      </c>
      <c r="BF466">
        <v>147500</v>
      </c>
      <c r="BG466">
        <v>155382.03049999999</v>
      </c>
      <c r="BH466">
        <v>165585.11799999999</v>
      </c>
      <c r="BI466">
        <v>166416.67000000001</v>
      </c>
      <c r="BJ466">
        <v>166416.67000000001</v>
      </c>
      <c r="BK466">
        <v>173582.95749999999</v>
      </c>
      <c r="BL466">
        <v>190388.68799999999</v>
      </c>
      <c r="BM466">
        <v>212150</v>
      </c>
      <c r="BN466">
        <v>283513.16900000011</v>
      </c>
      <c r="BO466">
        <v>415377.23</v>
      </c>
      <c r="BP466">
        <v>415377.23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0</v>
      </c>
      <c r="CK466">
        <v>0</v>
      </c>
    </row>
    <row r="467" spans="1:89" x14ac:dyDescent="0.35">
      <c r="A467">
        <v>348729</v>
      </c>
      <c r="B467" t="s">
        <v>388</v>
      </c>
      <c r="C467" t="s">
        <v>389</v>
      </c>
      <c r="D467" s="1">
        <v>45815</v>
      </c>
      <c r="E467">
        <v>53850</v>
      </c>
      <c r="F467">
        <v>161</v>
      </c>
      <c r="G467" t="s">
        <v>95</v>
      </c>
      <c r="H467" t="s">
        <v>48</v>
      </c>
      <c r="I467" t="s">
        <v>49</v>
      </c>
      <c r="K467" t="s">
        <v>370</v>
      </c>
      <c r="L467">
        <v>1613300029653</v>
      </c>
      <c r="M467">
        <v>20250606</v>
      </c>
      <c r="N467" t="s">
        <v>262</v>
      </c>
      <c r="Q467" t="s">
        <v>58</v>
      </c>
      <c r="R467">
        <v>94634.78</v>
      </c>
      <c r="S467">
        <v>10400</v>
      </c>
      <c r="T467">
        <v>4088769</v>
      </c>
      <c r="U467">
        <v>5150120722</v>
      </c>
      <c r="V467" t="s">
        <v>407</v>
      </c>
      <c r="W467" t="s">
        <v>56</v>
      </c>
      <c r="X467" t="s">
        <v>78</v>
      </c>
      <c r="Y467" t="s">
        <v>51</v>
      </c>
      <c r="Z467">
        <v>1903</v>
      </c>
      <c r="AH467">
        <v>0</v>
      </c>
      <c r="AI467">
        <v>202506</v>
      </c>
      <c r="AJ467" t="s">
        <v>63</v>
      </c>
      <c r="AK467">
        <v>0</v>
      </c>
      <c r="AL467">
        <v>1</v>
      </c>
      <c r="AM467">
        <v>4088769</v>
      </c>
      <c r="AN467">
        <v>1</v>
      </c>
      <c r="AO467">
        <v>1</v>
      </c>
      <c r="AP467">
        <v>464</v>
      </c>
      <c r="AQ467">
        <v>430</v>
      </c>
      <c r="AR467">
        <v>430464</v>
      </c>
      <c r="AS467" t="s">
        <v>79</v>
      </c>
      <c r="AU467" t="s">
        <v>79</v>
      </c>
      <c r="AV467">
        <v>76382.789999999994</v>
      </c>
      <c r="AW467">
        <v>79891.56</v>
      </c>
      <c r="AX467">
        <v>79937.08</v>
      </c>
      <c r="AY467">
        <v>88865.89</v>
      </c>
      <c r="AZ467">
        <v>94634.78</v>
      </c>
      <c r="BA467">
        <v>97229.53</v>
      </c>
      <c r="BB467">
        <v>98360.01</v>
      </c>
      <c r="BC467">
        <v>100000</v>
      </c>
      <c r="BD467">
        <v>104738.68</v>
      </c>
      <c r="BE467">
        <v>108176.82</v>
      </c>
      <c r="BF467">
        <v>110891.36</v>
      </c>
      <c r="BG467">
        <v>115427.47</v>
      </c>
      <c r="BH467">
        <v>118009.65</v>
      </c>
      <c r="BI467">
        <v>136718.03</v>
      </c>
      <c r="BJ467">
        <v>148758.49</v>
      </c>
      <c r="BK467">
        <v>182944.14</v>
      </c>
      <c r="BL467">
        <v>217448.27</v>
      </c>
      <c r="BM467">
        <v>222704.65</v>
      </c>
      <c r="BN467">
        <v>225130.1</v>
      </c>
      <c r="BO467">
        <v>259946.2</v>
      </c>
      <c r="BP467">
        <v>270019.89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 x14ac:dyDescent="0.35">
      <c r="A468">
        <v>348722</v>
      </c>
      <c r="B468" t="s">
        <v>388</v>
      </c>
      <c r="C468" t="s">
        <v>389</v>
      </c>
      <c r="D468" s="1">
        <v>45815</v>
      </c>
      <c r="E468">
        <v>53850</v>
      </c>
      <c r="F468">
        <v>171</v>
      </c>
      <c r="G468" t="s">
        <v>70</v>
      </c>
      <c r="H468" t="s">
        <v>48</v>
      </c>
      <c r="I468" t="s">
        <v>49</v>
      </c>
      <c r="K468" t="s">
        <v>370</v>
      </c>
      <c r="L468">
        <v>1713305728950</v>
      </c>
      <c r="M468">
        <v>20250606</v>
      </c>
      <c r="N468" t="s">
        <v>253</v>
      </c>
      <c r="Q468" t="s">
        <v>58</v>
      </c>
      <c r="R468">
        <v>323898.65999999997</v>
      </c>
      <c r="S468">
        <v>323898.65999999997</v>
      </c>
      <c r="T468">
        <v>572895</v>
      </c>
      <c r="U468">
        <v>4161600723</v>
      </c>
      <c r="V468" t="s">
        <v>257</v>
      </c>
      <c r="W468" t="s">
        <v>56</v>
      </c>
      <c r="X468" t="s">
        <v>258</v>
      </c>
      <c r="Y468" t="s">
        <v>51</v>
      </c>
      <c r="Z468">
        <v>1903</v>
      </c>
      <c r="AH468">
        <v>0</v>
      </c>
      <c r="AI468">
        <v>202506</v>
      </c>
      <c r="AJ468" t="s">
        <v>169</v>
      </c>
      <c r="AK468">
        <v>1</v>
      </c>
      <c r="AL468">
        <v>1</v>
      </c>
      <c r="AM468">
        <v>572895</v>
      </c>
      <c r="AN468">
        <v>1</v>
      </c>
      <c r="AO468">
        <v>0</v>
      </c>
      <c r="AP468">
        <v>999</v>
      </c>
      <c r="AQ468">
        <v>430</v>
      </c>
      <c r="AR468">
        <v>430999</v>
      </c>
      <c r="AT468">
        <v>1</v>
      </c>
      <c r="AU468" t="s">
        <v>57</v>
      </c>
      <c r="AV468">
        <v>101552.46</v>
      </c>
      <c r="AW468">
        <v>114647.6485</v>
      </c>
      <c r="AX468">
        <v>118167.008</v>
      </c>
      <c r="AY468">
        <v>123559.05899999999</v>
      </c>
      <c r="AZ468">
        <v>128796.368</v>
      </c>
      <c r="BA468">
        <v>130000</v>
      </c>
      <c r="BB468">
        <v>135819.11300000001</v>
      </c>
      <c r="BC468">
        <v>145008.255</v>
      </c>
      <c r="BD468">
        <v>146226.546</v>
      </c>
      <c r="BE468">
        <v>148171.67300000001</v>
      </c>
      <c r="BF468">
        <v>156533.16500000001</v>
      </c>
      <c r="BG468">
        <v>167340.8915</v>
      </c>
      <c r="BH468">
        <v>179808.78</v>
      </c>
      <c r="BI468">
        <v>187222.14799999999</v>
      </c>
      <c r="BJ468">
        <v>206328.26500000001</v>
      </c>
      <c r="BK468">
        <v>220390.6225</v>
      </c>
      <c r="BL468">
        <v>239280.00000000009</v>
      </c>
      <c r="BM468">
        <v>298738.61</v>
      </c>
      <c r="BN468">
        <v>365407.64500000002</v>
      </c>
      <c r="BO468">
        <v>399465.49400000001</v>
      </c>
      <c r="BP468">
        <v>515709.15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0</v>
      </c>
      <c r="CJ468">
        <v>0</v>
      </c>
      <c r="CK468">
        <v>0</v>
      </c>
    </row>
    <row r="469" spans="1:89" x14ac:dyDescent="0.35">
      <c r="A469">
        <v>348720</v>
      </c>
      <c r="B469" t="s">
        <v>388</v>
      </c>
      <c r="C469" t="s">
        <v>389</v>
      </c>
      <c r="D469" s="1">
        <v>45814</v>
      </c>
      <c r="E469">
        <v>53850</v>
      </c>
      <c r="F469">
        <v>116</v>
      </c>
      <c r="G469" t="s">
        <v>259</v>
      </c>
      <c r="H469" t="s">
        <v>48</v>
      </c>
      <c r="I469" t="s">
        <v>49</v>
      </c>
      <c r="K469">
        <v>202506058044914</v>
      </c>
      <c r="L469">
        <v>2343300010453</v>
      </c>
      <c r="M469">
        <v>20250605</v>
      </c>
      <c r="N469" t="s">
        <v>253</v>
      </c>
      <c r="Q469" t="s">
        <v>58</v>
      </c>
      <c r="R469">
        <v>88073.8</v>
      </c>
      <c r="S469">
        <v>88073.8</v>
      </c>
      <c r="T469">
        <v>4247777</v>
      </c>
      <c r="U469">
        <v>233470236</v>
      </c>
      <c r="V469" t="s">
        <v>260</v>
      </c>
      <c r="W469" t="s">
        <v>56</v>
      </c>
      <c r="X469" t="s">
        <v>72</v>
      </c>
      <c r="Y469" t="s">
        <v>51</v>
      </c>
      <c r="Z469">
        <v>1696</v>
      </c>
      <c r="AH469">
        <v>0</v>
      </c>
      <c r="AI469">
        <v>202506</v>
      </c>
      <c r="AJ469" t="s">
        <v>168</v>
      </c>
      <c r="AK469">
        <v>1</v>
      </c>
      <c r="AL469">
        <v>1</v>
      </c>
      <c r="AM469">
        <v>4247777</v>
      </c>
      <c r="AN469">
        <v>1</v>
      </c>
      <c r="AO469">
        <v>0</v>
      </c>
      <c r="AP469">
        <v>463</v>
      </c>
      <c r="AQ469">
        <v>430</v>
      </c>
      <c r="AR469">
        <v>430463</v>
      </c>
      <c r="AS469" t="s">
        <v>61</v>
      </c>
      <c r="AU469" t="s">
        <v>61</v>
      </c>
      <c r="AV469">
        <v>85050</v>
      </c>
      <c r="AW469">
        <v>89030</v>
      </c>
      <c r="AX469">
        <v>91669.203999999998</v>
      </c>
      <c r="AY469">
        <v>93087.394</v>
      </c>
      <c r="AZ469">
        <v>94164.18</v>
      </c>
      <c r="BA469">
        <v>96798.05</v>
      </c>
      <c r="BB469">
        <v>100000</v>
      </c>
      <c r="BC469">
        <v>100000</v>
      </c>
      <c r="BD469">
        <v>101589.726</v>
      </c>
      <c r="BE469">
        <v>106295.712</v>
      </c>
      <c r="BF469">
        <v>110193.28</v>
      </c>
      <c r="BG469">
        <v>119645.424</v>
      </c>
      <c r="BH469">
        <v>127698</v>
      </c>
      <c r="BI469">
        <v>137713.79399999999</v>
      </c>
      <c r="BJ469">
        <v>139806</v>
      </c>
      <c r="BK469">
        <v>150000</v>
      </c>
      <c r="BL469">
        <v>161820.22</v>
      </c>
      <c r="BM469">
        <v>190199.99999999991</v>
      </c>
      <c r="BN469">
        <v>213800</v>
      </c>
      <c r="BO469">
        <v>259913.9999999998</v>
      </c>
      <c r="BP469">
        <v>440000</v>
      </c>
      <c r="BQ469">
        <v>1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 x14ac:dyDescent="0.35">
      <c r="A470">
        <v>348716</v>
      </c>
      <c r="B470" t="s">
        <v>388</v>
      </c>
      <c r="C470" t="s">
        <v>389</v>
      </c>
      <c r="D470" s="1">
        <v>45814</v>
      </c>
      <c r="E470">
        <v>53850</v>
      </c>
      <c r="F470">
        <v>174</v>
      </c>
      <c r="G470" t="s">
        <v>88</v>
      </c>
      <c r="H470" t="s">
        <v>48</v>
      </c>
      <c r="I470" t="s">
        <v>49</v>
      </c>
      <c r="K470">
        <v>202506058045380</v>
      </c>
      <c r="L470">
        <v>1743302880040</v>
      </c>
      <c r="M470">
        <v>20250605</v>
      </c>
      <c r="N470" t="s">
        <v>400</v>
      </c>
      <c r="Q470" t="s">
        <v>58</v>
      </c>
      <c r="R470">
        <v>100687.5</v>
      </c>
      <c r="S470">
        <v>0</v>
      </c>
      <c r="T470">
        <v>4945451</v>
      </c>
      <c r="U470" t="s">
        <v>804</v>
      </c>
      <c r="V470" t="s">
        <v>805</v>
      </c>
      <c r="W470" t="s">
        <v>50</v>
      </c>
      <c r="Y470" t="s">
        <v>51</v>
      </c>
      <c r="Z470">
        <v>1106</v>
      </c>
      <c r="AH470">
        <v>0</v>
      </c>
      <c r="AI470">
        <v>202506</v>
      </c>
      <c r="AJ470" t="s">
        <v>168</v>
      </c>
      <c r="AK470">
        <v>1</v>
      </c>
      <c r="AL470">
        <v>1</v>
      </c>
      <c r="AO470">
        <v>0</v>
      </c>
      <c r="AP470">
        <v>999</v>
      </c>
      <c r="AQ470">
        <v>600</v>
      </c>
      <c r="AR470">
        <v>600999</v>
      </c>
      <c r="AS470" t="s">
        <v>52</v>
      </c>
      <c r="AU470" t="s">
        <v>52</v>
      </c>
      <c r="AV470">
        <v>107500</v>
      </c>
      <c r="AW470">
        <v>109625</v>
      </c>
      <c r="AX470">
        <v>110000</v>
      </c>
      <c r="AY470">
        <v>112750</v>
      </c>
      <c r="AZ470">
        <v>120738</v>
      </c>
      <c r="BA470">
        <v>129508.75</v>
      </c>
      <c r="BB470">
        <v>130380</v>
      </c>
      <c r="BC470">
        <v>133610</v>
      </c>
      <c r="BD470">
        <v>133800</v>
      </c>
      <c r="BE470">
        <v>141080</v>
      </c>
      <c r="BF470">
        <v>147500</v>
      </c>
      <c r="BG470">
        <v>155382.03049999999</v>
      </c>
      <c r="BH470">
        <v>165585.11799999999</v>
      </c>
      <c r="BI470">
        <v>166416.67000000001</v>
      </c>
      <c r="BJ470">
        <v>166416.67000000001</v>
      </c>
      <c r="BK470">
        <v>173582.95749999999</v>
      </c>
      <c r="BL470">
        <v>190388.68799999999</v>
      </c>
      <c r="BM470">
        <v>212150</v>
      </c>
      <c r="BN470">
        <v>283513.16900000011</v>
      </c>
      <c r="BO470">
        <v>415377.23</v>
      </c>
      <c r="BP470">
        <v>415377.23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 x14ac:dyDescent="0.35">
      <c r="A471">
        <v>348707</v>
      </c>
      <c r="B471" t="s">
        <v>388</v>
      </c>
      <c r="C471" t="s">
        <v>389</v>
      </c>
      <c r="D471" s="1">
        <v>45814</v>
      </c>
      <c r="E471">
        <v>53850</v>
      </c>
      <c r="F471">
        <v>171</v>
      </c>
      <c r="G471" t="s">
        <v>70</v>
      </c>
      <c r="H471" t="s">
        <v>48</v>
      </c>
      <c r="I471" t="s">
        <v>49</v>
      </c>
      <c r="K471" t="s">
        <v>371</v>
      </c>
      <c r="L471">
        <v>1713305728950</v>
      </c>
      <c r="M471">
        <v>20250605</v>
      </c>
      <c r="N471" t="s">
        <v>253</v>
      </c>
      <c r="Q471" t="s">
        <v>58</v>
      </c>
      <c r="R471">
        <v>448704.1</v>
      </c>
      <c r="S471">
        <v>448704.1</v>
      </c>
      <c r="T471">
        <v>572895</v>
      </c>
      <c r="U471">
        <v>4161600723</v>
      </c>
      <c r="V471" t="s">
        <v>257</v>
      </c>
      <c r="W471" t="s">
        <v>56</v>
      </c>
      <c r="X471" t="s">
        <v>258</v>
      </c>
      <c r="Y471" t="s">
        <v>51</v>
      </c>
      <c r="Z471">
        <v>1903</v>
      </c>
      <c r="AH471">
        <v>0</v>
      </c>
      <c r="AI471">
        <v>202506</v>
      </c>
      <c r="AJ471" t="s">
        <v>169</v>
      </c>
      <c r="AK471">
        <v>1</v>
      </c>
      <c r="AL471">
        <v>1</v>
      </c>
      <c r="AM471">
        <v>572895</v>
      </c>
      <c r="AN471">
        <v>1</v>
      </c>
      <c r="AO471">
        <v>0</v>
      </c>
      <c r="AP471">
        <v>999</v>
      </c>
      <c r="AQ471">
        <v>430</v>
      </c>
      <c r="AR471">
        <v>430999</v>
      </c>
      <c r="AT471">
        <v>1</v>
      </c>
      <c r="AU471" t="s">
        <v>57</v>
      </c>
      <c r="AV471">
        <v>101552.46</v>
      </c>
      <c r="AW471">
        <v>114647.6485</v>
      </c>
      <c r="AX471">
        <v>118167.008</v>
      </c>
      <c r="AY471">
        <v>123559.05899999999</v>
      </c>
      <c r="AZ471">
        <v>128796.368</v>
      </c>
      <c r="BA471">
        <v>130000</v>
      </c>
      <c r="BB471">
        <v>135819.11300000001</v>
      </c>
      <c r="BC471">
        <v>145008.255</v>
      </c>
      <c r="BD471">
        <v>146226.546</v>
      </c>
      <c r="BE471">
        <v>148171.67300000001</v>
      </c>
      <c r="BF471">
        <v>156533.16500000001</v>
      </c>
      <c r="BG471">
        <v>167340.8915</v>
      </c>
      <c r="BH471">
        <v>179808.78</v>
      </c>
      <c r="BI471">
        <v>187222.14799999999</v>
      </c>
      <c r="BJ471">
        <v>206328.26500000001</v>
      </c>
      <c r="BK471">
        <v>220390.6225</v>
      </c>
      <c r="BL471">
        <v>239280.00000000009</v>
      </c>
      <c r="BM471">
        <v>298738.61</v>
      </c>
      <c r="BN471">
        <v>365407.64500000002</v>
      </c>
      <c r="BO471">
        <v>399465.49400000001</v>
      </c>
      <c r="BP471">
        <v>515709.15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0</v>
      </c>
    </row>
    <row r="472" spans="1:89" x14ac:dyDescent="0.35">
      <c r="A472">
        <v>348697</v>
      </c>
      <c r="B472" t="s">
        <v>388</v>
      </c>
      <c r="C472" t="s">
        <v>389</v>
      </c>
      <c r="D472" s="1">
        <v>45814</v>
      </c>
      <c r="E472">
        <v>53850</v>
      </c>
      <c r="F472">
        <v>110</v>
      </c>
      <c r="G472" t="s">
        <v>81</v>
      </c>
      <c r="H472" t="s">
        <v>48</v>
      </c>
      <c r="I472" t="s">
        <v>49</v>
      </c>
      <c r="K472">
        <v>202506058045177</v>
      </c>
      <c r="L472">
        <v>1103306287662</v>
      </c>
      <c r="M472">
        <v>20250605</v>
      </c>
      <c r="N472" t="s">
        <v>392</v>
      </c>
      <c r="Q472" t="s">
        <v>58</v>
      </c>
      <c r="R472">
        <v>200000</v>
      </c>
      <c r="S472">
        <v>0</v>
      </c>
      <c r="T472">
        <v>4014921</v>
      </c>
      <c r="U472" t="s">
        <v>647</v>
      </c>
      <c r="V472" t="s">
        <v>648</v>
      </c>
      <c r="W472" t="s">
        <v>50</v>
      </c>
      <c r="Y472" t="s">
        <v>51</v>
      </c>
      <c r="Z472">
        <v>1072</v>
      </c>
      <c r="AH472">
        <v>0</v>
      </c>
      <c r="AI472">
        <v>202506</v>
      </c>
      <c r="AJ472" t="s">
        <v>169</v>
      </c>
      <c r="AK472">
        <v>1</v>
      </c>
      <c r="AL472">
        <v>1</v>
      </c>
      <c r="AO472">
        <v>0</v>
      </c>
      <c r="AP472">
        <v>999</v>
      </c>
      <c r="AQ472">
        <v>600</v>
      </c>
      <c r="AR472">
        <v>600999</v>
      </c>
      <c r="AS472" t="s">
        <v>52</v>
      </c>
      <c r="AU472" t="s">
        <v>52</v>
      </c>
      <c r="AV472">
        <v>107500</v>
      </c>
      <c r="AW472">
        <v>109625</v>
      </c>
      <c r="AX472">
        <v>110000</v>
      </c>
      <c r="AY472">
        <v>112750</v>
      </c>
      <c r="AZ472">
        <v>120738</v>
      </c>
      <c r="BA472">
        <v>129508.75</v>
      </c>
      <c r="BB472">
        <v>130380</v>
      </c>
      <c r="BC472">
        <v>133610</v>
      </c>
      <c r="BD472">
        <v>133800</v>
      </c>
      <c r="BE472">
        <v>141080</v>
      </c>
      <c r="BF472">
        <v>147500</v>
      </c>
      <c r="BG472">
        <v>155382.03049999999</v>
      </c>
      <c r="BH472">
        <v>165585.11799999999</v>
      </c>
      <c r="BI472">
        <v>166416.67000000001</v>
      </c>
      <c r="BJ472">
        <v>166416.67000000001</v>
      </c>
      <c r="BK472">
        <v>173582.95749999999</v>
      </c>
      <c r="BL472">
        <v>190388.68799999999</v>
      </c>
      <c r="BM472">
        <v>212150</v>
      </c>
      <c r="BN472">
        <v>283513.16900000011</v>
      </c>
      <c r="BO472">
        <v>415377.23</v>
      </c>
      <c r="BP472">
        <v>415377.23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0</v>
      </c>
      <c r="CI472">
        <v>0</v>
      </c>
      <c r="CJ472">
        <v>0</v>
      </c>
      <c r="CK472">
        <v>0</v>
      </c>
    </row>
    <row r="473" spans="1:89" x14ac:dyDescent="0.35">
      <c r="A473">
        <v>348694</v>
      </c>
      <c r="B473" t="s">
        <v>388</v>
      </c>
      <c r="C473" t="s">
        <v>389</v>
      </c>
      <c r="D473" s="1">
        <v>45814</v>
      </c>
      <c r="E473">
        <v>53850</v>
      </c>
      <c r="F473">
        <v>171</v>
      </c>
      <c r="G473" t="s">
        <v>70</v>
      </c>
      <c r="H473" t="s">
        <v>48</v>
      </c>
      <c r="I473" t="s">
        <v>49</v>
      </c>
      <c r="K473" t="s">
        <v>371</v>
      </c>
      <c r="L473">
        <v>1713302214147</v>
      </c>
      <c r="M473">
        <v>20250605</v>
      </c>
      <c r="N473" t="s">
        <v>253</v>
      </c>
      <c r="Q473" t="s">
        <v>58</v>
      </c>
      <c r="R473">
        <v>174585</v>
      </c>
      <c r="S473">
        <v>174585</v>
      </c>
      <c r="T473">
        <v>4199319</v>
      </c>
      <c r="U473">
        <v>6037810725</v>
      </c>
      <c r="V473" t="s">
        <v>317</v>
      </c>
      <c r="W473" t="s">
        <v>56</v>
      </c>
      <c r="X473" t="s">
        <v>258</v>
      </c>
      <c r="Y473" t="s">
        <v>51</v>
      </c>
      <c r="Z473">
        <v>1903</v>
      </c>
      <c r="AH473">
        <v>0</v>
      </c>
      <c r="AI473">
        <v>202506</v>
      </c>
      <c r="AJ473" t="s">
        <v>168</v>
      </c>
      <c r="AK473">
        <v>1</v>
      </c>
      <c r="AL473">
        <v>1</v>
      </c>
      <c r="AM473">
        <v>4199319</v>
      </c>
      <c r="AN473">
        <v>1</v>
      </c>
      <c r="AO473">
        <v>0</v>
      </c>
      <c r="AP473">
        <v>999</v>
      </c>
      <c r="AQ473">
        <v>430</v>
      </c>
      <c r="AR473">
        <v>430999</v>
      </c>
      <c r="AT473">
        <v>1</v>
      </c>
      <c r="AU473" t="s">
        <v>57</v>
      </c>
      <c r="AV473">
        <v>101552.46</v>
      </c>
      <c r="AW473">
        <v>114647.6485</v>
      </c>
      <c r="AX473">
        <v>118167.008</v>
      </c>
      <c r="AY473">
        <v>123559.05899999999</v>
      </c>
      <c r="AZ473">
        <v>128796.368</v>
      </c>
      <c r="BA473">
        <v>130000</v>
      </c>
      <c r="BB473">
        <v>135819.11300000001</v>
      </c>
      <c r="BC473">
        <v>145008.255</v>
      </c>
      <c r="BD473">
        <v>146226.546</v>
      </c>
      <c r="BE473">
        <v>148171.67300000001</v>
      </c>
      <c r="BF473">
        <v>156533.16500000001</v>
      </c>
      <c r="BG473">
        <v>167340.8915</v>
      </c>
      <c r="BH473">
        <v>179808.78</v>
      </c>
      <c r="BI473">
        <v>187222.14799999999</v>
      </c>
      <c r="BJ473">
        <v>206328.26500000001</v>
      </c>
      <c r="BK473">
        <v>220390.6225</v>
      </c>
      <c r="BL473">
        <v>239280.00000000009</v>
      </c>
      <c r="BM473">
        <v>298738.61</v>
      </c>
      <c r="BN473">
        <v>365407.64500000002</v>
      </c>
      <c r="BO473">
        <v>399465.49400000001</v>
      </c>
      <c r="BP473">
        <v>515709.15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 x14ac:dyDescent="0.35">
      <c r="A474">
        <v>348692</v>
      </c>
      <c r="B474" t="s">
        <v>388</v>
      </c>
      <c r="C474" t="s">
        <v>389</v>
      </c>
      <c r="D474" s="1">
        <v>45814</v>
      </c>
      <c r="E474">
        <v>53850</v>
      </c>
      <c r="F474">
        <v>114</v>
      </c>
      <c r="G474" t="s">
        <v>267</v>
      </c>
      <c r="H474" t="s">
        <v>48</v>
      </c>
      <c r="I474" t="s">
        <v>49</v>
      </c>
      <c r="K474" t="s">
        <v>371</v>
      </c>
      <c r="L474">
        <v>1143306285135</v>
      </c>
      <c r="M474">
        <v>20250605</v>
      </c>
      <c r="N474" t="s">
        <v>262</v>
      </c>
      <c r="Q474" t="s">
        <v>58</v>
      </c>
      <c r="R474">
        <v>38550</v>
      </c>
      <c r="S474">
        <v>3550</v>
      </c>
      <c r="T474">
        <v>3730898</v>
      </c>
      <c r="U474" t="s">
        <v>306</v>
      </c>
      <c r="V474" t="s">
        <v>307</v>
      </c>
      <c r="W474" t="s">
        <v>66</v>
      </c>
      <c r="X474" t="s">
        <v>80</v>
      </c>
      <c r="Y474" t="s">
        <v>51</v>
      </c>
      <c r="Z474">
        <v>869</v>
      </c>
      <c r="AH474">
        <v>0</v>
      </c>
      <c r="AI474">
        <v>202506</v>
      </c>
      <c r="AJ474" t="s">
        <v>63</v>
      </c>
      <c r="AK474">
        <v>0</v>
      </c>
      <c r="AL474">
        <v>1</v>
      </c>
      <c r="AM474">
        <v>3730898</v>
      </c>
      <c r="AN474">
        <v>1</v>
      </c>
      <c r="AO474">
        <v>1</v>
      </c>
      <c r="AP474">
        <v>477</v>
      </c>
      <c r="AQ474">
        <v>615</v>
      </c>
      <c r="AR474">
        <v>615477</v>
      </c>
      <c r="AS474" t="s">
        <v>270</v>
      </c>
      <c r="AU474" t="s">
        <v>270</v>
      </c>
      <c r="AV474">
        <v>37615</v>
      </c>
      <c r="AW474">
        <v>38129.25</v>
      </c>
      <c r="AX474">
        <v>38617</v>
      </c>
      <c r="AY474">
        <v>38985.5</v>
      </c>
      <c r="AZ474">
        <v>39276</v>
      </c>
      <c r="BA474">
        <v>39430</v>
      </c>
      <c r="BB474">
        <v>39650</v>
      </c>
      <c r="BC474">
        <v>39925</v>
      </c>
      <c r="BD474">
        <v>40004</v>
      </c>
      <c r="BE474">
        <v>40009.5</v>
      </c>
      <c r="BF474">
        <v>40505</v>
      </c>
      <c r="BG474">
        <v>41243.25</v>
      </c>
      <c r="BH474">
        <v>43919</v>
      </c>
      <c r="BI474">
        <v>46035.25</v>
      </c>
      <c r="BJ474">
        <v>46659.5</v>
      </c>
      <c r="BK474">
        <v>48836.25</v>
      </c>
      <c r="BL474">
        <v>52876.000000000007</v>
      </c>
      <c r="BM474">
        <v>56324.25</v>
      </c>
      <c r="BN474">
        <v>59434.5</v>
      </c>
      <c r="BO474">
        <v>63675.005999999987</v>
      </c>
      <c r="BP474">
        <v>68166.679999999993</v>
      </c>
      <c r="BQ474">
        <v>1</v>
      </c>
      <c r="BR474">
        <v>1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 x14ac:dyDescent="0.35">
      <c r="A475">
        <v>348689</v>
      </c>
      <c r="B475" t="s">
        <v>388</v>
      </c>
      <c r="C475" t="s">
        <v>389</v>
      </c>
      <c r="D475" s="1">
        <v>45814</v>
      </c>
      <c r="E475">
        <v>53850</v>
      </c>
      <c r="F475">
        <v>171</v>
      </c>
      <c r="G475" t="s">
        <v>70</v>
      </c>
      <c r="H475" t="s">
        <v>48</v>
      </c>
      <c r="I475" t="s">
        <v>49</v>
      </c>
      <c r="K475">
        <v>202506058045364</v>
      </c>
      <c r="L475">
        <v>1713302219001</v>
      </c>
      <c r="M475">
        <v>20250605</v>
      </c>
      <c r="N475" t="s">
        <v>400</v>
      </c>
      <c r="Q475" t="s">
        <v>58</v>
      </c>
      <c r="R475">
        <v>150000</v>
      </c>
      <c r="S475">
        <v>0</v>
      </c>
      <c r="T475">
        <v>602610</v>
      </c>
      <c r="U475" t="s">
        <v>806</v>
      </c>
      <c r="V475" t="s">
        <v>807</v>
      </c>
      <c r="W475" t="s">
        <v>50</v>
      </c>
      <c r="Y475" t="s">
        <v>51</v>
      </c>
      <c r="Z475">
        <v>856</v>
      </c>
      <c r="AH475">
        <v>0</v>
      </c>
      <c r="AI475">
        <v>202506</v>
      </c>
      <c r="AJ475" t="s">
        <v>168</v>
      </c>
      <c r="AK475">
        <v>1</v>
      </c>
      <c r="AL475">
        <v>1</v>
      </c>
      <c r="AO475">
        <v>0</v>
      </c>
      <c r="AP475">
        <v>999</v>
      </c>
      <c r="AQ475">
        <v>600</v>
      </c>
      <c r="AR475">
        <v>600999</v>
      </c>
      <c r="AS475" t="s">
        <v>52</v>
      </c>
      <c r="AU475" t="s">
        <v>52</v>
      </c>
      <c r="AV475">
        <v>107500</v>
      </c>
      <c r="AW475">
        <v>109625</v>
      </c>
      <c r="AX475">
        <v>110000</v>
      </c>
      <c r="AY475">
        <v>112750</v>
      </c>
      <c r="AZ475">
        <v>120738</v>
      </c>
      <c r="BA475">
        <v>129508.75</v>
      </c>
      <c r="BB475">
        <v>130380</v>
      </c>
      <c r="BC475">
        <v>133610</v>
      </c>
      <c r="BD475">
        <v>133800</v>
      </c>
      <c r="BE475">
        <v>141080</v>
      </c>
      <c r="BF475">
        <v>147500</v>
      </c>
      <c r="BG475">
        <v>155382.03049999999</v>
      </c>
      <c r="BH475">
        <v>165585.11799999999</v>
      </c>
      <c r="BI475">
        <v>166416.67000000001</v>
      </c>
      <c r="BJ475">
        <v>166416.67000000001</v>
      </c>
      <c r="BK475">
        <v>173582.95749999999</v>
      </c>
      <c r="BL475">
        <v>190388.68799999999</v>
      </c>
      <c r="BM475">
        <v>212150</v>
      </c>
      <c r="BN475">
        <v>283513.16900000011</v>
      </c>
      <c r="BO475">
        <v>415377.23</v>
      </c>
      <c r="BP475">
        <v>415377.23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 x14ac:dyDescent="0.35">
      <c r="A476">
        <v>348677</v>
      </c>
      <c r="B476" t="s">
        <v>388</v>
      </c>
      <c r="C476" t="s">
        <v>389</v>
      </c>
      <c r="D476" s="1">
        <v>45814</v>
      </c>
      <c r="E476">
        <v>53850</v>
      </c>
      <c r="F476">
        <v>128</v>
      </c>
      <c r="G476" t="s">
        <v>274</v>
      </c>
      <c r="H476" t="s">
        <v>48</v>
      </c>
      <c r="I476" t="s">
        <v>49</v>
      </c>
      <c r="K476" t="s">
        <v>371</v>
      </c>
      <c r="L476">
        <v>1283300001665</v>
      </c>
      <c r="M476">
        <v>20250605</v>
      </c>
      <c r="N476" t="s">
        <v>262</v>
      </c>
      <c r="Q476" t="s">
        <v>58</v>
      </c>
      <c r="R476">
        <v>122563.95</v>
      </c>
      <c r="S476">
        <v>4680</v>
      </c>
      <c r="T476">
        <v>4254896</v>
      </c>
      <c r="U476">
        <v>6234730726</v>
      </c>
      <c r="V476" t="s">
        <v>410</v>
      </c>
      <c r="W476" t="s">
        <v>56</v>
      </c>
      <c r="X476" t="s">
        <v>411</v>
      </c>
      <c r="Y476" t="s">
        <v>51</v>
      </c>
      <c r="Z476">
        <v>1919</v>
      </c>
      <c r="AH476">
        <v>0</v>
      </c>
      <c r="AI476">
        <v>202506</v>
      </c>
      <c r="AJ476" t="s">
        <v>168</v>
      </c>
      <c r="AK476">
        <v>1</v>
      </c>
      <c r="AL476">
        <v>1</v>
      </c>
      <c r="AO476">
        <v>1</v>
      </c>
      <c r="AP476">
        <v>999</v>
      </c>
      <c r="AQ476">
        <v>430</v>
      </c>
      <c r="AR476">
        <v>430999</v>
      </c>
      <c r="AT476">
        <v>1</v>
      </c>
      <c r="AU476" t="s">
        <v>57</v>
      </c>
      <c r="AV476">
        <v>101552.46</v>
      </c>
      <c r="AW476">
        <v>114647.6485</v>
      </c>
      <c r="AX476">
        <v>118167.008</v>
      </c>
      <c r="AY476">
        <v>123559.05899999999</v>
      </c>
      <c r="AZ476">
        <v>128796.368</v>
      </c>
      <c r="BA476">
        <v>130000</v>
      </c>
      <c r="BB476">
        <v>135819.11300000001</v>
      </c>
      <c r="BC476">
        <v>145008.255</v>
      </c>
      <c r="BD476">
        <v>146226.546</v>
      </c>
      <c r="BE476">
        <v>148171.67300000001</v>
      </c>
      <c r="BF476">
        <v>156533.16500000001</v>
      </c>
      <c r="BG476">
        <v>167340.8915</v>
      </c>
      <c r="BH476">
        <v>179808.78</v>
      </c>
      <c r="BI476">
        <v>187222.14799999999</v>
      </c>
      <c r="BJ476">
        <v>206328.26500000001</v>
      </c>
      <c r="BK476">
        <v>220390.6225</v>
      </c>
      <c r="BL476">
        <v>239280.00000000009</v>
      </c>
      <c r="BM476">
        <v>298738.61</v>
      </c>
      <c r="BN476">
        <v>365407.64500000002</v>
      </c>
      <c r="BO476">
        <v>399465.49400000001</v>
      </c>
      <c r="BP476">
        <v>515709.15</v>
      </c>
      <c r="BQ476">
        <v>1</v>
      </c>
      <c r="BR476">
        <v>1</v>
      </c>
      <c r="BS476">
        <v>1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 x14ac:dyDescent="0.35">
      <c r="A477">
        <v>348671</v>
      </c>
      <c r="B477" t="s">
        <v>388</v>
      </c>
      <c r="C477" t="s">
        <v>389</v>
      </c>
      <c r="D477" s="1">
        <v>45813</v>
      </c>
      <c r="E477">
        <v>53850</v>
      </c>
      <c r="F477">
        <v>104</v>
      </c>
      <c r="G477" t="s">
        <v>53</v>
      </c>
      <c r="H477" t="s">
        <v>48</v>
      </c>
      <c r="I477" t="s">
        <v>49</v>
      </c>
      <c r="K477" t="s">
        <v>372</v>
      </c>
      <c r="L477">
        <v>1043304173550</v>
      </c>
      <c r="M477">
        <v>20250604</v>
      </c>
      <c r="N477" t="s">
        <v>262</v>
      </c>
      <c r="Q477" t="s">
        <v>58</v>
      </c>
      <c r="R477">
        <v>154309.92000000001</v>
      </c>
      <c r="S477">
        <v>0</v>
      </c>
      <c r="T477">
        <v>417355</v>
      </c>
      <c r="U477">
        <v>374690725</v>
      </c>
      <c r="V477" t="s">
        <v>397</v>
      </c>
      <c r="W477" t="s">
        <v>56</v>
      </c>
      <c r="X477" t="s">
        <v>78</v>
      </c>
      <c r="Y477" t="s">
        <v>51</v>
      </c>
      <c r="Z477">
        <v>1919</v>
      </c>
      <c r="AH477">
        <v>0</v>
      </c>
      <c r="AI477">
        <v>202506</v>
      </c>
      <c r="AJ477" t="s">
        <v>168</v>
      </c>
      <c r="AK477">
        <v>1</v>
      </c>
      <c r="AL477">
        <v>1</v>
      </c>
      <c r="AM477">
        <v>417355</v>
      </c>
      <c r="AN477">
        <v>1</v>
      </c>
      <c r="AO477">
        <v>1</v>
      </c>
      <c r="AP477">
        <v>464</v>
      </c>
      <c r="AQ477">
        <v>430</v>
      </c>
      <c r="AR477">
        <v>430464</v>
      </c>
      <c r="AS477" t="s">
        <v>79</v>
      </c>
      <c r="AU477" t="s">
        <v>79</v>
      </c>
      <c r="AV477">
        <v>76382.789999999994</v>
      </c>
      <c r="AW477">
        <v>79891.56</v>
      </c>
      <c r="AX477">
        <v>79937.08</v>
      </c>
      <c r="AY477">
        <v>88865.89</v>
      </c>
      <c r="AZ477">
        <v>94634.78</v>
      </c>
      <c r="BA477">
        <v>97229.53</v>
      </c>
      <c r="BB477">
        <v>98360.01</v>
      </c>
      <c r="BC477">
        <v>100000</v>
      </c>
      <c r="BD477">
        <v>104738.68</v>
      </c>
      <c r="BE477">
        <v>108176.82</v>
      </c>
      <c r="BF477">
        <v>110891.36</v>
      </c>
      <c r="BG477">
        <v>115427.47</v>
      </c>
      <c r="BH477">
        <v>118009.65</v>
      </c>
      <c r="BI477">
        <v>136718.03</v>
      </c>
      <c r="BJ477">
        <v>148758.49</v>
      </c>
      <c r="BK477">
        <v>182944.14</v>
      </c>
      <c r="BL477">
        <v>217448.27</v>
      </c>
      <c r="BM477">
        <v>222704.65</v>
      </c>
      <c r="BN477">
        <v>225130.1</v>
      </c>
      <c r="BO477">
        <v>259946.2</v>
      </c>
      <c r="BP477">
        <v>270019.89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 x14ac:dyDescent="0.35">
      <c r="A478">
        <v>348669</v>
      </c>
      <c r="B478" t="s">
        <v>388</v>
      </c>
      <c r="C478" t="s">
        <v>389</v>
      </c>
      <c r="D478" s="1">
        <v>45813</v>
      </c>
      <c r="E478">
        <v>53850</v>
      </c>
      <c r="F478">
        <v>149</v>
      </c>
      <c r="G478" t="s">
        <v>84</v>
      </c>
      <c r="H478" t="s">
        <v>48</v>
      </c>
      <c r="I478" t="s">
        <v>49</v>
      </c>
      <c r="K478" t="s">
        <v>372</v>
      </c>
      <c r="L478">
        <v>1493300663906</v>
      </c>
      <c r="M478">
        <v>20250604</v>
      </c>
      <c r="N478" t="s">
        <v>262</v>
      </c>
      <c r="Q478" t="s">
        <v>58</v>
      </c>
      <c r="R478">
        <v>299570</v>
      </c>
      <c r="S478">
        <v>0</v>
      </c>
      <c r="T478">
        <v>4178286</v>
      </c>
      <c r="U478" t="s">
        <v>808</v>
      </c>
      <c r="V478" t="s">
        <v>809</v>
      </c>
      <c r="W478" t="s">
        <v>66</v>
      </c>
      <c r="X478" t="s">
        <v>241</v>
      </c>
      <c r="Y478" t="s">
        <v>51</v>
      </c>
      <c r="Z478">
        <v>1910</v>
      </c>
      <c r="AH478">
        <v>0</v>
      </c>
      <c r="AI478">
        <v>202506</v>
      </c>
      <c r="AJ478" t="s">
        <v>63</v>
      </c>
      <c r="AK478">
        <v>0</v>
      </c>
      <c r="AL478">
        <v>1</v>
      </c>
      <c r="AM478">
        <v>4178286</v>
      </c>
      <c r="AN478">
        <v>1</v>
      </c>
      <c r="AO478">
        <v>1</v>
      </c>
      <c r="AP478">
        <v>999</v>
      </c>
      <c r="AQ478">
        <v>615</v>
      </c>
      <c r="AR478">
        <v>615999</v>
      </c>
      <c r="AT478">
        <v>1</v>
      </c>
      <c r="AU478" t="s">
        <v>61</v>
      </c>
      <c r="AV478">
        <v>85050</v>
      </c>
      <c r="AW478">
        <v>89030</v>
      </c>
      <c r="AX478">
        <v>91669.203999999998</v>
      </c>
      <c r="AY478">
        <v>93087.394</v>
      </c>
      <c r="AZ478">
        <v>94164.18</v>
      </c>
      <c r="BA478">
        <v>96798.05</v>
      </c>
      <c r="BB478">
        <v>100000</v>
      </c>
      <c r="BC478">
        <v>100000</v>
      </c>
      <c r="BD478">
        <v>101589.726</v>
      </c>
      <c r="BE478">
        <v>106295.712</v>
      </c>
      <c r="BF478">
        <v>110193.28</v>
      </c>
      <c r="BG478">
        <v>119645.424</v>
      </c>
      <c r="BH478">
        <v>127698</v>
      </c>
      <c r="BI478">
        <v>137713.79399999999</v>
      </c>
      <c r="BJ478">
        <v>139806</v>
      </c>
      <c r="BK478">
        <v>150000</v>
      </c>
      <c r="BL478">
        <v>161820.22</v>
      </c>
      <c r="BM478">
        <v>190199.99999999991</v>
      </c>
      <c r="BN478">
        <v>213800</v>
      </c>
      <c r="BO478">
        <v>259913.9999999998</v>
      </c>
      <c r="BP478">
        <v>440000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0</v>
      </c>
    </row>
    <row r="479" spans="1:89" x14ac:dyDescent="0.35">
      <c r="A479">
        <v>348657</v>
      </c>
      <c r="B479" t="s">
        <v>388</v>
      </c>
      <c r="C479" t="s">
        <v>389</v>
      </c>
      <c r="D479" s="1">
        <v>45813</v>
      </c>
      <c r="E479">
        <v>53850</v>
      </c>
      <c r="F479">
        <v>171</v>
      </c>
      <c r="G479" t="s">
        <v>70</v>
      </c>
      <c r="H479" t="s">
        <v>48</v>
      </c>
      <c r="I479" t="s">
        <v>49</v>
      </c>
      <c r="K479" t="s">
        <v>372</v>
      </c>
      <c r="L479">
        <v>1713305728950</v>
      </c>
      <c r="M479">
        <v>20250604</v>
      </c>
      <c r="N479" t="s">
        <v>253</v>
      </c>
      <c r="Q479" t="s">
        <v>58</v>
      </c>
      <c r="R479">
        <v>140467.79999999999</v>
      </c>
      <c r="S479">
        <v>140467.79999999999</v>
      </c>
      <c r="T479">
        <v>572895</v>
      </c>
      <c r="U479">
        <v>4161600723</v>
      </c>
      <c r="V479" t="s">
        <v>257</v>
      </c>
      <c r="W479" t="s">
        <v>56</v>
      </c>
      <c r="X479" t="s">
        <v>258</v>
      </c>
      <c r="Y479" t="s">
        <v>51</v>
      </c>
      <c r="Z479">
        <v>1903</v>
      </c>
      <c r="AH479">
        <v>0</v>
      </c>
      <c r="AI479">
        <v>202506</v>
      </c>
      <c r="AJ479" t="s">
        <v>169</v>
      </c>
      <c r="AK479">
        <v>1</v>
      </c>
      <c r="AL479">
        <v>1</v>
      </c>
      <c r="AM479">
        <v>572895</v>
      </c>
      <c r="AN479">
        <v>1</v>
      </c>
      <c r="AO479">
        <v>0</v>
      </c>
      <c r="AP479">
        <v>999</v>
      </c>
      <c r="AQ479">
        <v>430</v>
      </c>
      <c r="AR479">
        <v>430999</v>
      </c>
      <c r="AT479">
        <v>1</v>
      </c>
      <c r="AU479" t="s">
        <v>57</v>
      </c>
      <c r="AV479">
        <v>101552.46</v>
      </c>
      <c r="AW479">
        <v>114647.6485</v>
      </c>
      <c r="AX479">
        <v>118167.008</v>
      </c>
      <c r="AY479">
        <v>123559.05899999999</v>
      </c>
      <c r="AZ479">
        <v>128796.368</v>
      </c>
      <c r="BA479">
        <v>130000</v>
      </c>
      <c r="BB479">
        <v>135819.11300000001</v>
      </c>
      <c r="BC479">
        <v>145008.255</v>
      </c>
      <c r="BD479">
        <v>146226.546</v>
      </c>
      <c r="BE479">
        <v>148171.67300000001</v>
      </c>
      <c r="BF479">
        <v>156533.16500000001</v>
      </c>
      <c r="BG479">
        <v>167340.8915</v>
      </c>
      <c r="BH479">
        <v>179808.78</v>
      </c>
      <c r="BI479">
        <v>187222.14799999999</v>
      </c>
      <c r="BJ479">
        <v>206328.26500000001</v>
      </c>
      <c r="BK479">
        <v>220390.6225</v>
      </c>
      <c r="BL479">
        <v>239280.00000000009</v>
      </c>
      <c r="BM479">
        <v>298738.61</v>
      </c>
      <c r="BN479">
        <v>365407.64500000002</v>
      </c>
      <c r="BO479">
        <v>399465.49400000001</v>
      </c>
      <c r="BP479">
        <v>515709.15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 x14ac:dyDescent="0.35">
      <c r="A480">
        <v>348653</v>
      </c>
      <c r="B480" t="s">
        <v>388</v>
      </c>
      <c r="C480" t="s">
        <v>389</v>
      </c>
      <c r="D480" s="1">
        <v>45813</v>
      </c>
      <c r="E480">
        <v>53850</v>
      </c>
      <c r="F480">
        <v>108</v>
      </c>
      <c r="G480" t="s">
        <v>89</v>
      </c>
      <c r="H480" t="s">
        <v>48</v>
      </c>
      <c r="I480" t="s">
        <v>49</v>
      </c>
      <c r="K480" t="s">
        <v>372</v>
      </c>
      <c r="L480">
        <v>1083306290559</v>
      </c>
      <c r="M480">
        <v>20250604</v>
      </c>
      <c r="N480" t="s">
        <v>262</v>
      </c>
      <c r="Q480" t="s">
        <v>58</v>
      </c>
      <c r="R480">
        <v>108729.66</v>
      </c>
      <c r="S480">
        <v>3000</v>
      </c>
      <c r="T480">
        <v>4902977</v>
      </c>
      <c r="U480">
        <v>8081970728</v>
      </c>
      <c r="V480" t="s">
        <v>663</v>
      </c>
      <c r="W480" t="s">
        <v>56</v>
      </c>
      <c r="X480" t="s">
        <v>363</v>
      </c>
      <c r="Y480" t="s">
        <v>51</v>
      </c>
      <c r="Z480">
        <v>1058</v>
      </c>
      <c r="AH480">
        <v>0</v>
      </c>
      <c r="AI480">
        <v>202506</v>
      </c>
      <c r="AJ480" t="s">
        <v>168</v>
      </c>
      <c r="AK480">
        <v>1</v>
      </c>
      <c r="AL480">
        <v>1</v>
      </c>
      <c r="AO480">
        <v>1</v>
      </c>
      <c r="AP480">
        <v>999</v>
      </c>
      <c r="AQ480">
        <v>430</v>
      </c>
      <c r="AR480">
        <v>430999</v>
      </c>
      <c r="AT480">
        <v>1</v>
      </c>
      <c r="AU480" t="s">
        <v>57</v>
      </c>
      <c r="AV480">
        <v>101552.46</v>
      </c>
      <c r="AW480">
        <v>114647.6485</v>
      </c>
      <c r="AX480">
        <v>118167.008</v>
      </c>
      <c r="AY480">
        <v>123559.05899999999</v>
      </c>
      <c r="AZ480">
        <v>128796.368</v>
      </c>
      <c r="BA480">
        <v>130000</v>
      </c>
      <c r="BB480">
        <v>135819.11300000001</v>
      </c>
      <c r="BC480">
        <v>145008.255</v>
      </c>
      <c r="BD480">
        <v>146226.546</v>
      </c>
      <c r="BE480">
        <v>148171.67300000001</v>
      </c>
      <c r="BF480">
        <v>156533.16500000001</v>
      </c>
      <c r="BG480">
        <v>167340.8915</v>
      </c>
      <c r="BH480">
        <v>179808.78</v>
      </c>
      <c r="BI480">
        <v>187222.14799999999</v>
      </c>
      <c r="BJ480">
        <v>206328.26500000001</v>
      </c>
      <c r="BK480">
        <v>220390.6225</v>
      </c>
      <c r="BL480">
        <v>239280.00000000009</v>
      </c>
      <c r="BM480">
        <v>298738.61</v>
      </c>
      <c r="BN480">
        <v>365407.64500000002</v>
      </c>
      <c r="BO480">
        <v>399465.49400000001</v>
      </c>
      <c r="BP480">
        <v>515709.15</v>
      </c>
      <c r="BQ480">
        <v>1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 x14ac:dyDescent="0.35">
      <c r="A481">
        <v>348650</v>
      </c>
      <c r="B481" t="s">
        <v>388</v>
      </c>
      <c r="C481" t="s">
        <v>389</v>
      </c>
      <c r="D481" s="1">
        <v>45813</v>
      </c>
      <c r="E481">
        <v>53850</v>
      </c>
      <c r="F481">
        <v>121</v>
      </c>
      <c r="G481" t="s">
        <v>71</v>
      </c>
      <c r="H481" t="s">
        <v>48</v>
      </c>
      <c r="I481" t="s">
        <v>49</v>
      </c>
      <c r="K481" t="s">
        <v>372</v>
      </c>
      <c r="L481">
        <v>1213300002600</v>
      </c>
      <c r="M481">
        <v>20250604</v>
      </c>
      <c r="N481" t="s">
        <v>262</v>
      </c>
      <c r="Q481" t="s">
        <v>58</v>
      </c>
      <c r="R481">
        <v>352979.66</v>
      </c>
      <c r="S481">
        <v>0</v>
      </c>
      <c r="T481">
        <v>4939345</v>
      </c>
      <c r="U481">
        <v>5754810728</v>
      </c>
      <c r="V481" t="s">
        <v>176</v>
      </c>
      <c r="W481" t="s">
        <v>56</v>
      </c>
      <c r="X481" t="s">
        <v>72</v>
      </c>
      <c r="Y481" t="s">
        <v>51</v>
      </c>
      <c r="Z481">
        <v>1058</v>
      </c>
      <c r="AH481">
        <v>0</v>
      </c>
      <c r="AI481">
        <v>202506</v>
      </c>
      <c r="AJ481" t="s">
        <v>169</v>
      </c>
      <c r="AK481">
        <v>1</v>
      </c>
      <c r="AL481">
        <v>1</v>
      </c>
      <c r="AO481">
        <v>1</v>
      </c>
      <c r="AP481">
        <v>463</v>
      </c>
      <c r="AQ481">
        <v>430</v>
      </c>
      <c r="AR481">
        <v>430463</v>
      </c>
      <c r="AS481" t="s">
        <v>61</v>
      </c>
      <c r="AU481" t="s">
        <v>61</v>
      </c>
      <c r="AV481">
        <v>85050</v>
      </c>
      <c r="AW481">
        <v>89030</v>
      </c>
      <c r="AX481">
        <v>91669.203999999998</v>
      </c>
      <c r="AY481">
        <v>93087.394</v>
      </c>
      <c r="AZ481">
        <v>94164.18</v>
      </c>
      <c r="BA481">
        <v>96798.05</v>
      </c>
      <c r="BB481">
        <v>100000</v>
      </c>
      <c r="BC481">
        <v>100000</v>
      </c>
      <c r="BD481">
        <v>101589.726</v>
      </c>
      <c r="BE481">
        <v>106295.712</v>
      </c>
      <c r="BF481">
        <v>110193.28</v>
      </c>
      <c r="BG481">
        <v>119645.424</v>
      </c>
      <c r="BH481">
        <v>127698</v>
      </c>
      <c r="BI481">
        <v>137713.79399999999</v>
      </c>
      <c r="BJ481">
        <v>139806</v>
      </c>
      <c r="BK481">
        <v>150000</v>
      </c>
      <c r="BL481">
        <v>161820.22</v>
      </c>
      <c r="BM481">
        <v>190199.99999999991</v>
      </c>
      <c r="BN481">
        <v>213800</v>
      </c>
      <c r="BO481">
        <v>259913.9999999998</v>
      </c>
      <c r="BP481">
        <v>440000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0</v>
      </c>
    </row>
    <row r="482" spans="1:89" x14ac:dyDescent="0.35">
      <c r="A482">
        <v>348641</v>
      </c>
      <c r="B482" t="s">
        <v>388</v>
      </c>
      <c r="C482" t="s">
        <v>389</v>
      </c>
      <c r="D482" s="1">
        <v>45813</v>
      </c>
      <c r="E482">
        <v>53850</v>
      </c>
      <c r="F482">
        <v>108</v>
      </c>
      <c r="G482" t="s">
        <v>89</v>
      </c>
      <c r="H482" t="s">
        <v>48</v>
      </c>
      <c r="I482" t="s">
        <v>49</v>
      </c>
      <c r="K482" t="s">
        <v>372</v>
      </c>
      <c r="L482">
        <v>1083306291105</v>
      </c>
      <c r="M482">
        <v>20250604</v>
      </c>
      <c r="N482" t="s">
        <v>262</v>
      </c>
      <c r="Q482" t="s">
        <v>58</v>
      </c>
      <c r="R482">
        <v>162227.89000000001</v>
      </c>
      <c r="S482">
        <v>128144.1</v>
      </c>
      <c r="T482">
        <v>4227057</v>
      </c>
      <c r="U482">
        <v>4874620729</v>
      </c>
      <c r="V482" t="s">
        <v>263</v>
      </c>
      <c r="W482" t="s">
        <v>56</v>
      </c>
      <c r="X482" t="s">
        <v>264</v>
      </c>
      <c r="Y482" t="s">
        <v>51</v>
      </c>
      <c r="Z482">
        <v>1058</v>
      </c>
      <c r="AH482">
        <v>0</v>
      </c>
      <c r="AI482">
        <v>202506</v>
      </c>
      <c r="AJ482" t="s">
        <v>169</v>
      </c>
      <c r="AK482">
        <v>1</v>
      </c>
      <c r="AL482">
        <v>1</v>
      </c>
      <c r="AM482">
        <v>4227057</v>
      </c>
      <c r="AN482">
        <v>1</v>
      </c>
      <c r="AO482">
        <v>1</v>
      </c>
      <c r="AP482">
        <v>999</v>
      </c>
      <c r="AQ482">
        <v>430</v>
      </c>
      <c r="AR482">
        <v>430999</v>
      </c>
      <c r="AT482">
        <v>1</v>
      </c>
      <c r="AU482" t="s">
        <v>57</v>
      </c>
      <c r="AV482">
        <v>101552.46</v>
      </c>
      <c r="AW482">
        <v>114647.6485</v>
      </c>
      <c r="AX482">
        <v>118167.008</v>
      </c>
      <c r="AY482">
        <v>123559.05899999999</v>
      </c>
      <c r="AZ482">
        <v>128796.368</v>
      </c>
      <c r="BA482">
        <v>130000</v>
      </c>
      <c r="BB482">
        <v>135819.11300000001</v>
      </c>
      <c r="BC482">
        <v>145008.255</v>
      </c>
      <c r="BD482">
        <v>146226.546</v>
      </c>
      <c r="BE482">
        <v>148171.67300000001</v>
      </c>
      <c r="BF482">
        <v>156533.16500000001</v>
      </c>
      <c r="BG482">
        <v>167340.8915</v>
      </c>
      <c r="BH482">
        <v>179808.78</v>
      </c>
      <c r="BI482">
        <v>187222.14799999999</v>
      </c>
      <c r="BJ482">
        <v>206328.26500000001</v>
      </c>
      <c r="BK482">
        <v>220390.6225</v>
      </c>
      <c r="BL482">
        <v>239280.00000000009</v>
      </c>
      <c r="BM482">
        <v>298738.61</v>
      </c>
      <c r="BN482">
        <v>365407.64500000002</v>
      </c>
      <c r="BO482">
        <v>399465.49400000001</v>
      </c>
      <c r="BP482">
        <v>515709.15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 x14ac:dyDescent="0.35">
      <c r="A483">
        <v>348639</v>
      </c>
      <c r="B483" t="s">
        <v>388</v>
      </c>
      <c r="C483" t="s">
        <v>389</v>
      </c>
      <c r="D483" s="1">
        <v>45813</v>
      </c>
      <c r="E483">
        <v>53850</v>
      </c>
      <c r="F483">
        <v>118</v>
      </c>
      <c r="G483" t="s">
        <v>93</v>
      </c>
      <c r="H483" t="s">
        <v>48</v>
      </c>
      <c r="I483" t="s">
        <v>49</v>
      </c>
      <c r="K483" t="s">
        <v>372</v>
      </c>
      <c r="L483">
        <v>1183306280338</v>
      </c>
      <c r="M483">
        <v>20250604</v>
      </c>
      <c r="N483" t="s">
        <v>262</v>
      </c>
      <c r="Q483" t="s">
        <v>58</v>
      </c>
      <c r="R483">
        <v>120000</v>
      </c>
      <c r="S483">
        <v>0</v>
      </c>
      <c r="T483">
        <v>4979859</v>
      </c>
      <c r="U483">
        <v>8669660725</v>
      </c>
      <c r="V483" t="s">
        <v>518</v>
      </c>
      <c r="W483" t="s">
        <v>56</v>
      </c>
      <c r="X483" t="s">
        <v>519</v>
      </c>
      <c r="Y483" t="s">
        <v>51</v>
      </c>
      <c r="Z483">
        <v>979</v>
      </c>
      <c r="AH483">
        <v>0</v>
      </c>
      <c r="AI483">
        <v>202506</v>
      </c>
      <c r="AJ483" t="s">
        <v>168</v>
      </c>
      <c r="AK483">
        <v>1</v>
      </c>
      <c r="AL483">
        <v>1</v>
      </c>
      <c r="AO483">
        <v>1</v>
      </c>
      <c r="AP483">
        <v>999</v>
      </c>
      <c r="AQ483">
        <v>430</v>
      </c>
      <c r="AR483">
        <v>430999</v>
      </c>
      <c r="AT483">
        <v>1</v>
      </c>
      <c r="AU483" t="s">
        <v>57</v>
      </c>
      <c r="AV483">
        <v>101552.46</v>
      </c>
      <c r="AW483">
        <v>114647.6485</v>
      </c>
      <c r="AX483">
        <v>118167.008</v>
      </c>
      <c r="AY483">
        <v>123559.05899999999</v>
      </c>
      <c r="AZ483">
        <v>128796.368</v>
      </c>
      <c r="BA483">
        <v>130000</v>
      </c>
      <c r="BB483">
        <v>135819.11300000001</v>
      </c>
      <c r="BC483">
        <v>145008.255</v>
      </c>
      <c r="BD483">
        <v>146226.546</v>
      </c>
      <c r="BE483">
        <v>148171.67300000001</v>
      </c>
      <c r="BF483">
        <v>156533.16500000001</v>
      </c>
      <c r="BG483">
        <v>167340.8915</v>
      </c>
      <c r="BH483">
        <v>179808.78</v>
      </c>
      <c r="BI483">
        <v>187222.14799999999</v>
      </c>
      <c r="BJ483">
        <v>206328.26500000001</v>
      </c>
      <c r="BK483">
        <v>220390.6225</v>
      </c>
      <c r="BL483">
        <v>239280.00000000009</v>
      </c>
      <c r="BM483">
        <v>298738.61</v>
      </c>
      <c r="BN483">
        <v>365407.64500000002</v>
      </c>
      <c r="BO483">
        <v>399465.49400000001</v>
      </c>
      <c r="BP483">
        <v>515709.15</v>
      </c>
      <c r="BQ483">
        <v>1</v>
      </c>
      <c r="BR483">
        <v>1</v>
      </c>
      <c r="BS483">
        <v>1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 x14ac:dyDescent="0.35">
      <c r="A484">
        <v>348628</v>
      </c>
      <c r="B484" t="s">
        <v>388</v>
      </c>
      <c r="C484" t="s">
        <v>389</v>
      </c>
      <c r="D484" s="1">
        <v>45812</v>
      </c>
      <c r="E484">
        <v>53850</v>
      </c>
      <c r="F484">
        <v>102</v>
      </c>
      <c r="G484" t="s">
        <v>55</v>
      </c>
      <c r="H484" t="s">
        <v>48</v>
      </c>
      <c r="I484" t="s">
        <v>49</v>
      </c>
      <c r="K484" t="s">
        <v>373</v>
      </c>
      <c r="L484">
        <v>1023300660520</v>
      </c>
      <c r="M484">
        <v>20250603</v>
      </c>
      <c r="N484" t="s">
        <v>262</v>
      </c>
      <c r="Q484" t="s">
        <v>58</v>
      </c>
      <c r="R484">
        <v>143846.70000000001</v>
      </c>
      <c r="S484">
        <v>50325</v>
      </c>
      <c r="T484">
        <v>66052</v>
      </c>
      <c r="U484">
        <v>398110726</v>
      </c>
      <c r="V484" t="s">
        <v>287</v>
      </c>
      <c r="W484" t="s">
        <v>56</v>
      </c>
      <c r="X484" t="s">
        <v>235</v>
      </c>
      <c r="Y484" t="s">
        <v>51</v>
      </c>
      <c r="Z484">
        <v>1203</v>
      </c>
      <c r="AH484">
        <v>0</v>
      </c>
      <c r="AI484">
        <v>202506</v>
      </c>
      <c r="AJ484" t="s">
        <v>169</v>
      </c>
      <c r="AK484">
        <v>1</v>
      </c>
      <c r="AL484">
        <v>1</v>
      </c>
      <c r="AM484">
        <v>66052</v>
      </c>
      <c r="AN484">
        <v>1</v>
      </c>
      <c r="AO484">
        <v>1</v>
      </c>
      <c r="AP484">
        <v>999</v>
      </c>
      <c r="AQ484">
        <v>430</v>
      </c>
      <c r="AR484">
        <v>430999</v>
      </c>
      <c r="AT484">
        <v>1</v>
      </c>
      <c r="AU484" t="s">
        <v>57</v>
      </c>
      <c r="AV484">
        <v>101552.46</v>
      </c>
      <c r="AW484">
        <v>114647.6485</v>
      </c>
      <c r="AX484">
        <v>118167.008</v>
      </c>
      <c r="AY484">
        <v>123559.05899999999</v>
      </c>
      <c r="AZ484">
        <v>128796.368</v>
      </c>
      <c r="BA484">
        <v>130000</v>
      </c>
      <c r="BB484">
        <v>135819.11300000001</v>
      </c>
      <c r="BC484">
        <v>145008.255</v>
      </c>
      <c r="BD484">
        <v>146226.546</v>
      </c>
      <c r="BE484">
        <v>148171.67300000001</v>
      </c>
      <c r="BF484">
        <v>156533.16500000001</v>
      </c>
      <c r="BG484">
        <v>167340.8915</v>
      </c>
      <c r="BH484">
        <v>179808.78</v>
      </c>
      <c r="BI484">
        <v>187222.14799999999</v>
      </c>
      <c r="BJ484">
        <v>206328.26500000001</v>
      </c>
      <c r="BK484">
        <v>220390.6225</v>
      </c>
      <c r="BL484">
        <v>239280.00000000009</v>
      </c>
      <c r="BM484">
        <v>298738.61</v>
      </c>
      <c r="BN484">
        <v>365407.64500000002</v>
      </c>
      <c r="BO484">
        <v>399465.49400000001</v>
      </c>
      <c r="BP484">
        <v>515709.15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 x14ac:dyDescent="0.35">
      <c r="A485">
        <v>348624</v>
      </c>
      <c r="B485" t="s">
        <v>388</v>
      </c>
      <c r="C485" t="s">
        <v>389</v>
      </c>
      <c r="D485" s="1">
        <v>45812</v>
      </c>
      <c r="E485">
        <v>53850</v>
      </c>
      <c r="F485">
        <v>174</v>
      </c>
      <c r="G485" t="s">
        <v>88</v>
      </c>
      <c r="H485" t="s">
        <v>48</v>
      </c>
      <c r="I485" t="s">
        <v>49</v>
      </c>
      <c r="K485" t="s">
        <v>373</v>
      </c>
      <c r="L485">
        <v>1743302879671</v>
      </c>
      <c r="M485">
        <v>20250603</v>
      </c>
      <c r="N485" t="s">
        <v>392</v>
      </c>
      <c r="Q485" t="s">
        <v>58</v>
      </c>
      <c r="R485">
        <v>100752.25</v>
      </c>
      <c r="S485">
        <v>0</v>
      </c>
      <c r="T485">
        <v>4866710</v>
      </c>
      <c r="U485">
        <v>265680728</v>
      </c>
      <c r="V485" t="s">
        <v>398</v>
      </c>
      <c r="W485" t="s">
        <v>56</v>
      </c>
      <c r="X485" t="s">
        <v>399</v>
      </c>
      <c r="Y485" t="s">
        <v>51</v>
      </c>
      <c r="Z485">
        <v>1058</v>
      </c>
      <c r="AH485">
        <v>0</v>
      </c>
      <c r="AI485">
        <v>202506</v>
      </c>
      <c r="AJ485" t="s">
        <v>168</v>
      </c>
      <c r="AK485">
        <v>1</v>
      </c>
      <c r="AL485">
        <v>1</v>
      </c>
      <c r="AO485">
        <v>0</v>
      </c>
      <c r="AP485">
        <v>999</v>
      </c>
      <c r="AQ485">
        <v>430</v>
      </c>
      <c r="AR485">
        <v>430999</v>
      </c>
      <c r="AT485">
        <v>1</v>
      </c>
      <c r="AU485" t="s">
        <v>57</v>
      </c>
      <c r="AV485">
        <v>101552.46</v>
      </c>
      <c r="AW485">
        <v>114647.6485</v>
      </c>
      <c r="AX485">
        <v>118167.008</v>
      </c>
      <c r="AY485">
        <v>123559.05899999999</v>
      </c>
      <c r="AZ485">
        <v>128796.368</v>
      </c>
      <c r="BA485">
        <v>130000</v>
      </c>
      <c r="BB485">
        <v>135819.11300000001</v>
      </c>
      <c r="BC485">
        <v>145008.255</v>
      </c>
      <c r="BD485">
        <v>146226.546</v>
      </c>
      <c r="BE485">
        <v>148171.67300000001</v>
      </c>
      <c r="BF485">
        <v>156533.16500000001</v>
      </c>
      <c r="BG485">
        <v>167340.8915</v>
      </c>
      <c r="BH485">
        <v>179808.78</v>
      </c>
      <c r="BI485">
        <v>187222.14799999999</v>
      </c>
      <c r="BJ485">
        <v>206328.26500000001</v>
      </c>
      <c r="BK485">
        <v>220390.6225</v>
      </c>
      <c r="BL485">
        <v>239280.00000000009</v>
      </c>
      <c r="BM485">
        <v>298738.61</v>
      </c>
      <c r="BN485">
        <v>365407.64500000002</v>
      </c>
      <c r="BO485">
        <v>399465.49400000001</v>
      </c>
      <c r="BP485">
        <v>515709.15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 x14ac:dyDescent="0.35">
      <c r="A486">
        <v>348621</v>
      </c>
      <c r="B486" t="s">
        <v>388</v>
      </c>
      <c r="C486" t="s">
        <v>389</v>
      </c>
      <c r="D486" s="1">
        <v>45812</v>
      </c>
      <c r="E486">
        <v>53850</v>
      </c>
      <c r="F486">
        <v>102</v>
      </c>
      <c r="G486" t="s">
        <v>55</v>
      </c>
      <c r="H486" t="s">
        <v>48</v>
      </c>
      <c r="I486" t="s">
        <v>49</v>
      </c>
      <c r="K486" t="s">
        <v>373</v>
      </c>
      <c r="L486">
        <v>1023306273368</v>
      </c>
      <c r="M486">
        <v>20250603</v>
      </c>
      <c r="N486" t="s">
        <v>262</v>
      </c>
      <c r="Q486" t="s">
        <v>58</v>
      </c>
      <c r="R486">
        <v>43750</v>
      </c>
      <c r="S486">
        <v>0</v>
      </c>
      <c r="T486">
        <v>4120919</v>
      </c>
      <c r="U486" t="s">
        <v>810</v>
      </c>
      <c r="V486" t="s">
        <v>811</v>
      </c>
      <c r="W486" t="s">
        <v>66</v>
      </c>
      <c r="X486" t="s">
        <v>812</v>
      </c>
      <c r="Y486" t="s">
        <v>51</v>
      </c>
      <c r="Z486">
        <v>1306</v>
      </c>
      <c r="AH486">
        <v>0</v>
      </c>
      <c r="AI486">
        <v>202506</v>
      </c>
      <c r="AJ486" t="s">
        <v>168</v>
      </c>
      <c r="AK486">
        <v>1</v>
      </c>
      <c r="AL486">
        <v>1</v>
      </c>
      <c r="AO486">
        <v>1</v>
      </c>
      <c r="AP486">
        <v>952</v>
      </c>
      <c r="AQ486">
        <v>615</v>
      </c>
      <c r="AR486">
        <v>615952</v>
      </c>
      <c r="AS486" t="s">
        <v>270</v>
      </c>
      <c r="AU486" t="s">
        <v>270</v>
      </c>
      <c r="AV486">
        <v>37615</v>
      </c>
      <c r="AW486">
        <v>38129.25</v>
      </c>
      <c r="AX486">
        <v>38617</v>
      </c>
      <c r="AY486">
        <v>38985.5</v>
      </c>
      <c r="AZ486">
        <v>39276</v>
      </c>
      <c r="BA486">
        <v>39430</v>
      </c>
      <c r="BB486">
        <v>39650</v>
      </c>
      <c r="BC486">
        <v>39925</v>
      </c>
      <c r="BD486">
        <v>40004</v>
      </c>
      <c r="BE486">
        <v>40009.5</v>
      </c>
      <c r="BF486">
        <v>40505</v>
      </c>
      <c r="BG486">
        <v>41243.25</v>
      </c>
      <c r="BH486">
        <v>43919</v>
      </c>
      <c r="BI486">
        <v>46035.25</v>
      </c>
      <c r="BJ486">
        <v>46659.5</v>
      </c>
      <c r="BK486">
        <v>48836.25</v>
      </c>
      <c r="BL486">
        <v>52876.000000000007</v>
      </c>
      <c r="BM486">
        <v>56324.25</v>
      </c>
      <c r="BN486">
        <v>59434.5</v>
      </c>
      <c r="BO486">
        <v>63675.005999999987</v>
      </c>
      <c r="BP486">
        <v>68166.679999999993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 x14ac:dyDescent="0.35">
      <c r="A487">
        <v>348619</v>
      </c>
      <c r="B487" t="s">
        <v>388</v>
      </c>
      <c r="C487" t="s">
        <v>389</v>
      </c>
      <c r="D487" s="1">
        <v>45812</v>
      </c>
      <c r="E487">
        <v>53850</v>
      </c>
      <c r="F487">
        <v>128</v>
      </c>
      <c r="G487" t="s">
        <v>274</v>
      </c>
      <c r="H487" t="s">
        <v>48</v>
      </c>
      <c r="I487" t="s">
        <v>49</v>
      </c>
      <c r="K487" t="s">
        <v>373</v>
      </c>
      <c r="L487">
        <v>1283300001665</v>
      </c>
      <c r="M487">
        <v>20250603</v>
      </c>
      <c r="N487" t="s">
        <v>262</v>
      </c>
      <c r="Q487" t="s">
        <v>58</v>
      </c>
      <c r="R487">
        <v>205700.1</v>
      </c>
      <c r="S487">
        <v>0</v>
      </c>
      <c r="T487">
        <v>4254896</v>
      </c>
      <c r="U487">
        <v>6234730726</v>
      </c>
      <c r="V487" t="s">
        <v>410</v>
      </c>
      <c r="W487" t="s">
        <v>56</v>
      </c>
      <c r="X487" t="s">
        <v>411</v>
      </c>
      <c r="Y487" t="s">
        <v>51</v>
      </c>
      <c r="Z487">
        <v>1919</v>
      </c>
      <c r="AH487">
        <v>0</v>
      </c>
      <c r="AI487">
        <v>202506</v>
      </c>
      <c r="AJ487" t="s">
        <v>168</v>
      </c>
      <c r="AK487">
        <v>1</v>
      </c>
      <c r="AL487">
        <v>1</v>
      </c>
      <c r="AO487">
        <v>1</v>
      </c>
      <c r="AP487">
        <v>999</v>
      </c>
      <c r="AQ487">
        <v>430</v>
      </c>
      <c r="AR487">
        <v>430999</v>
      </c>
      <c r="AT487">
        <v>1</v>
      </c>
      <c r="AU487" t="s">
        <v>57</v>
      </c>
      <c r="AV487">
        <v>101552.46</v>
      </c>
      <c r="AW487">
        <v>114647.6485</v>
      </c>
      <c r="AX487">
        <v>118167.008</v>
      </c>
      <c r="AY487">
        <v>123559.05899999999</v>
      </c>
      <c r="AZ487">
        <v>128796.368</v>
      </c>
      <c r="BA487">
        <v>130000</v>
      </c>
      <c r="BB487">
        <v>135819.11300000001</v>
      </c>
      <c r="BC487">
        <v>145008.255</v>
      </c>
      <c r="BD487">
        <v>146226.546</v>
      </c>
      <c r="BE487">
        <v>148171.67300000001</v>
      </c>
      <c r="BF487">
        <v>156533.16500000001</v>
      </c>
      <c r="BG487">
        <v>167340.8915</v>
      </c>
      <c r="BH487">
        <v>179808.78</v>
      </c>
      <c r="BI487">
        <v>187222.14799999999</v>
      </c>
      <c r="BJ487">
        <v>206328.26500000001</v>
      </c>
      <c r="BK487">
        <v>220390.6225</v>
      </c>
      <c r="BL487">
        <v>239280.00000000009</v>
      </c>
      <c r="BM487">
        <v>298738.61</v>
      </c>
      <c r="BN487">
        <v>365407.64500000002</v>
      </c>
      <c r="BO487">
        <v>399465.49400000001</v>
      </c>
      <c r="BP487">
        <v>515709.15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 x14ac:dyDescent="0.35">
      <c r="A488">
        <v>348618</v>
      </c>
      <c r="B488" t="s">
        <v>388</v>
      </c>
      <c r="C488" t="s">
        <v>389</v>
      </c>
      <c r="D488" s="1">
        <v>45812</v>
      </c>
      <c r="E488">
        <v>53850</v>
      </c>
      <c r="F488">
        <v>108</v>
      </c>
      <c r="G488" t="s">
        <v>89</v>
      </c>
      <c r="H488" t="s">
        <v>48</v>
      </c>
      <c r="I488" t="s">
        <v>49</v>
      </c>
      <c r="K488" t="s">
        <v>373</v>
      </c>
      <c r="L488">
        <v>1083300011180</v>
      </c>
      <c r="M488">
        <v>20250603</v>
      </c>
      <c r="N488" t="s">
        <v>262</v>
      </c>
      <c r="Q488" t="s">
        <v>58</v>
      </c>
      <c r="R488">
        <v>149356.09</v>
      </c>
      <c r="S488">
        <v>0</v>
      </c>
      <c r="T488">
        <v>1118</v>
      </c>
      <c r="U488">
        <v>3246700722</v>
      </c>
      <c r="V488" t="s">
        <v>416</v>
      </c>
      <c r="W488" t="s">
        <v>56</v>
      </c>
      <c r="X488" t="s">
        <v>411</v>
      </c>
      <c r="Y488" t="s">
        <v>51</v>
      </c>
      <c r="Z488">
        <v>1058</v>
      </c>
      <c r="AH488">
        <v>0</v>
      </c>
      <c r="AI488">
        <v>202506</v>
      </c>
      <c r="AJ488" t="s">
        <v>168</v>
      </c>
      <c r="AK488">
        <v>1</v>
      </c>
      <c r="AL488">
        <v>1</v>
      </c>
      <c r="AO488">
        <v>1</v>
      </c>
      <c r="AP488">
        <v>999</v>
      </c>
      <c r="AQ488">
        <v>430</v>
      </c>
      <c r="AR488">
        <v>430999</v>
      </c>
      <c r="AT488">
        <v>1</v>
      </c>
      <c r="AU488" t="s">
        <v>57</v>
      </c>
      <c r="AV488">
        <v>101552.46</v>
      </c>
      <c r="AW488">
        <v>114647.6485</v>
      </c>
      <c r="AX488">
        <v>118167.008</v>
      </c>
      <c r="AY488">
        <v>123559.05899999999</v>
      </c>
      <c r="AZ488">
        <v>128796.368</v>
      </c>
      <c r="BA488">
        <v>130000</v>
      </c>
      <c r="BB488">
        <v>135819.11300000001</v>
      </c>
      <c r="BC488">
        <v>145008.255</v>
      </c>
      <c r="BD488">
        <v>146226.546</v>
      </c>
      <c r="BE488">
        <v>148171.67300000001</v>
      </c>
      <c r="BF488">
        <v>156533.16500000001</v>
      </c>
      <c r="BG488">
        <v>167340.8915</v>
      </c>
      <c r="BH488">
        <v>179808.78</v>
      </c>
      <c r="BI488">
        <v>187222.14799999999</v>
      </c>
      <c r="BJ488">
        <v>206328.26500000001</v>
      </c>
      <c r="BK488">
        <v>220390.6225</v>
      </c>
      <c r="BL488">
        <v>239280.00000000009</v>
      </c>
      <c r="BM488">
        <v>298738.61</v>
      </c>
      <c r="BN488">
        <v>365407.64500000002</v>
      </c>
      <c r="BO488">
        <v>399465.49400000001</v>
      </c>
      <c r="BP488">
        <v>515709.15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 x14ac:dyDescent="0.35">
      <c r="A489">
        <v>348617</v>
      </c>
      <c r="B489" t="s">
        <v>388</v>
      </c>
      <c r="C489" t="s">
        <v>389</v>
      </c>
      <c r="D489" s="1">
        <v>45812</v>
      </c>
      <c r="E489">
        <v>53850</v>
      </c>
      <c r="F489">
        <v>116</v>
      </c>
      <c r="G489" t="s">
        <v>259</v>
      </c>
      <c r="H489" t="s">
        <v>48</v>
      </c>
      <c r="I489" t="s">
        <v>49</v>
      </c>
      <c r="K489">
        <v>202506038037062</v>
      </c>
      <c r="L489">
        <v>2343300010453</v>
      </c>
      <c r="M489">
        <v>20250603</v>
      </c>
      <c r="N489" t="s">
        <v>253</v>
      </c>
      <c r="Q489" t="s">
        <v>58</v>
      </c>
      <c r="R489">
        <v>159640.85</v>
      </c>
      <c r="S489">
        <v>159640.85</v>
      </c>
      <c r="T489">
        <v>4247777</v>
      </c>
      <c r="U489">
        <v>233470236</v>
      </c>
      <c r="V489" t="s">
        <v>260</v>
      </c>
      <c r="W489" t="s">
        <v>56</v>
      </c>
      <c r="X489" t="s">
        <v>72</v>
      </c>
      <c r="Y489" t="s">
        <v>51</v>
      </c>
      <c r="Z489">
        <v>1696</v>
      </c>
      <c r="AH489">
        <v>0</v>
      </c>
      <c r="AI489">
        <v>202506</v>
      </c>
      <c r="AJ489" t="s">
        <v>168</v>
      </c>
      <c r="AK489">
        <v>1</v>
      </c>
      <c r="AL489">
        <v>1</v>
      </c>
      <c r="AM489">
        <v>4247777</v>
      </c>
      <c r="AN489">
        <v>1</v>
      </c>
      <c r="AO489">
        <v>0</v>
      </c>
      <c r="AP489">
        <v>463</v>
      </c>
      <c r="AQ489">
        <v>430</v>
      </c>
      <c r="AR489">
        <v>430463</v>
      </c>
      <c r="AS489" t="s">
        <v>61</v>
      </c>
      <c r="AU489" t="s">
        <v>61</v>
      </c>
      <c r="AV489">
        <v>85050</v>
      </c>
      <c r="AW489">
        <v>89030</v>
      </c>
      <c r="AX489">
        <v>91669.203999999998</v>
      </c>
      <c r="AY489">
        <v>93087.394</v>
      </c>
      <c r="AZ489">
        <v>94164.18</v>
      </c>
      <c r="BA489">
        <v>96798.05</v>
      </c>
      <c r="BB489">
        <v>100000</v>
      </c>
      <c r="BC489">
        <v>100000</v>
      </c>
      <c r="BD489">
        <v>101589.726</v>
      </c>
      <c r="BE489">
        <v>106295.712</v>
      </c>
      <c r="BF489">
        <v>110193.28</v>
      </c>
      <c r="BG489">
        <v>119645.424</v>
      </c>
      <c r="BH489">
        <v>127698</v>
      </c>
      <c r="BI489">
        <v>137713.79399999999</v>
      </c>
      <c r="BJ489">
        <v>139806</v>
      </c>
      <c r="BK489">
        <v>150000</v>
      </c>
      <c r="BL489">
        <v>161820.22</v>
      </c>
      <c r="BM489">
        <v>190199.99999999991</v>
      </c>
      <c r="BN489">
        <v>213800</v>
      </c>
      <c r="BO489">
        <v>259913.9999999998</v>
      </c>
      <c r="BP489">
        <v>440000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 x14ac:dyDescent="0.35">
      <c r="A490">
        <v>348612</v>
      </c>
      <c r="B490" t="s">
        <v>388</v>
      </c>
      <c r="C490" t="s">
        <v>389</v>
      </c>
      <c r="D490" s="1">
        <v>45812</v>
      </c>
      <c r="E490">
        <v>53850</v>
      </c>
      <c r="F490">
        <v>128</v>
      </c>
      <c r="G490" t="s">
        <v>274</v>
      </c>
      <c r="H490" t="s">
        <v>48</v>
      </c>
      <c r="I490" t="s">
        <v>49</v>
      </c>
      <c r="K490" t="s">
        <v>373</v>
      </c>
      <c r="L490">
        <v>1093306672844</v>
      </c>
      <c r="M490">
        <v>20250603</v>
      </c>
      <c r="N490" t="s">
        <v>262</v>
      </c>
      <c r="Q490" t="s">
        <v>58</v>
      </c>
      <c r="R490">
        <v>143575</v>
      </c>
      <c r="S490">
        <v>10600</v>
      </c>
      <c r="T490">
        <v>440311</v>
      </c>
      <c r="U490">
        <v>3550290724</v>
      </c>
      <c r="V490" t="s">
        <v>237</v>
      </c>
      <c r="W490" t="s">
        <v>56</v>
      </c>
      <c r="X490" t="s">
        <v>238</v>
      </c>
      <c r="Y490" t="s">
        <v>51</v>
      </c>
      <c r="Z490">
        <v>1903</v>
      </c>
      <c r="AH490">
        <v>0</v>
      </c>
      <c r="AI490">
        <v>202506</v>
      </c>
      <c r="AJ490" t="s">
        <v>169</v>
      </c>
      <c r="AK490">
        <v>1</v>
      </c>
      <c r="AL490">
        <v>1</v>
      </c>
      <c r="AM490">
        <v>440311</v>
      </c>
      <c r="AN490">
        <v>1</v>
      </c>
      <c r="AO490">
        <v>1</v>
      </c>
      <c r="AP490">
        <v>451</v>
      </c>
      <c r="AQ490">
        <v>430</v>
      </c>
      <c r="AR490">
        <v>430451</v>
      </c>
      <c r="AS490" t="s">
        <v>61</v>
      </c>
      <c r="AU490" t="s">
        <v>61</v>
      </c>
      <c r="AV490">
        <v>85050</v>
      </c>
      <c r="AW490">
        <v>89030</v>
      </c>
      <c r="AX490">
        <v>91669.203999999998</v>
      </c>
      <c r="AY490">
        <v>93087.394</v>
      </c>
      <c r="AZ490">
        <v>94164.18</v>
      </c>
      <c r="BA490">
        <v>96798.05</v>
      </c>
      <c r="BB490">
        <v>100000</v>
      </c>
      <c r="BC490">
        <v>100000</v>
      </c>
      <c r="BD490">
        <v>101589.726</v>
      </c>
      <c r="BE490">
        <v>106295.712</v>
      </c>
      <c r="BF490">
        <v>110193.28</v>
      </c>
      <c r="BG490">
        <v>119645.424</v>
      </c>
      <c r="BH490">
        <v>127698</v>
      </c>
      <c r="BI490">
        <v>137713.79399999999</v>
      </c>
      <c r="BJ490">
        <v>139806</v>
      </c>
      <c r="BK490">
        <v>150000</v>
      </c>
      <c r="BL490">
        <v>161820.22</v>
      </c>
      <c r="BM490">
        <v>190199.99999999991</v>
      </c>
      <c r="BN490">
        <v>213800</v>
      </c>
      <c r="BO490">
        <v>259913.9999999998</v>
      </c>
      <c r="BP490">
        <v>440000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 x14ac:dyDescent="0.35">
      <c r="A491">
        <v>348608</v>
      </c>
      <c r="B491" t="s">
        <v>388</v>
      </c>
      <c r="C491" t="s">
        <v>389</v>
      </c>
      <c r="D491" s="1">
        <v>45812</v>
      </c>
      <c r="E491">
        <v>53850</v>
      </c>
      <c r="F491">
        <v>102</v>
      </c>
      <c r="G491" t="s">
        <v>55</v>
      </c>
      <c r="H491" t="s">
        <v>48</v>
      </c>
      <c r="I491" t="s">
        <v>49</v>
      </c>
      <c r="K491">
        <v>202506038037699</v>
      </c>
      <c r="L491">
        <v>1023308722151</v>
      </c>
      <c r="M491">
        <v>20250603</v>
      </c>
      <c r="N491" t="s">
        <v>400</v>
      </c>
      <c r="Q491" t="s">
        <v>58</v>
      </c>
      <c r="R491">
        <v>200000</v>
      </c>
      <c r="S491">
        <v>0</v>
      </c>
      <c r="T491">
        <v>430073</v>
      </c>
      <c r="U491" t="s">
        <v>813</v>
      </c>
      <c r="V491" t="s">
        <v>814</v>
      </c>
      <c r="W491" t="s">
        <v>50</v>
      </c>
      <c r="Y491" t="s">
        <v>51</v>
      </c>
      <c r="Z491">
        <v>1648</v>
      </c>
      <c r="AH491">
        <v>0</v>
      </c>
      <c r="AI491">
        <v>202506</v>
      </c>
      <c r="AJ491" t="s">
        <v>168</v>
      </c>
      <c r="AK491">
        <v>1</v>
      </c>
      <c r="AL491">
        <v>1</v>
      </c>
      <c r="AO491">
        <v>0</v>
      </c>
      <c r="AP491">
        <v>999</v>
      </c>
      <c r="AQ491">
        <v>600</v>
      </c>
      <c r="AR491">
        <v>600999</v>
      </c>
      <c r="AS491" t="s">
        <v>52</v>
      </c>
      <c r="AU491" t="s">
        <v>52</v>
      </c>
      <c r="AV491">
        <v>107500</v>
      </c>
      <c r="AW491">
        <v>109625</v>
      </c>
      <c r="AX491">
        <v>110000</v>
      </c>
      <c r="AY491">
        <v>112750</v>
      </c>
      <c r="AZ491">
        <v>120738</v>
      </c>
      <c r="BA491">
        <v>129508.75</v>
      </c>
      <c r="BB491">
        <v>130380</v>
      </c>
      <c r="BC491">
        <v>133610</v>
      </c>
      <c r="BD491">
        <v>133800</v>
      </c>
      <c r="BE491">
        <v>141080</v>
      </c>
      <c r="BF491">
        <v>147500</v>
      </c>
      <c r="BG491">
        <v>155382.03049999999</v>
      </c>
      <c r="BH491">
        <v>165585.11799999999</v>
      </c>
      <c r="BI491">
        <v>166416.67000000001</v>
      </c>
      <c r="BJ491">
        <v>166416.67000000001</v>
      </c>
      <c r="BK491">
        <v>173582.95749999999</v>
      </c>
      <c r="BL491">
        <v>190388.68799999999</v>
      </c>
      <c r="BM491">
        <v>212150</v>
      </c>
      <c r="BN491">
        <v>283513.16900000011</v>
      </c>
      <c r="BO491">
        <v>415377.23</v>
      </c>
      <c r="BP491">
        <v>415377.23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0</v>
      </c>
      <c r="CI491">
        <v>0</v>
      </c>
      <c r="CJ491">
        <v>0</v>
      </c>
      <c r="CK491">
        <v>0</v>
      </c>
    </row>
    <row r="492" spans="1:89" x14ac:dyDescent="0.35">
      <c r="A492">
        <v>348606</v>
      </c>
      <c r="B492" t="s">
        <v>388</v>
      </c>
      <c r="C492" t="s">
        <v>389</v>
      </c>
      <c r="D492" s="1">
        <v>45812</v>
      </c>
      <c r="E492">
        <v>53850</v>
      </c>
      <c r="F492">
        <v>175</v>
      </c>
      <c r="G492" t="s">
        <v>65</v>
      </c>
      <c r="H492" t="s">
        <v>48</v>
      </c>
      <c r="I492" t="s">
        <v>49</v>
      </c>
      <c r="K492" t="s">
        <v>373</v>
      </c>
      <c r="L492">
        <v>1753302203127</v>
      </c>
      <c r="M492">
        <v>20250603</v>
      </c>
      <c r="N492" t="s">
        <v>262</v>
      </c>
      <c r="Q492" t="s">
        <v>58</v>
      </c>
      <c r="R492">
        <v>120377.64</v>
      </c>
      <c r="S492">
        <v>20695</v>
      </c>
      <c r="T492">
        <v>4160138</v>
      </c>
      <c r="U492">
        <v>484200779</v>
      </c>
      <c r="V492" t="s">
        <v>279</v>
      </c>
      <c r="W492" t="s">
        <v>56</v>
      </c>
      <c r="X492" t="s">
        <v>280</v>
      </c>
      <c r="Y492" t="s">
        <v>51</v>
      </c>
      <c r="Z492">
        <v>739</v>
      </c>
      <c r="AH492">
        <v>0</v>
      </c>
      <c r="AI492">
        <v>202506</v>
      </c>
      <c r="AJ492" t="s">
        <v>168</v>
      </c>
      <c r="AK492">
        <v>1</v>
      </c>
      <c r="AL492">
        <v>1</v>
      </c>
      <c r="AM492">
        <v>4160138</v>
      </c>
      <c r="AN492">
        <v>1</v>
      </c>
      <c r="AO492">
        <v>1</v>
      </c>
      <c r="AP492">
        <v>999</v>
      </c>
      <c r="AQ492">
        <v>430</v>
      </c>
      <c r="AR492">
        <v>430999</v>
      </c>
      <c r="AT492">
        <v>1</v>
      </c>
      <c r="AU492" t="s">
        <v>57</v>
      </c>
      <c r="AV492">
        <v>101552.46</v>
      </c>
      <c r="AW492">
        <v>114647.6485</v>
      </c>
      <c r="AX492">
        <v>118167.008</v>
      </c>
      <c r="AY492">
        <v>123559.05899999999</v>
      </c>
      <c r="AZ492">
        <v>128796.368</v>
      </c>
      <c r="BA492">
        <v>130000</v>
      </c>
      <c r="BB492">
        <v>135819.11300000001</v>
      </c>
      <c r="BC492">
        <v>145008.255</v>
      </c>
      <c r="BD492">
        <v>146226.546</v>
      </c>
      <c r="BE492">
        <v>148171.67300000001</v>
      </c>
      <c r="BF492">
        <v>156533.16500000001</v>
      </c>
      <c r="BG492">
        <v>167340.8915</v>
      </c>
      <c r="BH492">
        <v>179808.78</v>
      </c>
      <c r="BI492">
        <v>187222.14799999999</v>
      </c>
      <c r="BJ492">
        <v>206328.26500000001</v>
      </c>
      <c r="BK492">
        <v>220390.6225</v>
      </c>
      <c r="BL492">
        <v>239280.00000000009</v>
      </c>
      <c r="BM492">
        <v>298738.61</v>
      </c>
      <c r="BN492">
        <v>365407.64500000002</v>
      </c>
      <c r="BO492">
        <v>399465.49400000001</v>
      </c>
      <c r="BP492">
        <v>515709.15</v>
      </c>
      <c r="BQ492">
        <v>1</v>
      </c>
      <c r="BR492">
        <v>1</v>
      </c>
      <c r="BS492">
        <v>1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 x14ac:dyDescent="0.35">
      <c r="A493">
        <v>348599</v>
      </c>
      <c r="B493" t="s">
        <v>388</v>
      </c>
      <c r="C493" t="s">
        <v>389</v>
      </c>
      <c r="D493" s="1">
        <v>45812</v>
      </c>
      <c r="E493">
        <v>53850</v>
      </c>
      <c r="F493">
        <v>114</v>
      </c>
      <c r="G493" t="s">
        <v>267</v>
      </c>
      <c r="H493" t="s">
        <v>48</v>
      </c>
      <c r="I493" t="s">
        <v>49</v>
      </c>
      <c r="K493" t="s">
        <v>373</v>
      </c>
      <c r="L493">
        <v>1143306280621</v>
      </c>
      <c r="M493">
        <v>20250603</v>
      </c>
      <c r="N493" t="s">
        <v>265</v>
      </c>
      <c r="Q493" t="s">
        <v>58</v>
      </c>
      <c r="R493">
        <v>85150</v>
      </c>
      <c r="S493">
        <v>85150</v>
      </c>
      <c r="T493">
        <v>4658875</v>
      </c>
      <c r="U493">
        <v>3230890711</v>
      </c>
      <c r="V493" t="s">
        <v>324</v>
      </c>
      <c r="W493" t="s">
        <v>56</v>
      </c>
      <c r="X493" t="s">
        <v>80</v>
      </c>
      <c r="Y493" t="s">
        <v>51</v>
      </c>
      <c r="Z493">
        <v>870</v>
      </c>
      <c r="AH493">
        <v>0</v>
      </c>
      <c r="AI493">
        <v>202506</v>
      </c>
      <c r="AJ493" t="s">
        <v>63</v>
      </c>
      <c r="AK493">
        <v>0</v>
      </c>
      <c r="AL493">
        <v>1</v>
      </c>
      <c r="AM493">
        <v>4658875</v>
      </c>
      <c r="AN493">
        <v>1</v>
      </c>
      <c r="AO493">
        <v>0</v>
      </c>
      <c r="AP493">
        <v>477</v>
      </c>
      <c r="AQ493">
        <v>430</v>
      </c>
      <c r="AR493">
        <v>430477</v>
      </c>
      <c r="AS493" t="s">
        <v>61</v>
      </c>
      <c r="AU493" t="s">
        <v>61</v>
      </c>
      <c r="AV493">
        <v>85050</v>
      </c>
      <c r="AW493">
        <v>89030</v>
      </c>
      <c r="AX493">
        <v>91669.203999999998</v>
      </c>
      <c r="AY493">
        <v>93087.394</v>
      </c>
      <c r="AZ493">
        <v>94164.18</v>
      </c>
      <c r="BA493">
        <v>96798.05</v>
      </c>
      <c r="BB493">
        <v>100000</v>
      </c>
      <c r="BC493">
        <v>100000</v>
      </c>
      <c r="BD493">
        <v>101589.726</v>
      </c>
      <c r="BE493">
        <v>106295.712</v>
      </c>
      <c r="BF493">
        <v>110193.28</v>
      </c>
      <c r="BG493">
        <v>119645.424</v>
      </c>
      <c r="BH493">
        <v>127698</v>
      </c>
      <c r="BI493">
        <v>137713.79399999999</v>
      </c>
      <c r="BJ493">
        <v>139806</v>
      </c>
      <c r="BK493">
        <v>150000</v>
      </c>
      <c r="BL493">
        <v>161820.22</v>
      </c>
      <c r="BM493">
        <v>190199.99999999991</v>
      </c>
      <c r="BN493">
        <v>213800</v>
      </c>
      <c r="BO493">
        <v>259913.9999999998</v>
      </c>
      <c r="BP493">
        <v>440000</v>
      </c>
      <c r="BQ493">
        <v>1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 x14ac:dyDescent="0.35">
      <c r="A494">
        <v>348585</v>
      </c>
      <c r="B494" t="s">
        <v>388</v>
      </c>
      <c r="C494" t="s">
        <v>389</v>
      </c>
      <c r="D494" s="1">
        <v>45812</v>
      </c>
      <c r="E494">
        <v>53850</v>
      </c>
      <c r="F494">
        <v>104</v>
      </c>
      <c r="G494" t="s">
        <v>53</v>
      </c>
      <c r="H494" t="s">
        <v>48</v>
      </c>
      <c r="I494" t="s">
        <v>49</v>
      </c>
      <c r="K494">
        <v>202506038037778</v>
      </c>
      <c r="L494">
        <v>1043301449156</v>
      </c>
      <c r="M494">
        <v>20250603</v>
      </c>
      <c r="N494" t="s">
        <v>392</v>
      </c>
      <c r="Q494" t="s">
        <v>58</v>
      </c>
      <c r="R494">
        <v>125646.6</v>
      </c>
      <c r="S494">
        <v>0</v>
      </c>
      <c r="T494">
        <v>15014</v>
      </c>
      <c r="U494">
        <v>252860721</v>
      </c>
      <c r="V494" t="s">
        <v>406</v>
      </c>
      <c r="W494" t="s">
        <v>56</v>
      </c>
      <c r="X494" t="s">
        <v>391</v>
      </c>
      <c r="Y494" t="s">
        <v>51</v>
      </c>
      <c r="Z494">
        <v>1696</v>
      </c>
      <c r="AH494">
        <v>0</v>
      </c>
      <c r="AI494">
        <v>202506</v>
      </c>
      <c r="AJ494" t="s">
        <v>177</v>
      </c>
      <c r="AK494">
        <v>1</v>
      </c>
      <c r="AL494">
        <v>1</v>
      </c>
      <c r="AO494">
        <v>0</v>
      </c>
      <c r="AP494">
        <v>999</v>
      </c>
      <c r="AQ494">
        <v>430</v>
      </c>
      <c r="AR494">
        <v>430999</v>
      </c>
      <c r="AT494">
        <v>1</v>
      </c>
      <c r="AU494" t="s">
        <v>57</v>
      </c>
      <c r="AV494">
        <v>101552.46</v>
      </c>
      <c r="AW494">
        <v>114647.6485</v>
      </c>
      <c r="AX494">
        <v>118167.008</v>
      </c>
      <c r="AY494">
        <v>123559.05899999999</v>
      </c>
      <c r="AZ494">
        <v>128796.368</v>
      </c>
      <c r="BA494">
        <v>130000</v>
      </c>
      <c r="BB494">
        <v>135819.11300000001</v>
      </c>
      <c r="BC494">
        <v>145008.255</v>
      </c>
      <c r="BD494">
        <v>146226.546</v>
      </c>
      <c r="BE494">
        <v>148171.67300000001</v>
      </c>
      <c r="BF494">
        <v>156533.16500000001</v>
      </c>
      <c r="BG494">
        <v>167340.8915</v>
      </c>
      <c r="BH494">
        <v>179808.78</v>
      </c>
      <c r="BI494">
        <v>187222.14799999999</v>
      </c>
      <c r="BJ494">
        <v>206328.26500000001</v>
      </c>
      <c r="BK494">
        <v>220390.6225</v>
      </c>
      <c r="BL494">
        <v>239280.00000000009</v>
      </c>
      <c r="BM494">
        <v>298738.61</v>
      </c>
      <c r="BN494">
        <v>365407.64500000002</v>
      </c>
      <c r="BO494">
        <v>399465.49400000001</v>
      </c>
      <c r="BP494">
        <v>515709.15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 x14ac:dyDescent="0.35">
      <c r="A495">
        <v>348584</v>
      </c>
      <c r="B495" t="s">
        <v>388</v>
      </c>
      <c r="C495" t="s">
        <v>389</v>
      </c>
      <c r="D495" s="1">
        <v>45812</v>
      </c>
      <c r="E495">
        <v>53850</v>
      </c>
      <c r="F495">
        <v>192</v>
      </c>
      <c r="G495" t="s">
        <v>73</v>
      </c>
      <c r="H495" t="s">
        <v>48</v>
      </c>
      <c r="I495" t="s">
        <v>49</v>
      </c>
      <c r="K495" t="s">
        <v>373</v>
      </c>
      <c r="L495">
        <v>1923300180351</v>
      </c>
      <c r="M495">
        <v>20250603</v>
      </c>
      <c r="N495" t="s">
        <v>392</v>
      </c>
      <c r="Q495" t="s">
        <v>58</v>
      </c>
      <c r="R495">
        <v>171008.36</v>
      </c>
      <c r="S495">
        <v>0</v>
      </c>
      <c r="T495">
        <v>4365602</v>
      </c>
      <c r="U495">
        <v>2514190731</v>
      </c>
      <c r="V495" t="s">
        <v>403</v>
      </c>
      <c r="W495" t="s">
        <v>56</v>
      </c>
      <c r="X495" t="s">
        <v>87</v>
      </c>
      <c r="Y495" t="s">
        <v>51</v>
      </c>
      <c r="Z495">
        <v>1066</v>
      </c>
      <c r="AH495">
        <v>0</v>
      </c>
      <c r="AI495">
        <v>202506</v>
      </c>
      <c r="AJ495" t="s">
        <v>168</v>
      </c>
      <c r="AK495">
        <v>1</v>
      </c>
      <c r="AL495">
        <v>1</v>
      </c>
      <c r="AO495">
        <v>0</v>
      </c>
      <c r="AP495">
        <v>999</v>
      </c>
      <c r="AQ495">
        <v>430</v>
      </c>
      <c r="AR495">
        <v>430999</v>
      </c>
      <c r="AT495">
        <v>1</v>
      </c>
      <c r="AU495" t="s">
        <v>57</v>
      </c>
      <c r="AV495">
        <v>101552.46</v>
      </c>
      <c r="AW495">
        <v>114647.6485</v>
      </c>
      <c r="AX495">
        <v>118167.008</v>
      </c>
      <c r="AY495">
        <v>123559.05899999999</v>
      </c>
      <c r="AZ495">
        <v>128796.368</v>
      </c>
      <c r="BA495">
        <v>130000</v>
      </c>
      <c r="BB495">
        <v>135819.11300000001</v>
      </c>
      <c r="BC495">
        <v>145008.255</v>
      </c>
      <c r="BD495">
        <v>146226.546</v>
      </c>
      <c r="BE495">
        <v>148171.67300000001</v>
      </c>
      <c r="BF495">
        <v>156533.16500000001</v>
      </c>
      <c r="BG495">
        <v>167340.8915</v>
      </c>
      <c r="BH495">
        <v>179808.78</v>
      </c>
      <c r="BI495">
        <v>187222.14799999999</v>
      </c>
      <c r="BJ495">
        <v>206328.26500000001</v>
      </c>
      <c r="BK495">
        <v>220390.6225</v>
      </c>
      <c r="BL495">
        <v>239280.00000000009</v>
      </c>
      <c r="BM495">
        <v>298738.61</v>
      </c>
      <c r="BN495">
        <v>365407.64500000002</v>
      </c>
      <c r="BO495">
        <v>399465.49400000001</v>
      </c>
      <c r="BP495">
        <v>515709.15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 x14ac:dyDescent="0.35">
      <c r="A496">
        <v>348582</v>
      </c>
      <c r="B496" t="s">
        <v>388</v>
      </c>
      <c r="C496" t="s">
        <v>389</v>
      </c>
      <c r="D496" s="1">
        <v>45812</v>
      </c>
      <c r="E496">
        <v>53850</v>
      </c>
      <c r="F496">
        <v>268</v>
      </c>
      <c r="G496" t="s">
        <v>178</v>
      </c>
      <c r="H496" t="s">
        <v>48</v>
      </c>
      <c r="I496" t="s">
        <v>49</v>
      </c>
      <c r="K496">
        <v>202506038038380</v>
      </c>
      <c r="L496">
        <v>2683300006704</v>
      </c>
      <c r="M496">
        <v>20250603</v>
      </c>
      <c r="N496" t="s">
        <v>392</v>
      </c>
      <c r="Q496" t="s">
        <v>58</v>
      </c>
      <c r="R496">
        <v>87295.47</v>
      </c>
      <c r="S496">
        <v>0</v>
      </c>
      <c r="T496">
        <v>1705138</v>
      </c>
      <c r="U496">
        <v>3015600798</v>
      </c>
      <c r="V496" t="s">
        <v>685</v>
      </c>
      <c r="W496" t="s">
        <v>56</v>
      </c>
      <c r="X496" t="s">
        <v>686</v>
      </c>
      <c r="Y496" t="s">
        <v>51</v>
      </c>
      <c r="Z496">
        <v>1891</v>
      </c>
      <c r="AH496">
        <v>0</v>
      </c>
      <c r="AI496">
        <v>202506</v>
      </c>
      <c r="AJ496" t="s">
        <v>168</v>
      </c>
      <c r="AK496">
        <v>1</v>
      </c>
      <c r="AL496">
        <v>1</v>
      </c>
      <c r="AO496">
        <v>0</v>
      </c>
      <c r="AP496">
        <v>431</v>
      </c>
      <c r="AQ496">
        <v>430</v>
      </c>
      <c r="AR496">
        <v>430431</v>
      </c>
      <c r="AS496" t="s">
        <v>61</v>
      </c>
      <c r="AU496" t="s">
        <v>61</v>
      </c>
      <c r="AV496">
        <v>85050</v>
      </c>
      <c r="AW496">
        <v>89030</v>
      </c>
      <c r="AX496">
        <v>91669.203999999998</v>
      </c>
      <c r="AY496">
        <v>93087.394</v>
      </c>
      <c r="AZ496">
        <v>94164.18</v>
      </c>
      <c r="BA496">
        <v>96798.05</v>
      </c>
      <c r="BB496">
        <v>100000</v>
      </c>
      <c r="BC496">
        <v>100000</v>
      </c>
      <c r="BD496">
        <v>101589.726</v>
      </c>
      <c r="BE496">
        <v>106295.712</v>
      </c>
      <c r="BF496">
        <v>110193.28</v>
      </c>
      <c r="BG496">
        <v>119645.424</v>
      </c>
      <c r="BH496">
        <v>127698</v>
      </c>
      <c r="BI496">
        <v>137713.79399999999</v>
      </c>
      <c r="BJ496">
        <v>139806</v>
      </c>
      <c r="BK496">
        <v>150000</v>
      </c>
      <c r="BL496">
        <v>161820.22</v>
      </c>
      <c r="BM496">
        <v>190199.99999999991</v>
      </c>
      <c r="BN496">
        <v>213800</v>
      </c>
      <c r="BO496">
        <v>259913.9999999998</v>
      </c>
      <c r="BP496">
        <v>440000</v>
      </c>
      <c r="BQ496">
        <v>1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 x14ac:dyDescent="0.35">
      <c r="A497">
        <v>348578</v>
      </c>
      <c r="B497" t="s">
        <v>388</v>
      </c>
      <c r="C497" t="s">
        <v>389</v>
      </c>
      <c r="D497" s="1">
        <v>45812</v>
      </c>
      <c r="E497">
        <v>53850</v>
      </c>
      <c r="F497">
        <v>161</v>
      </c>
      <c r="G497" t="s">
        <v>95</v>
      </c>
      <c r="H497" t="s">
        <v>48</v>
      </c>
      <c r="I497" t="s">
        <v>49</v>
      </c>
      <c r="K497">
        <v>202506038038064</v>
      </c>
      <c r="L497">
        <v>1613300032598</v>
      </c>
      <c r="M497">
        <v>20250603</v>
      </c>
      <c r="N497" t="s">
        <v>392</v>
      </c>
      <c r="Q497" t="s">
        <v>58</v>
      </c>
      <c r="R497">
        <v>209289.79</v>
      </c>
      <c r="S497">
        <v>0</v>
      </c>
      <c r="T497">
        <v>4103078</v>
      </c>
      <c r="U497">
        <v>272810722</v>
      </c>
      <c r="V497" t="s">
        <v>614</v>
      </c>
      <c r="W497" t="s">
        <v>56</v>
      </c>
      <c r="X497" t="s">
        <v>294</v>
      </c>
      <c r="Y497" t="s">
        <v>51</v>
      </c>
      <c r="Z497">
        <v>1903</v>
      </c>
      <c r="AH497">
        <v>0</v>
      </c>
      <c r="AI497">
        <v>202506</v>
      </c>
      <c r="AJ497" t="s">
        <v>169</v>
      </c>
      <c r="AK497">
        <v>1</v>
      </c>
      <c r="AL497">
        <v>1</v>
      </c>
      <c r="AO497">
        <v>0</v>
      </c>
      <c r="AP497">
        <v>999</v>
      </c>
      <c r="AQ497">
        <v>430</v>
      </c>
      <c r="AR497">
        <v>430999</v>
      </c>
      <c r="AT497">
        <v>1</v>
      </c>
      <c r="AU497" t="s">
        <v>57</v>
      </c>
      <c r="AV497">
        <v>101552.46</v>
      </c>
      <c r="AW497">
        <v>114647.6485</v>
      </c>
      <c r="AX497">
        <v>118167.008</v>
      </c>
      <c r="AY497">
        <v>123559.05899999999</v>
      </c>
      <c r="AZ497">
        <v>128796.368</v>
      </c>
      <c r="BA497">
        <v>130000</v>
      </c>
      <c r="BB497">
        <v>135819.11300000001</v>
      </c>
      <c r="BC497">
        <v>145008.255</v>
      </c>
      <c r="BD497">
        <v>146226.546</v>
      </c>
      <c r="BE497">
        <v>148171.67300000001</v>
      </c>
      <c r="BF497">
        <v>156533.16500000001</v>
      </c>
      <c r="BG497">
        <v>167340.8915</v>
      </c>
      <c r="BH497">
        <v>179808.78</v>
      </c>
      <c r="BI497">
        <v>187222.14799999999</v>
      </c>
      <c r="BJ497">
        <v>206328.26500000001</v>
      </c>
      <c r="BK497">
        <v>220390.6225</v>
      </c>
      <c r="BL497">
        <v>239280.00000000009</v>
      </c>
      <c r="BM497">
        <v>298738.61</v>
      </c>
      <c r="BN497">
        <v>365407.64500000002</v>
      </c>
      <c r="BO497">
        <v>399465.49400000001</v>
      </c>
      <c r="BP497">
        <v>515709.15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 x14ac:dyDescent="0.35">
      <c r="A498">
        <v>348576</v>
      </c>
      <c r="B498" t="s">
        <v>388</v>
      </c>
      <c r="C498" t="s">
        <v>389</v>
      </c>
      <c r="D498" s="1">
        <v>45812</v>
      </c>
      <c r="E498">
        <v>53850</v>
      </c>
      <c r="F498">
        <v>102</v>
      </c>
      <c r="G498" t="s">
        <v>55</v>
      </c>
      <c r="H498" t="s">
        <v>48</v>
      </c>
      <c r="I498" t="s">
        <v>49</v>
      </c>
      <c r="K498">
        <v>202506038037699</v>
      </c>
      <c r="L498">
        <v>1023308722151</v>
      </c>
      <c r="M498">
        <v>20250603</v>
      </c>
      <c r="N498" t="s">
        <v>400</v>
      </c>
      <c r="Q498" t="s">
        <v>58</v>
      </c>
      <c r="R498">
        <v>200000</v>
      </c>
      <c r="S498">
        <v>0</v>
      </c>
      <c r="T498">
        <v>545860</v>
      </c>
      <c r="U498" t="s">
        <v>815</v>
      </c>
      <c r="V498" t="s">
        <v>816</v>
      </c>
      <c r="W498" t="s">
        <v>50</v>
      </c>
      <c r="Y498" t="s">
        <v>51</v>
      </c>
      <c r="Z498">
        <v>1648</v>
      </c>
      <c r="AH498">
        <v>0</v>
      </c>
      <c r="AI498">
        <v>202506</v>
      </c>
      <c r="AJ498" t="s">
        <v>168</v>
      </c>
      <c r="AK498">
        <v>1</v>
      </c>
      <c r="AL498">
        <v>1</v>
      </c>
      <c r="AO498">
        <v>0</v>
      </c>
      <c r="AP498">
        <v>999</v>
      </c>
      <c r="AQ498">
        <v>600</v>
      </c>
      <c r="AR498">
        <v>600999</v>
      </c>
      <c r="AS498" t="s">
        <v>52</v>
      </c>
      <c r="AU498" t="s">
        <v>52</v>
      </c>
      <c r="AV498">
        <v>107500</v>
      </c>
      <c r="AW498">
        <v>109625</v>
      </c>
      <c r="AX498">
        <v>110000</v>
      </c>
      <c r="AY498">
        <v>112750</v>
      </c>
      <c r="AZ498">
        <v>120738</v>
      </c>
      <c r="BA498">
        <v>129508.75</v>
      </c>
      <c r="BB498">
        <v>130380</v>
      </c>
      <c r="BC498">
        <v>133610</v>
      </c>
      <c r="BD498">
        <v>133800</v>
      </c>
      <c r="BE498">
        <v>141080</v>
      </c>
      <c r="BF498">
        <v>147500</v>
      </c>
      <c r="BG498">
        <v>155382.03049999999</v>
      </c>
      <c r="BH498">
        <v>165585.11799999999</v>
      </c>
      <c r="BI498">
        <v>166416.67000000001</v>
      </c>
      <c r="BJ498">
        <v>166416.67000000001</v>
      </c>
      <c r="BK498">
        <v>173582.95749999999</v>
      </c>
      <c r="BL498">
        <v>190388.68799999999</v>
      </c>
      <c r="BM498">
        <v>212150</v>
      </c>
      <c r="BN498">
        <v>283513.16900000011</v>
      </c>
      <c r="BO498">
        <v>415377.23</v>
      </c>
      <c r="BP498">
        <v>415377.23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0</v>
      </c>
      <c r="CI498">
        <v>0</v>
      </c>
      <c r="CJ498">
        <v>0</v>
      </c>
      <c r="CK498">
        <v>0</v>
      </c>
    </row>
    <row r="499" spans="1:89" x14ac:dyDescent="0.35">
      <c r="A499">
        <v>348574</v>
      </c>
      <c r="B499" t="s">
        <v>388</v>
      </c>
      <c r="C499" t="s">
        <v>389</v>
      </c>
      <c r="D499" s="1">
        <v>45812</v>
      </c>
      <c r="E499">
        <v>53850</v>
      </c>
      <c r="F499">
        <v>188</v>
      </c>
      <c r="G499" t="s">
        <v>352</v>
      </c>
      <c r="H499" t="s">
        <v>48</v>
      </c>
      <c r="I499" t="s">
        <v>49</v>
      </c>
      <c r="K499">
        <v>202506038038229</v>
      </c>
      <c r="L499">
        <v>1883300051430</v>
      </c>
      <c r="M499">
        <v>20250603</v>
      </c>
      <c r="N499" t="s">
        <v>400</v>
      </c>
      <c r="Q499" t="s">
        <v>58</v>
      </c>
      <c r="R499">
        <v>120000</v>
      </c>
      <c r="S499">
        <v>0</v>
      </c>
      <c r="T499">
        <v>3002696</v>
      </c>
      <c r="U499" t="s">
        <v>817</v>
      </c>
      <c r="V499" t="s">
        <v>818</v>
      </c>
      <c r="W499" t="s">
        <v>50</v>
      </c>
      <c r="Y499" t="s">
        <v>51</v>
      </c>
      <c r="Z499">
        <v>1112</v>
      </c>
      <c r="AH499">
        <v>0</v>
      </c>
      <c r="AI499">
        <v>202506</v>
      </c>
      <c r="AJ499" t="s">
        <v>168</v>
      </c>
      <c r="AK499">
        <v>1</v>
      </c>
      <c r="AL499">
        <v>1</v>
      </c>
      <c r="AO499">
        <v>0</v>
      </c>
      <c r="AP499">
        <v>999</v>
      </c>
      <c r="AQ499">
        <v>600</v>
      </c>
      <c r="AR499">
        <v>600999</v>
      </c>
      <c r="AS499" t="s">
        <v>52</v>
      </c>
      <c r="AU499" t="s">
        <v>52</v>
      </c>
      <c r="AV499">
        <v>107500</v>
      </c>
      <c r="AW499">
        <v>109625</v>
      </c>
      <c r="AX499">
        <v>110000</v>
      </c>
      <c r="AY499">
        <v>112750</v>
      </c>
      <c r="AZ499">
        <v>120738</v>
      </c>
      <c r="BA499">
        <v>129508.75</v>
      </c>
      <c r="BB499">
        <v>130380</v>
      </c>
      <c r="BC499">
        <v>133610</v>
      </c>
      <c r="BD499">
        <v>133800</v>
      </c>
      <c r="BE499">
        <v>141080</v>
      </c>
      <c r="BF499">
        <v>147500</v>
      </c>
      <c r="BG499">
        <v>155382.03049999999</v>
      </c>
      <c r="BH499">
        <v>165585.11799999999</v>
      </c>
      <c r="BI499">
        <v>166416.67000000001</v>
      </c>
      <c r="BJ499">
        <v>166416.67000000001</v>
      </c>
      <c r="BK499">
        <v>173582.95749999999</v>
      </c>
      <c r="BL499">
        <v>190388.68799999999</v>
      </c>
      <c r="BM499">
        <v>212150</v>
      </c>
      <c r="BN499">
        <v>283513.16900000011</v>
      </c>
      <c r="BO499">
        <v>415377.23</v>
      </c>
      <c r="BP499">
        <v>415377.23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 x14ac:dyDescent="0.35">
      <c r="A500">
        <v>348571</v>
      </c>
      <c r="B500" t="s">
        <v>388</v>
      </c>
      <c r="C500" t="s">
        <v>389</v>
      </c>
      <c r="D500" s="1">
        <v>45812</v>
      </c>
      <c r="E500">
        <v>53850</v>
      </c>
      <c r="F500">
        <v>161</v>
      </c>
      <c r="G500" t="s">
        <v>95</v>
      </c>
      <c r="H500" t="s">
        <v>48</v>
      </c>
      <c r="I500" t="s">
        <v>49</v>
      </c>
      <c r="K500" t="s">
        <v>373</v>
      </c>
      <c r="L500">
        <v>1613300029653</v>
      </c>
      <c r="M500">
        <v>20250603</v>
      </c>
      <c r="N500" t="s">
        <v>262</v>
      </c>
      <c r="Q500" t="s">
        <v>58</v>
      </c>
      <c r="R500">
        <v>182944.14</v>
      </c>
      <c r="S500">
        <v>0</v>
      </c>
      <c r="T500">
        <v>4088769</v>
      </c>
      <c r="U500">
        <v>5150120722</v>
      </c>
      <c r="V500" t="s">
        <v>407</v>
      </c>
      <c r="W500" t="s">
        <v>56</v>
      </c>
      <c r="X500" t="s">
        <v>78</v>
      </c>
      <c r="Y500" t="s">
        <v>51</v>
      </c>
      <c r="Z500">
        <v>1903</v>
      </c>
      <c r="AH500">
        <v>0</v>
      </c>
      <c r="AI500">
        <v>202506</v>
      </c>
      <c r="AJ500" t="s">
        <v>63</v>
      </c>
      <c r="AK500">
        <v>0</v>
      </c>
      <c r="AL500">
        <v>1</v>
      </c>
      <c r="AM500">
        <v>4088769</v>
      </c>
      <c r="AN500">
        <v>1</v>
      </c>
      <c r="AO500">
        <v>1</v>
      </c>
      <c r="AP500">
        <v>464</v>
      </c>
      <c r="AQ500">
        <v>430</v>
      </c>
      <c r="AR500">
        <v>430464</v>
      </c>
      <c r="AS500" t="s">
        <v>79</v>
      </c>
      <c r="AU500" t="s">
        <v>79</v>
      </c>
      <c r="AV500">
        <v>76382.789999999994</v>
      </c>
      <c r="AW500">
        <v>79891.56</v>
      </c>
      <c r="AX500">
        <v>79937.08</v>
      </c>
      <c r="AY500">
        <v>88865.89</v>
      </c>
      <c r="AZ500">
        <v>94634.78</v>
      </c>
      <c r="BA500">
        <v>97229.53</v>
      </c>
      <c r="BB500">
        <v>98360.01</v>
      </c>
      <c r="BC500">
        <v>100000</v>
      </c>
      <c r="BD500">
        <v>104738.68</v>
      </c>
      <c r="BE500">
        <v>108176.82</v>
      </c>
      <c r="BF500">
        <v>110891.36</v>
      </c>
      <c r="BG500">
        <v>115427.47</v>
      </c>
      <c r="BH500">
        <v>118009.65</v>
      </c>
      <c r="BI500">
        <v>136718.03</v>
      </c>
      <c r="BJ500">
        <v>148758.49</v>
      </c>
      <c r="BK500">
        <v>182944.14</v>
      </c>
      <c r="BL500">
        <v>217448.27</v>
      </c>
      <c r="BM500">
        <v>222704.65</v>
      </c>
      <c r="BN500">
        <v>225130.1</v>
      </c>
      <c r="BO500">
        <v>259946.2</v>
      </c>
      <c r="BP500">
        <v>270019.89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 x14ac:dyDescent="0.35">
      <c r="A501">
        <v>348570</v>
      </c>
      <c r="B501" t="s">
        <v>388</v>
      </c>
      <c r="C501" t="s">
        <v>389</v>
      </c>
      <c r="D501" s="1">
        <v>45812</v>
      </c>
      <c r="E501">
        <v>53850</v>
      </c>
      <c r="F501">
        <v>287</v>
      </c>
      <c r="G501" t="s">
        <v>301</v>
      </c>
      <c r="H501" t="s">
        <v>48</v>
      </c>
      <c r="I501" t="s">
        <v>49</v>
      </c>
      <c r="K501" t="s">
        <v>373</v>
      </c>
      <c r="L501">
        <v>2873300001853</v>
      </c>
      <c r="M501">
        <v>20250603</v>
      </c>
      <c r="N501" t="s">
        <v>262</v>
      </c>
      <c r="Q501" t="s">
        <v>58</v>
      </c>
      <c r="R501">
        <v>153971.35</v>
      </c>
      <c r="S501">
        <v>100735</v>
      </c>
      <c r="T501">
        <v>3722213</v>
      </c>
      <c r="U501">
        <v>2021570698</v>
      </c>
      <c r="V501" t="s">
        <v>302</v>
      </c>
      <c r="W501" t="s">
        <v>56</v>
      </c>
      <c r="X501" t="s">
        <v>72</v>
      </c>
      <c r="Y501" t="s">
        <v>51</v>
      </c>
      <c r="Z501">
        <v>1877</v>
      </c>
      <c r="AH501">
        <v>0</v>
      </c>
      <c r="AI501">
        <v>202506</v>
      </c>
      <c r="AJ501" t="s">
        <v>168</v>
      </c>
      <c r="AK501">
        <v>1</v>
      </c>
      <c r="AL501">
        <v>1</v>
      </c>
      <c r="AM501">
        <v>3722213</v>
      </c>
      <c r="AN501">
        <v>1</v>
      </c>
      <c r="AO501">
        <v>1</v>
      </c>
      <c r="AP501">
        <v>463</v>
      </c>
      <c r="AQ501">
        <v>430</v>
      </c>
      <c r="AR501">
        <v>430463</v>
      </c>
      <c r="AS501" t="s">
        <v>61</v>
      </c>
      <c r="AU501" t="s">
        <v>61</v>
      </c>
      <c r="AV501">
        <v>85050</v>
      </c>
      <c r="AW501">
        <v>89030</v>
      </c>
      <c r="AX501">
        <v>91669.203999999998</v>
      </c>
      <c r="AY501">
        <v>93087.394</v>
      </c>
      <c r="AZ501">
        <v>94164.18</v>
      </c>
      <c r="BA501">
        <v>96798.05</v>
      </c>
      <c r="BB501">
        <v>100000</v>
      </c>
      <c r="BC501">
        <v>100000</v>
      </c>
      <c r="BD501">
        <v>101589.726</v>
      </c>
      <c r="BE501">
        <v>106295.712</v>
      </c>
      <c r="BF501">
        <v>110193.28</v>
      </c>
      <c r="BG501">
        <v>119645.424</v>
      </c>
      <c r="BH501">
        <v>127698</v>
      </c>
      <c r="BI501">
        <v>137713.79399999999</v>
      </c>
      <c r="BJ501">
        <v>139806</v>
      </c>
      <c r="BK501">
        <v>150000</v>
      </c>
      <c r="BL501">
        <v>161820.22</v>
      </c>
      <c r="BM501">
        <v>190199.99999999991</v>
      </c>
      <c r="BN501">
        <v>213800</v>
      </c>
      <c r="BO501">
        <v>259913.9999999998</v>
      </c>
      <c r="BP501">
        <v>440000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 x14ac:dyDescent="0.35">
      <c r="D502" s="1"/>
    </row>
    <row r="503" spans="1:89" x14ac:dyDescent="0.35">
      <c r="D503" s="1"/>
    </row>
    <row r="504" spans="1:89" x14ac:dyDescent="0.35">
      <c r="D504" s="1"/>
    </row>
    <row r="505" spans="1:89" x14ac:dyDescent="0.35">
      <c r="D505" s="1"/>
    </row>
    <row r="506" spans="1:89" x14ac:dyDescent="0.35">
      <c r="D506" s="1"/>
    </row>
    <row r="507" spans="1:89" x14ac:dyDescent="0.35">
      <c r="D507" s="1"/>
    </row>
    <row r="508" spans="1:89" x14ac:dyDescent="0.35">
      <c r="D508" s="1"/>
    </row>
    <row r="509" spans="1:89" x14ac:dyDescent="0.35">
      <c r="D509" s="1"/>
    </row>
    <row r="510" spans="1:89" x14ac:dyDescent="0.35">
      <c r="D510" s="1"/>
    </row>
    <row r="511" spans="1:89" x14ac:dyDescent="0.35">
      <c r="D511" s="1"/>
    </row>
    <row r="512" spans="1:89" x14ac:dyDescent="0.35">
      <c r="D512" s="1"/>
    </row>
    <row r="513" spans="4:4" x14ac:dyDescent="0.35">
      <c r="D513" s="1"/>
    </row>
    <row r="514" spans="4:4" x14ac:dyDescent="0.35">
      <c r="D514" s="1"/>
    </row>
    <row r="515" spans="4:4" x14ac:dyDescent="0.35">
      <c r="D515" s="1"/>
    </row>
    <row r="516" spans="4:4" x14ac:dyDescent="0.35">
      <c r="D516" s="1"/>
    </row>
    <row r="517" spans="4:4" x14ac:dyDescent="0.35">
      <c r="D517" s="1"/>
    </row>
    <row r="518" spans="4:4" x14ac:dyDescent="0.35">
      <c r="D518" s="1"/>
    </row>
    <row r="519" spans="4:4" x14ac:dyDescent="0.35">
      <c r="D519" s="1"/>
    </row>
    <row r="520" spans="4:4" x14ac:dyDescent="0.35">
      <c r="D520" s="1"/>
    </row>
    <row r="521" spans="4:4" x14ac:dyDescent="0.35">
      <c r="D521" s="1"/>
    </row>
    <row r="522" spans="4:4" x14ac:dyDescent="0.35">
      <c r="D522" s="1"/>
    </row>
    <row r="523" spans="4:4" x14ac:dyDescent="0.35">
      <c r="D523" s="1"/>
    </row>
    <row r="524" spans="4:4" x14ac:dyDescent="0.35">
      <c r="D524" s="1"/>
    </row>
    <row r="525" spans="4:4" x14ac:dyDescent="0.35">
      <c r="D525" s="1"/>
    </row>
    <row r="526" spans="4:4" x14ac:dyDescent="0.35">
      <c r="D526" s="1"/>
    </row>
    <row r="527" spans="4:4" x14ac:dyDescent="0.35">
      <c r="D527" s="1"/>
    </row>
    <row r="528" spans="4:4" x14ac:dyDescent="0.35">
      <c r="D528" s="1"/>
    </row>
    <row r="529" spans="4:4" x14ac:dyDescent="0.35">
      <c r="D529" s="1"/>
    </row>
    <row r="530" spans="4:4" x14ac:dyDescent="0.35">
      <c r="D530" s="1"/>
    </row>
    <row r="531" spans="4:4" x14ac:dyDescent="0.35">
      <c r="D531" s="1"/>
    </row>
    <row r="532" spans="4:4" x14ac:dyDescent="0.35">
      <c r="D532" s="1"/>
    </row>
    <row r="533" spans="4:4" x14ac:dyDescent="0.35">
      <c r="D533" s="1"/>
    </row>
    <row r="534" spans="4:4" x14ac:dyDescent="0.35">
      <c r="D534" s="1"/>
    </row>
    <row r="535" spans="4:4" x14ac:dyDescent="0.35">
      <c r="D535" s="1"/>
    </row>
    <row r="536" spans="4:4" x14ac:dyDescent="0.35">
      <c r="D536" s="1"/>
    </row>
    <row r="537" spans="4:4" x14ac:dyDescent="0.35">
      <c r="D537" s="1"/>
    </row>
    <row r="538" spans="4:4" x14ac:dyDescent="0.35">
      <c r="D538" s="1"/>
    </row>
    <row r="539" spans="4:4" x14ac:dyDescent="0.35">
      <c r="D539" s="1"/>
    </row>
    <row r="540" spans="4:4" x14ac:dyDescent="0.35">
      <c r="D540" s="1"/>
    </row>
    <row r="541" spans="4:4" x14ac:dyDescent="0.35">
      <c r="D541" s="1"/>
    </row>
    <row r="542" spans="4:4" x14ac:dyDescent="0.35">
      <c r="D542" s="1"/>
    </row>
    <row r="543" spans="4:4" x14ac:dyDescent="0.35">
      <c r="D543" s="1"/>
    </row>
    <row r="544" spans="4:4" x14ac:dyDescent="0.35">
      <c r="D544" s="1"/>
    </row>
    <row r="545" spans="4:4" x14ac:dyDescent="0.35">
      <c r="D545" s="1"/>
    </row>
    <row r="546" spans="4:4" x14ac:dyDescent="0.35">
      <c r="D546" s="1"/>
    </row>
    <row r="547" spans="4:4" x14ac:dyDescent="0.35">
      <c r="D547" s="1"/>
    </row>
    <row r="548" spans="4:4" x14ac:dyDescent="0.35">
      <c r="D548" s="1"/>
    </row>
    <row r="549" spans="4:4" x14ac:dyDescent="0.35">
      <c r="D549" s="1"/>
    </row>
    <row r="550" spans="4:4" x14ac:dyDescent="0.35">
      <c r="D550" s="1"/>
    </row>
    <row r="551" spans="4:4" x14ac:dyDescent="0.35">
      <c r="D551" s="1"/>
    </row>
    <row r="552" spans="4:4" x14ac:dyDescent="0.35">
      <c r="D552" s="1"/>
    </row>
    <row r="553" spans="4:4" x14ac:dyDescent="0.35">
      <c r="D553" s="1"/>
    </row>
    <row r="554" spans="4:4" x14ac:dyDescent="0.35">
      <c r="D554" s="1"/>
    </row>
    <row r="555" spans="4:4" x14ac:dyDescent="0.35">
      <c r="D555" s="1"/>
    </row>
    <row r="556" spans="4:4" x14ac:dyDescent="0.35">
      <c r="D556" s="1"/>
    </row>
    <row r="557" spans="4:4" x14ac:dyDescent="0.35">
      <c r="D557" s="1"/>
    </row>
    <row r="558" spans="4:4" x14ac:dyDescent="0.35">
      <c r="D558" s="1"/>
    </row>
    <row r="559" spans="4:4" x14ac:dyDescent="0.35">
      <c r="D559" s="1"/>
    </row>
    <row r="560" spans="4:4" x14ac:dyDescent="0.35">
      <c r="D560" s="1"/>
    </row>
    <row r="561" spans="4:4" x14ac:dyDescent="0.35">
      <c r="D561" s="1"/>
    </row>
    <row r="562" spans="4:4" x14ac:dyDescent="0.35">
      <c r="D562" s="1"/>
    </row>
    <row r="563" spans="4:4" x14ac:dyDescent="0.35">
      <c r="D563" s="1"/>
    </row>
    <row r="564" spans="4:4" x14ac:dyDescent="0.35">
      <c r="D564" s="1"/>
    </row>
    <row r="565" spans="4:4" x14ac:dyDescent="0.35">
      <c r="D565" s="1"/>
    </row>
    <row r="566" spans="4:4" x14ac:dyDescent="0.35">
      <c r="D566" s="1"/>
    </row>
    <row r="567" spans="4:4" x14ac:dyDescent="0.35">
      <c r="D567" s="1"/>
    </row>
    <row r="568" spans="4:4" x14ac:dyDescent="0.35">
      <c r="D568" s="1"/>
    </row>
    <row r="569" spans="4:4" x14ac:dyDescent="0.35">
      <c r="D569" s="1"/>
    </row>
    <row r="570" spans="4:4" x14ac:dyDescent="0.35">
      <c r="D570" s="1"/>
    </row>
    <row r="571" spans="4:4" x14ac:dyDescent="0.35">
      <c r="D571" s="1"/>
    </row>
    <row r="572" spans="4:4" x14ac:dyDescent="0.35">
      <c r="D572" s="1"/>
    </row>
    <row r="573" spans="4:4" x14ac:dyDescent="0.35">
      <c r="D573" s="1"/>
    </row>
    <row r="574" spans="4:4" x14ac:dyDescent="0.35">
      <c r="D574" s="1"/>
    </row>
    <row r="575" spans="4:4" x14ac:dyDescent="0.35">
      <c r="D575" s="1"/>
    </row>
    <row r="576" spans="4:4" x14ac:dyDescent="0.35">
      <c r="D576" s="1"/>
    </row>
    <row r="577" spans="4:4" x14ac:dyDescent="0.35">
      <c r="D577" s="1"/>
    </row>
    <row r="578" spans="4:4" x14ac:dyDescent="0.35">
      <c r="D578" s="1"/>
    </row>
    <row r="579" spans="4:4" x14ac:dyDescent="0.35">
      <c r="D579" s="1"/>
    </row>
    <row r="580" spans="4:4" x14ac:dyDescent="0.35">
      <c r="D580" s="1"/>
    </row>
    <row r="581" spans="4:4" x14ac:dyDescent="0.35">
      <c r="D581" s="1"/>
    </row>
    <row r="582" spans="4:4" x14ac:dyDescent="0.35">
      <c r="D582" s="1"/>
    </row>
    <row r="583" spans="4:4" x14ac:dyDescent="0.35">
      <c r="D583" s="1"/>
    </row>
    <row r="584" spans="4:4" x14ac:dyDescent="0.35">
      <c r="D584" s="1"/>
    </row>
    <row r="585" spans="4:4" x14ac:dyDescent="0.35">
      <c r="D585" s="1"/>
    </row>
    <row r="586" spans="4:4" x14ac:dyDescent="0.35">
      <c r="D586" s="1"/>
    </row>
    <row r="587" spans="4:4" x14ac:dyDescent="0.35">
      <c r="D587" s="1"/>
    </row>
    <row r="588" spans="4:4" x14ac:dyDescent="0.35">
      <c r="D588" s="1"/>
    </row>
    <row r="589" spans="4:4" x14ac:dyDescent="0.35">
      <c r="D589" s="1"/>
    </row>
    <row r="590" spans="4:4" x14ac:dyDescent="0.35">
      <c r="D590" s="1"/>
    </row>
    <row r="591" spans="4:4" x14ac:dyDescent="0.35">
      <c r="D591" s="1"/>
    </row>
    <row r="592" spans="4:4" x14ac:dyDescent="0.35">
      <c r="D592" s="1"/>
    </row>
    <row r="593" spans="4:4" x14ac:dyDescent="0.35">
      <c r="D593" s="1"/>
    </row>
    <row r="594" spans="4:4" x14ac:dyDescent="0.35">
      <c r="D594" s="1"/>
    </row>
    <row r="595" spans="4:4" x14ac:dyDescent="0.35">
      <c r="D595" s="1"/>
    </row>
    <row r="596" spans="4:4" x14ac:dyDescent="0.35">
      <c r="D596" s="1"/>
    </row>
    <row r="597" spans="4:4" x14ac:dyDescent="0.35">
      <c r="D597" s="1"/>
    </row>
    <row r="598" spans="4:4" x14ac:dyDescent="0.35">
      <c r="D598" s="1"/>
    </row>
    <row r="599" spans="4:4" x14ac:dyDescent="0.35">
      <c r="D599" s="1"/>
    </row>
    <row r="600" spans="4:4" x14ac:dyDescent="0.35">
      <c r="D600" s="1"/>
    </row>
    <row r="601" spans="4:4" x14ac:dyDescent="0.35">
      <c r="D601" s="1"/>
    </row>
    <row r="602" spans="4:4" x14ac:dyDescent="0.35">
      <c r="D602" s="1"/>
    </row>
    <row r="603" spans="4:4" x14ac:dyDescent="0.35">
      <c r="D603" s="1"/>
    </row>
    <row r="604" spans="4:4" x14ac:dyDescent="0.35">
      <c r="D604" s="1"/>
    </row>
    <row r="605" spans="4:4" x14ac:dyDescent="0.35">
      <c r="D605" s="1"/>
    </row>
    <row r="606" spans="4:4" x14ac:dyDescent="0.35">
      <c r="D606" s="1"/>
    </row>
    <row r="607" spans="4:4" x14ac:dyDescent="0.35">
      <c r="D607" s="1"/>
    </row>
    <row r="608" spans="4:4" x14ac:dyDescent="0.35">
      <c r="D608" s="1"/>
    </row>
    <row r="609" spans="4:4" x14ac:dyDescent="0.35">
      <c r="D609" s="1"/>
    </row>
    <row r="610" spans="4:4" x14ac:dyDescent="0.35">
      <c r="D610" s="1"/>
    </row>
    <row r="611" spans="4:4" x14ac:dyDescent="0.35">
      <c r="D611" s="1"/>
    </row>
    <row r="612" spans="4:4" x14ac:dyDescent="0.35">
      <c r="D612" s="1"/>
    </row>
    <row r="613" spans="4:4" x14ac:dyDescent="0.35">
      <c r="D613" s="1"/>
    </row>
    <row r="614" spans="4:4" x14ac:dyDescent="0.35">
      <c r="D614" s="1"/>
    </row>
    <row r="615" spans="4:4" x14ac:dyDescent="0.35">
      <c r="D615" s="1"/>
    </row>
    <row r="616" spans="4:4" x14ac:dyDescent="0.35">
      <c r="D616" s="1"/>
    </row>
    <row r="617" spans="4:4" x14ac:dyDescent="0.35">
      <c r="D617" s="1"/>
    </row>
    <row r="618" spans="4:4" x14ac:dyDescent="0.35">
      <c r="D618" s="1"/>
    </row>
    <row r="619" spans="4:4" x14ac:dyDescent="0.35">
      <c r="D619" s="1"/>
    </row>
    <row r="620" spans="4:4" x14ac:dyDescent="0.35">
      <c r="D620" s="1"/>
    </row>
    <row r="621" spans="4:4" x14ac:dyDescent="0.35">
      <c r="D621" s="1"/>
    </row>
    <row r="622" spans="4:4" x14ac:dyDescent="0.35">
      <c r="D622" s="1"/>
    </row>
    <row r="623" spans="4:4" x14ac:dyDescent="0.35">
      <c r="D623" s="1"/>
    </row>
    <row r="624" spans="4:4" x14ac:dyDescent="0.35">
      <c r="D624" s="1"/>
    </row>
    <row r="625" spans="4:4" x14ac:dyDescent="0.35">
      <c r="D625" s="1"/>
    </row>
    <row r="626" spans="4:4" x14ac:dyDescent="0.35">
      <c r="D626" s="1"/>
    </row>
    <row r="627" spans="4:4" x14ac:dyDescent="0.35">
      <c r="D627" s="1"/>
    </row>
    <row r="628" spans="4:4" x14ac:dyDescent="0.35">
      <c r="D628" s="1"/>
    </row>
    <row r="629" spans="4:4" x14ac:dyDescent="0.35">
      <c r="D629" s="1"/>
    </row>
    <row r="630" spans="4:4" x14ac:dyDescent="0.35">
      <c r="D630" s="1"/>
    </row>
    <row r="631" spans="4:4" x14ac:dyDescent="0.35">
      <c r="D631" s="1"/>
    </row>
    <row r="632" spans="4:4" x14ac:dyDescent="0.35">
      <c r="D632" s="1"/>
    </row>
    <row r="633" spans="4:4" x14ac:dyDescent="0.35">
      <c r="D633" s="1"/>
    </row>
    <row r="634" spans="4:4" x14ac:dyDescent="0.35">
      <c r="D634" s="1"/>
    </row>
    <row r="635" spans="4:4" x14ac:dyDescent="0.35">
      <c r="D635" s="1"/>
    </row>
    <row r="636" spans="4:4" x14ac:dyDescent="0.35">
      <c r="D636" s="1"/>
    </row>
    <row r="637" spans="4:4" x14ac:dyDescent="0.35">
      <c r="D637" s="1"/>
    </row>
    <row r="638" spans="4:4" x14ac:dyDescent="0.35">
      <c r="D638" s="1"/>
    </row>
    <row r="639" spans="4:4" x14ac:dyDescent="0.35">
      <c r="D639" s="1"/>
    </row>
    <row r="640" spans="4:4" x14ac:dyDescent="0.35">
      <c r="D640" s="1"/>
    </row>
    <row r="641" spans="4:4" x14ac:dyDescent="0.35">
      <c r="D641" s="1"/>
    </row>
    <row r="642" spans="4:4" x14ac:dyDescent="0.35">
      <c r="D642" s="1"/>
    </row>
    <row r="643" spans="4:4" x14ac:dyDescent="0.35">
      <c r="D643" s="1"/>
    </row>
    <row r="644" spans="4:4" x14ac:dyDescent="0.35">
      <c r="D644" s="1"/>
    </row>
    <row r="645" spans="4:4" x14ac:dyDescent="0.35">
      <c r="D645" s="1"/>
    </row>
    <row r="646" spans="4:4" x14ac:dyDescent="0.35">
      <c r="D646" s="1"/>
    </row>
    <row r="647" spans="4:4" x14ac:dyDescent="0.35">
      <c r="D647" s="1"/>
    </row>
    <row r="648" spans="4:4" x14ac:dyDescent="0.35">
      <c r="D648" s="1"/>
    </row>
    <row r="649" spans="4:4" x14ac:dyDescent="0.35">
      <c r="D649" s="1"/>
    </row>
    <row r="650" spans="4:4" x14ac:dyDescent="0.35">
      <c r="D650" s="1"/>
    </row>
    <row r="651" spans="4:4" x14ac:dyDescent="0.35">
      <c r="D651" s="1"/>
    </row>
    <row r="652" spans="4:4" x14ac:dyDescent="0.35">
      <c r="D652" s="1"/>
    </row>
    <row r="653" spans="4:4" x14ac:dyDescent="0.35">
      <c r="D653" s="1"/>
    </row>
    <row r="654" spans="4:4" x14ac:dyDescent="0.35">
      <c r="D654" s="1"/>
    </row>
    <row r="655" spans="4:4" x14ac:dyDescent="0.35">
      <c r="D655" s="1"/>
    </row>
    <row r="656" spans="4:4" x14ac:dyDescent="0.35">
      <c r="D656" s="1"/>
    </row>
    <row r="657" spans="4:4" x14ac:dyDescent="0.35">
      <c r="D657" s="1"/>
    </row>
    <row r="658" spans="4:4" x14ac:dyDescent="0.35">
      <c r="D658" s="1"/>
    </row>
    <row r="659" spans="4:4" x14ac:dyDescent="0.35">
      <c r="D659" s="1"/>
    </row>
    <row r="660" spans="4:4" x14ac:dyDescent="0.35">
      <c r="D660" s="1"/>
    </row>
    <row r="661" spans="4:4" x14ac:dyDescent="0.35">
      <c r="D661" s="1"/>
    </row>
    <row r="662" spans="4:4" x14ac:dyDescent="0.35">
      <c r="D662" s="1"/>
    </row>
    <row r="663" spans="4:4" x14ac:dyDescent="0.35">
      <c r="D663" s="1"/>
    </row>
    <row r="664" spans="4:4" x14ac:dyDescent="0.35">
      <c r="D664" s="1"/>
    </row>
    <row r="665" spans="4:4" x14ac:dyDescent="0.35">
      <c r="D665" s="1"/>
    </row>
    <row r="666" spans="4:4" x14ac:dyDescent="0.35">
      <c r="D666" s="1"/>
    </row>
    <row r="667" spans="4:4" x14ac:dyDescent="0.35">
      <c r="D667" s="1"/>
    </row>
    <row r="668" spans="4:4" x14ac:dyDescent="0.35">
      <c r="D668" s="1"/>
    </row>
    <row r="669" spans="4:4" x14ac:dyDescent="0.35">
      <c r="D669" s="1"/>
    </row>
    <row r="670" spans="4:4" x14ac:dyDescent="0.35">
      <c r="D670" s="1"/>
    </row>
    <row r="671" spans="4:4" x14ac:dyDescent="0.35">
      <c r="D671" s="1"/>
    </row>
    <row r="672" spans="4:4" x14ac:dyDescent="0.35">
      <c r="D672" s="1"/>
    </row>
    <row r="673" spans="4:4" x14ac:dyDescent="0.35">
      <c r="D673" s="1"/>
    </row>
    <row r="674" spans="4:4" x14ac:dyDescent="0.35">
      <c r="D674" s="1"/>
    </row>
    <row r="675" spans="4:4" x14ac:dyDescent="0.35">
      <c r="D675" s="1"/>
    </row>
    <row r="676" spans="4:4" x14ac:dyDescent="0.35">
      <c r="D676" s="1"/>
    </row>
    <row r="677" spans="4:4" x14ac:dyDescent="0.35">
      <c r="D677" s="1"/>
    </row>
    <row r="678" spans="4:4" x14ac:dyDescent="0.35">
      <c r="D678" s="1"/>
    </row>
    <row r="679" spans="4:4" x14ac:dyDescent="0.35">
      <c r="D679" s="1"/>
    </row>
    <row r="680" spans="4:4" x14ac:dyDescent="0.35">
      <c r="D680" s="1"/>
    </row>
    <row r="681" spans="4:4" x14ac:dyDescent="0.35">
      <c r="D681" s="1"/>
    </row>
    <row r="682" spans="4:4" x14ac:dyDescent="0.35">
      <c r="D682" s="1"/>
    </row>
    <row r="683" spans="4:4" x14ac:dyDescent="0.35">
      <c r="D683" s="1"/>
    </row>
    <row r="684" spans="4:4" x14ac:dyDescent="0.35">
      <c r="D684" s="1"/>
    </row>
    <row r="685" spans="4:4" x14ac:dyDescent="0.35">
      <c r="D685" s="1"/>
    </row>
    <row r="686" spans="4:4" x14ac:dyDescent="0.35">
      <c r="D686" s="1"/>
    </row>
    <row r="687" spans="4:4" x14ac:dyDescent="0.35">
      <c r="D687" s="1"/>
    </row>
    <row r="688" spans="4:4" x14ac:dyDescent="0.35">
      <c r="D688" s="1"/>
    </row>
    <row r="689" spans="4:4" x14ac:dyDescent="0.35">
      <c r="D689" s="1"/>
    </row>
    <row r="690" spans="4:4" x14ac:dyDescent="0.35">
      <c r="D690" s="1"/>
    </row>
    <row r="691" spans="4:4" x14ac:dyDescent="0.35">
      <c r="D691" s="1"/>
    </row>
    <row r="692" spans="4:4" x14ac:dyDescent="0.35">
      <c r="D692" s="1"/>
    </row>
    <row r="693" spans="4:4" x14ac:dyDescent="0.35">
      <c r="D693" s="1"/>
    </row>
    <row r="694" spans="4:4" x14ac:dyDescent="0.35">
      <c r="D694" s="1"/>
    </row>
    <row r="695" spans="4:4" x14ac:dyDescent="0.35">
      <c r="D695" s="1"/>
    </row>
    <row r="696" spans="4:4" x14ac:dyDescent="0.35">
      <c r="D696" s="1"/>
    </row>
    <row r="697" spans="4:4" x14ac:dyDescent="0.35">
      <c r="D697" s="1"/>
    </row>
    <row r="698" spans="4:4" x14ac:dyDescent="0.35">
      <c r="D698" s="1"/>
    </row>
    <row r="699" spans="4:4" x14ac:dyDescent="0.35">
      <c r="D699" s="1"/>
    </row>
    <row r="700" spans="4:4" x14ac:dyDescent="0.35">
      <c r="D700" s="1"/>
    </row>
    <row r="701" spans="4:4" x14ac:dyDescent="0.35">
      <c r="D701" s="1"/>
    </row>
    <row r="702" spans="4:4" x14ac:dyDescent="0.35">
      <c r="D702" s="1"/>
    </row>
    <row r="703" spans="4:4" x14ac:dyDescent="0.35">
      <c r="D703" s="1"/>
    </row>
    <row r="704" spans="4:4" x14ac:dyDescent="0.35">
      <c r="D704" s="1"/>
    </row>
    <row r="705" spans="4:4" x14ac:dyDescent="0.35">
      <c r="D705" s="1"/>
    </row>
    <row r="706" spans="4:4" x14ac:dyDescent="0.35">
      <c r="D706" s="1"/>
    </row>
    <row r="707" spans="4:4" x14ac:dyDescent="0.35">
      <c r="D707" s="1"/>
    </row>
    <row r="708" spans="4:4" x14ac:dyDescent="0.35">
      <c r="D708" s="1"/>
    </row>
    <row r="709" spans="4:4" x14ac:dyDescent="0.35">
      <c r="D709" s="1"/>
    </row>
    <row r="710" spans="4:4" x14ac:dyDescent="0.35">
      <c r="D710" s="1"/>
    </row>
    <row r="711" spans="4:4" x14ac:dyDescent="0.35">
      <c r="D711" s="1"/>
    </row>
    <row r="712" spans="4:4" x14ac:dyDescent="0.35">
      <c r="D712" s="1"/>
    </row>
    <row r="713" spans="4:4" x14ac:dyDescent="0.35">
      <c r="D713" s="1"/>
    </row>
    <row r="714" spans="4:4" x14ac:dyDescent="0.35">
      <c r="D714" s="1"/>
    </row>
    <row r="715" spans="4:4" x14ac:dyDescent="0.35">
      <c r="D715" s="1"/>
    </row>
    <row r="716" spans="4:4" x14ac:dyDescent="0.35">
      <c r="D716" s="1"/>
    </row>
    <row r="717" spans="4:4" x14ac:dyDescent="0.35">
      <c r="D717" s="1"/>
    </row>
    <row r="718" spans="4:4" x14ac:dyDescent="0.35">
      <c r="D718" s="1"/>
    </row>
    <row r="719" spans="4:4" x14ac:dyDescent="0.35">
      <c r="D719" s="1"/>
    </row>
    <row r="720" spans="4:4" x14ac:dyDescent="0.35">
      <c r="D720" s="1"/>
    </row>
    <row r="721" spans="4:4" x14ac:dyDescent="0.35">
      <c r="D721" s="1"/>
    </row>
    <row r="722" spans="4:4" x14ac:dyDescent="0.35">
      <c r="D722" s="1"/>
    </row>
    <row r="723" spans="4:4" x14ac:dyDescent="0.35">
      <c r="D723" s="1"/>
    </row>
    <row r="724" spans="4:4" x14ac:dyDescent="0.35">
      <c r="D724" s="1"/>
    </row>
    <row r="725" spans="4:4" x14ac:dyDescent="0.35">
      <c r="D725" s="1"/>
    </row>
    <row r="726" spans="4:4" x14ac:dyDescent="0.35">
      <c r="D726" s="1"/>
    </row>
    <row r="727" spans="4:4" x14ac:dyDescent="0.35">
      <c r="D727" s="1"/>
    </row>
    <row r="728" spans="4:4" x14ac:dyDescent="0.35">
      <c r="D728" s="1"/>
    </row>
    <row r="729" spans="4:4" x14ac:dyDescent="0.35">
      <c r="D729" s="1"/>
    </row>
    <row r="730" spans="4:4" x14ac:dyDescent="0.35">
      <c r="D730" s="1"/>
    </row>
    <row r="731" spans="4:4" x14ac:dyDescent="0.35">
      <c r="D731" s="1"/>
    </row>
    <row r="732" spans="4:4" x14ac:dyDescent="0.35">
      <c r="D732" s="1"/>
    </row>
    <row r="733" spans="4:4" x14ac:dyDescent="0.35">
      <c r="D733" s="1"/>
    </row>
    <row r="734" spans="4:4" x14ac:dyDescent="0.35">
      <c r="D734" s="1"/>
    </row>
    <row r="735" spans="4:4" x14ac:dyDescent="0.35">
      <c r="D735" s="1"/>
    </row>
    <row r="736" spans="4:4" x14ac:dyDescent="0.35">
      <c r="D736" s="1"/>
    </row>
    <row r="737" spans="4:4" x14ac:dyDescent="0.35">
      <c r="D737" s="1"/>
    </row>
    <row r="738" spans="4:4" x14ac:dyDescent="0.35">
      <c r="D738" s="1"/>
    </row>
    <row r="739" spans="4:4" x14ac:dyDescent="0.35">
      <c r="D739" s="1"/>
    </row>
    <row r="740" spans="4:4" x14ac:dyDescent="0.35">
      <c r="D740" s="1"/>
    </row>
    <row r="741" spans="4:4" x14ac:dyDescent="0.35">
      <c r="D741" s="1"/>
    </row>
    <row r="742" spans="4:4" x14ac:dyDescent="0.35">
      <c r="D742" s="1"/>
    </row>
    <row r="743" spans="4:4" x14ac:dyDescent="0.35">
      <c r="D743" s="1"/>
    </row>
    <row r="744" spans="4:4" x14ac:dyDescent="0.35">
      <c r="D744" s="1"/>
    </row>
    <row r="745" spans="4:4" x14ac:dyDescent="0.35">
      <c r="D745" s="1"/>
    </row>
    <row r="746" spans="4:4" x14ac:dyDescent="0.35">
      <c r="D746" s="1"/>
    </row>
    <row r="747" spans="4:4" x14ac:dyDescent="0.35">
      <c r="D747" s="1"/>
    </row>
    <row r="748" spans="4:4" x14ac:dyDescent="0.35">
      <c r="D748" s="1"/>
    </row>
    <row r="749" spans="4:4" x14ac:dyDescent="0.35">
      <c r="D749" s="1"/>
    </row>
    <row r="750" spans="4:4" x14ac:dyDescent="0.35">
      <c r="D750" s="1"/>
    </row>
    <row r="751" spans="4:4" x14ac:dyDescent="0.35">
      <c r="D751" s="1"/>
    </row>
    <row r="752" spans="4:4" x14ac:dyDescent="0.35">
      <c r="D752" s="1"/>
    </row>
    <row r="753" spans="4:4" x14ac:dyDescent="0.35">
      <c r="D753" s="1"/>
    </row>
    <row r="754" spans="4:4" x14ac:dyDescent="0.35">
      <c r="D754" s="1"/>
    </row>
    <row r="755" spans="4:4" x14ac:dyDescent="0.35">
      <c r="D755" s="1"/>
    </row>
    <row r="756" spans="4:4" x14ac:dyDescent="0.35">
      <c r="D756" s="1"/>
    </row>
    <row r="757" spans="4:4" x14ac:dyDescent="0.35">
      <c r="D757" s="1"/>
    </row>
    <row r="758" spans="4:4" x14ac:dyDescent="0.35">
      <c r="D758" s="1"/>
    </row>
    <row r="759" spans="4:4" x14ac:dyDescent="0.35">
      <c r="D759" s="1"/>
    </row>
    <row r="760" spans="4:4" x14ac:dyDescent="0.35">
      <c r="D760" s="1"/>
    </row>
    <row r="761" spans="4:4" x14ac:dyDescent="0.35">
      <c r="D761" s="1"/>
    </row>
    <row r="762" spans="4:4" x14ac:dyDescent="0.35">
      <c r="D762" s="1"/>
    </row>
    <row r="763" spans="4:4" x14ac:dyDescent="0.35">
      <c r="D763" s="1"/>
    </row>
    <row r="764" spans="4:4" x14ac:dyDescent="0.35">
      <c r="D764" s="1"/>
    </row>
    <row r="765" spans="4:4" x14ac:dyDescent="0.35">
      <c r="D765" s="1"/>
    </row>
    <row r="766" spans="4:4" x14ac:dyDescent="0.35">
      <c r="D766" s="1"/>
    </row>
    <row r="767" spans="4:4" x14ac:dyDescent="0.35">
      <c r="D767" s="1"/>
    </row>
    <row r="768" spans="4:4" x14ac:dyDescent="0.35">
      <c r="D768" s="1"/>
    </row>
    <row r="769" spans="4:4" x14ac:dyDescent="0.35">
      <c r="D769" s="1"/>
    </row>
    <row r="770" spans="4:4" x14ac:dyDescent="0.35">
      <c r="D770" s="1"/>
    </row>
    <row r="771" spans="4:4" x14ac:dyDescent="0.35">
      <c r="D771" s="1"/>
    </row>
    <row r="772" spans="4:4" x14ac:dyDescent="0.35">
      <c r="D772" s="1"/>
    </row>
    <row r="773" spans="4:4" x14ac:dyDescent="0.35">
      <c r="D773" s="1"/>
    </row>
    <row r="774" spans="4:4" x14ac:dyDescent="0.35">
      <c r="D774" s="1"/>
    </row>
    <row r="775" spans="4:4" x14ac:dyDescent="0.35">
      <c r="D775" s="1"/>
    </row>
    <row r="776" spans="4:4" x14ac:dyDescent="0.35">
      <c r="D776" s="1"/>
    </row>
    <row r="777" spans="4:4" x14ac:dyDescent="0.35">
      <c r="D777" s="1"/>
    </row>
    <row r="778" spans="4:4" x14ac:dyDescent="0.35">
      <c r="D778" s="1"/>
    </row>
    <row r="779" spans="4:4" x14ac:dyDescent="0.35">
      <c r="D779" s="1"/>
    </row>
    <row r="780" spans="4:4" x14ac:dyDescent="0.35">
      <c r="D780" s="1"/>
    </row>
    <row r="781" spans="4:4" x14ac:dyDescent="0.35">
      <c r="D781" s="1"/>
    </row>
    <row r="782" spans="4:4" x14ac:dyDescent="0.35">
      <c r="D782" s="1"/>
    </row>
    <row r="783" spans="4:4" x14ac:dyDescent="0.35">
      <c r="D783" s="1"/>
    </row>
    <row r="784" spans="4:4" x14ac:dyDescent="0.35">
      <c r="D784" s="1"/>
    </row>
    <row r="785" spans="4:4" x14ac:dyDescent="0.35">
      <c r="D785" s="1"/>
    </row>
    <row r="786" spans="4:4" x14ac:dyDescent="0.35">
      <c r="D786" s="1"/>
    </row>
    <row r="787" spans="4:4" x14ac:dyDescent="0.35">
      <c r="D787" s="1"/>
    </row>
    <row r="788" spans="4:4" x14ac:dyDescent="0.35">
      <c r="D788" s="1"/>
    </row>
    <row r="789" spans="4:4" x14ac:dyDescent="0.35">
      <c r="D789" s="1"/>
    </row>
    <row r="790" spans="4:4" x14ac:dyDescent="0.35">
      <c r="D790" s="1"/>
    </row>
    <row r="791" spans="4:4" x14ac:dyDescent="0.35">
      <c r="D791" s="1"/>
    </row>
    <row r="792" spans="4:4" x14ac:dyDescent="0.35">
      <c r="D792" s="1"/>
    </row>
    <row r="793" spans="4:4" x14ac:dyDescent="0.35">
      <c r="D793" s="1"/>
    </row>
    <row r="794" spans="4:4" x14ac:dyDescent="0.35">
      <c r="D794" s="1"/>
    </row>
    <row r="795" spans="4:4" x14ac:dyDescent="0.35">
      <c r="D795" s="1"/>
    </row>
    <row r="796" spans="4:4" x14ac:dyDescent="0.35">
      <c r="D796" s="1"/>
    </row>
    <row r="797" spans="4:4" x14ac:dyDescent="0.35">
      <c r="D797" s="1"/>
    </row>
    <row r="798" spans="4:4" x14ac:dyDescent="0.35">
      <c r="D798" s="1"/>
    </row>
    <row r="799" spans="4:4" x14ac:dyDescent="0.35">
      <c r="D799" s="1"/>
    </row>
    <row r="800" spans="4:4" x14ac:dyDescent="0.35">
      <c r="D800" s="1"/>
    </row>
    <row r="801" spans="4:4" x14ac:dyDescent="0.35">
      <c r="D801" s="1"/>
    </row>
    <row r="802" spans="4:4" x14ac:dyDescent="0.35">
      <c r="D802" s="1"/>
    </row>
    <row r="803" spans="4:4" x14ac:dyDescent="0.35">
      <c r="D803" s="1"/>
    </row>
    <row r="804" spans="4:4" x14ac:dyDescent="0.35">
      <c r="D804" s="1"/>
    </row>
    <row r="805" spans="4:4" x14ac:dyDescent="0.35">
      <c r="D805" s="1"/>
    </row>
    <row r="806" spans="4:4" x14ac:dyDescent="0.35">
      <c r="D806" s="1"/>
    </row>
    <row r="807" spans="4:4" x14ac:dyDescent="0.35">
      <c r="D807" s="1"/>
    </row>
    <row r="808" spans="4:4" x14ac:dyDescent="0.35">
      <c r="D808" s="1"/>
    </row>
    <row r="809" spans="4:4" x14ac:dyDescent="0.35">
      <c r="D809" s="1"/>
    </row>
    <row r="810" spans="4:4" x14ac:dyDescent="0.35">
      <c r="D810" s="1"/>
    </row>
    <row r="811" spans="4:4" x14ac:dyDescent="0.35">
      <c r="D811" s="1"/>
    </row>
    <row r="812" spans="4:4" x14ac:dyDescent="0.35">
      <c r="D812" s="1"/>
    </row>
    <row r="813" spans="4:4" x14ac:dyDescent="0.35">
      <c r="D813" s="1"/>
    </row>
    <row r="814" spans="4:4" x14ac:dyDescent="0.35">
      <c r="D814" s="1"/>
    </row>
    <row r="815" spans="4:4" x14ac:dyDescent="0.35">
      <c r="D815" s="1"/>
    </row>
    <row r="816" spans="4:4" x14ac:dyDescent="0.35">
      <c r="D816" s="1"/>
    </row>
    <row r="817" spans="4:4" x14ac:dyDescent="0.35">
      <c r="D817" s="1"/>
    </row>
    <row r="818" spans="4:4" x14ac:dyDescent="0.35">
      <c r="D818" s="1"/>
    </row>
    <row r="819" spans="4:4" x14ac:dyDescent="0.35">
      <c r="D819" s="1"/>
    </row>
    <row r="820" spans="4:4" x14ac:dyDescent="0.35">
      <c r="D820" s="1"/>
    </row>
    <row r="821" spans="4:4" x14ac:dyDescent="0.35">
      <c r="D821" s="1"/>
    </row>
    <row r="822" spans="4:4" x14ac:dyDescent="0.35">
      <c r="D822" s="1"/>
    </row>
    <row r="823" spans="4:4" x14ac:dyDescent="0.35">
      <c r="D823" s="1"/>
    </row>
    <row r="824" spans="4:4" x14ac:dyDescent="0.35">
      <c r="D824" s="1"/>
    </row>
    <row r="825" spans="4:4" x14ac:dyDescent="0.35">
      <c r="D825" s="1"/>
    </row>
    <row r="826" spans="4:4" x14ac:dyDescent="0.35">
      <c r="D826" s="1"/>
    </row>
    <row r="827" spans="4:4" x14ac:dyDescent="0.35">
      <c r="D827" s="1"/>
    </row>
    <row r="828" spans="4:4" x14ac:dyDescent="0.35">
      <c r="D828" s="1"/>
    </row>
    <row r="829" spans="4:4" x14ac:dyDescent="0.35">
      <c r="D829" s="1"/>
    </row>
    <row r="830" spans="4:4" x14ac:dyDescent="0.35">
      <c r="D830" s="1"/>
    </row>
    <row r="831" spans="4:4" x14ac:dyDescent="0.35">
      <c r="D831" s="1"/>
    </row>
    <row r="832" spans="4:4" x14ac:dyDescent="0.35">
      <c r="D832" s="1"/>
    </row>
    <row r="833" spans="4:4" x14ac:dyDescent="0.35">
      <c r="D833" s="1"/>
    </row>
    <row r="834" spans="4:4" x14ac:dyDescent="0.35">
      <c r="D834" s="1"/>
    </row>
    <row r="835" spans="4:4" x14ac:dyDescent="0.35">
      <c r="D835" s="1"/>
    </row>
    <row r="836" spans="4:4" x14ac:dyDescent="0.35">
      <c r="D836" s="1"/>
    </row>
    <row r="837" spans="4:4" x14ac:dyDescent="0.35">
      <c r="D837" s="1"/>
    </row>
    <row r="838" spans="4:4" x14ac:dyDescent="0.35">
      <c r="D838" s="1"/>
    </row>
    <row r="839" spans="4:4" x14ac:dyDescent="0.35">
      <c r="D839" s="1"/>
    </row>
    <row r="840" spans="4:4" x14ac:dyDescent="0.35">
      <c r="D840" s="1"/>
    </row>
    <row r="841" spans="4:4" x14ac:dyDescent="0.35">
      <c r="D841" s="1"/>
    </row>
    <row r="842" spans="4:4" x14ac:dyDescent="0.35">
      <c r="D842" s="1"/>
    </row>
    <row r="843" spans="4:4" x14ac:dyDescent="0.35">
      <c r="D843" s="1"/>
    </row>
    <row r="844" spans="4:4" x14ac:dyDescent="0.35">
      <c r="D844" s="1"/>
    </row>
    <row r="845" spans="4:4" x14ac:dyDescent="0.35">
      <c r="D845" s="1"/>
    </row>
    <row r="846" spans="4:4" x14ac:dyDescent="0.35">
      <c r="D846" s="1"/>
    </row>
    <row r="847" spans="4:4" x14ac:dyDescent="0.35">
      <c r="D847" s="1"/>
    </row>
    <row r="848" spans="4:4" x14ac:dyDescent="0.35">
      <c r="D848" s="1"/>
    </row>
    <row r="849" spans="4:4" x14ac:dyDescent="0.35">
      <c r="D849" s="1"/>
    </row>
    <row r="850" spans="4:4" x14ac:dyDescent="0.35">
      <c r="D850" s="1"/>
    </row>
    <row r="851" spans="4:4" x14ac:dyDescent="0.35">
      <c r="D851" s="1"/>
    </row>
    <row r="852" spans="4:4" x14ac:dyDescent="0.35">
      <c r="D852" s="1"/>
    </row>
    <row r="853" spans="4:4" x14ac:dyDescent="0.35">
      <c r="D853" s="1"/>
    </row>
    <row r="854" spans="4:4" x14ac:dyDescent="0.35">
      <c r="D854" s="1"/>
    </row>
    <row r="855" spans="4:4" x14ac:dyDescent="0.35">
      <c r="D855" s="1"/>
    </row>
    <row r="856" spans="4:4" x14ac:dyDescent="0.35">
      <c r="D856" s="1"/>
    </row>
    <row r="857" spans="4:4" x14ac:dyDescent="0.35">
      <c r="D857" s="1"/>
    </row>
    <row r="858" spans="4:4" x14ac:dyDescent="0.35">
      <c r="D858" s="1"/>
    </row>
    <row r="859" spans="4:4" x14ac:dyDescent="0.35">
      <c r="D859" s="1"/>
    </row>
    <row r="860" spans="4:4" x14ac:dyDescent="0.35">
      <c r="D860" s="1"/>
    </row>
    <row r="861" spans="4:4" x14ac:dyDescent="0.35">
      <c r="D861" s="1"/>
    </row>
    <row r="862" spans="4:4" x14ac:dyDescent="0.35">
      <c r="D862" s="1"/>
    </row>
    <row r="863" spans="4:4" x14ac:dyDescent="0.35">
      <c r="D863" s="1"/>
    </row>
    <row r="864" spans="4:4" x14ac:dyDescent="0.35">
      <c r="D864" s="1"/>
    </row>
    <row r="865" spans="4:4" x14ac:dyDescent="0.35">
      <c r="D865" s="1"/>
    </row>
    <row r="866" spans="4:4" x14ac:dyDescent="0.35">
      <c r="D866" s="1"/>
    </row>
    <row r="867" spans="4:4" x14ac:dyDescent="0.35">
      <c r="D867" s="1"/>
    </row>
    <row r="868" spans="4:4" x14ac:dyDescent="0.35">
      <c r="D868" s="1"/>
    </row>
    <row r="869" spans="4:4" x14ac:dyDescent="0.35">
      <c r="D869" s="1"/>
    </row>
    <row r="870" spans="4:4" x14ac:dyDescent="0.35">
      <c r="D870" s="1"/>
    </row>
    <row r="871" spans="4:4" x14ac:dyDescent="0.35">
      <c r="D871" s="1"/>
    </row>
    <row r="872" spans="4:4" x14ac:dyDescent="0.35">
      <c r="D872" s="1"/>
    </row>
    <row r="873" spans="4:4" x14ac:dyDescent="0.35">
      <c r="D873" s="1"/>
    </row>
    <row r="874" spans="4:4" x14ac:dyDescent="0.35">
      <c r="D874" s="1"/>
    </row>
    <row r="875" spans="4:4" x14ac:dyDescent="0.35">
      <c r="D875" s="1"/>
    </row>
    <row r="876" spans="4:4" x14ac:dyDescent="0.35">
      <c r="D876" s="1"/>
    </row>
    <row r="877" spans="4:4" x14ac:dyDescent="0.35">
      <c r="D877" s="1"/>
    </row>
    <row r="878" spans="4:4" x14ac:dyDescent="0.35">
      <c r="D878" s="1"/>
    </row>
    <row r="879" spans="4:4" x14ac:dyDescent="0.35">
      <c r="D879" s="1"/>
    </row>
    <row r="880" spans="4:4" x14ac:dyDescent="0.35">
      <c r="D880" s="1"/>
    </row>
    <row r="881" spans="4:4" x14ac:dyDescent="0.35">
      <c r="D881" s="1"/>
    </row>
    <row r="882" spans="4:4" x14ac:dyDescent="0.35">
      <c r="D882" s="1"/>
    </row>
    <row r="883" spans="4:4" x14ac:dyDescent="0.35">
      <c r="D883" s="1"/>
    </row>
    <row r="884" spans="4:4" x14ac:dyDescent="0.35">
      <c r="D884" s="1"/>
    </row>
    <row r="885" spans="4:4" x14ac:dyDescent="0.35">
      <c r="D885" s="1"/>
    </row>
    <row r="886" spans="4:4" x14ac:dyDescent="0.35">
      <c r="D886" s="1"/>
    </row>
    <row r="887" spans="4:4" x14ac:dyDescent="0.35">
      <c r="D887" s="1"/>
    </row>
    <row r="888" spans="4:4" x14ac:dyDescent="0.35">
      <c r="D888" s="1"/>
    </row>
    <row r="889" spans="4:4" x14ac:dyDescent="0.35">
      <c r="D889" s="1"/>
    </row>
    <row r="890" spans="4:4" x14ac:dyDescent="0.35">
      <c r="D890" s="1"/>
    </row>
    <row r="891" spans="4:4" x14ac:dyDescent="0.35">
      <c r="D891" s="1"/>
    </row>
    <row r="892" spans="4:4" x14ac:dyDescent="0.35">
      <c r="D892" s="1"/>
    </row>
    <row r="893" spans="4:4" x14ac:dyDescent="0.35">
      <c r="D893" s="1"/>
    </row>
    <row r="894" spans="4:4" x14ac:dyDescent="0.35">
      <c r="D894" s="1"/>
    </row>
    <row r="895" spans="4:4" x14ac:dyDescent="0.35">
      <c r="D895" s="1"/>
    </row>
    <row r="896" spans="4:4" x14ac:dyDescent="0.35">
      <c r="D896" s="1"/>
    </row>
    <row r="897" spans="4:4" x14ac:dyDescent="0.35">
      <c r="D897" s="1"/>
    </row>
    <row r="898" spans="4:4" x14ac:dyDescent="0.35">
      <c r="D898" s="1"/>
    </row>
    <row r="899" spans="4:4" x14ac:dyDescent="0.35">
      <c r="D899" s="1"/>
    </row>
    <row r="900" spans="4:4" x14ac:dyDescent="0.35">
      <c r="D900" s="1"/>
    </row>
    <row r="901" spans="4:4" x14ac:dyDescent="0.35">
      <c r="D901" s="1"/>
    </row>
    <row r="902" spans="4:4" x14ac:dyDescent="0.35">
      <c r="D902" s="1"/>
    </row>
    <row r="903" spans="4:4" x14ac:dyDescent="0.35">
      <c r="D903" s="1"/>
    </row>
    <row r="904" spans="4:4" x14ac:dyDescent="0.35">
      <c r="D904" s="1"/>
    </row>
    <row r="905" spans="4:4" x14ac:dyDescent="0.35">
      <c r="D905" s="1"/>
    </row>
    <row r="906" spans="4:4" x14ac:dyDescent="0.35">
      <c r="D906" s="1"/>
    </row>
    <row r="907" spans="4:4" x14ac:dyDescent="0.35">
      <c r="D907" s="1"/>
    </row>
    <row r="908" spans="4:4" x14ac:dyDescent="0.35">
      <c r="D908" s="1"/>
    </row>
    <row r="909" spans="4:4" x14ac:dyDescent="0.35">
      <c r="D909" s="1"/>
    </row>
    <row r="910" spans="4:4" x14ac:dyDescent="0.35">
      <c r="D910" s="1"/>
    </row>
    <row r="911" spans="4:4" x14ac:dyDescent="0.35">
      <c r="D911" s="1"/>
    </row>
    <row r="912" spans="4:4" x14ac:dyDescent="0.35">
      <c r="D912" s="1"/>
    </row>
    <row r="913" spans="4:4" x14ac:dyDescent="0.35">
      <c r="D913" s="1"/>
    </row>
    <row r="914" spans="4:4" x14ac:dyDescent="0.35">
      <c r="D914" s="1"/>
    </row>
    <row r="915" spans="4:4" x14ac:dyDescent="0.35">
      <c r="D915" s="1"/>
    </row>
    <row r="916" spans="4:4" x14ac:dyDescent="0.35">
      <c r="D916" s="1"/>
    </row>
    <row r="917" spans="4:4" x14ac:dyDescent="0.35">
      <c r="D917" s="1"/>
    </row>
    <row r="918" spans="4:4" x14ac:dyDescent="0.35">
      <c r="D918" s="1"/>
    </row>
    <row r="919" spans="4:4" x14ac:dyDescent="0.35">
      <c r="D919" s="1"/>
    </row>
    <row r="920" spans="4:4" x14ac:dyDescent="0.35">
      <c r="D920" s="1"/>
    </row>
    <row r="921" spans="4:4" x14ac:dyDescent="0.35">
      <c r="D921" s="1"/>
    </row>
    <row r="922" spans="4:4" x14ac:dyDescent="0.35">
      <c r="D922" s="1"/>
    </row>
    <row r="923" spans="4:4" x14ac:dyDescent="0.35">
      <c r="D923" s="1"/>
    </row>
    <row r="924" spans="4:4" x14ac:dyDescent="0.35">
      <c r="D924" s="1"/>
    </row>
    <row r="925" spans="4:4" x14ac:dyDescent="0.35">
      <c r="D925" s="1"/>
    </row>
    <row r="926" spans="4:4" x14ac:dyDescent="0.35">
      <c r="D926" s="1"/>
    </row>
    <row r="927" spans="4:4" x14ac:dyDescent="0.35">
      <c r="D927" s="1"/>
    </row>
    <row r="928" spans="4:4" x14ac:dyDescent="0.35">
      <c r="D928" s="1"/>
    </row>
    <row r="929" spans="4:4" x14ac:dyDescent="0.35">
      <c r="D929" s="1"/>
    </row>
    <row r="930" spans="4:4" x14ac:dyDescent="0.35">
      <c r="D930" s="1"/>
    </row>
    <row r="931" spans="4:4" x14ac:dyDescent="0.35">
      <c r="D931" s="1"/>
    </row>
    <row r="932" spans="4:4" x14ac:dyDescent="0.35">
      <c r="D932" s="1"/>
    </row>
    <row r="933" spans="4:4" x14ac:dyDescent="0.35">
      <c r="D933" s="1"/>
    </row>
    <row r="934" spans="4:4" x14ac:dyDescent="0.35">
      <c r="D934" s="1"/>
    </row>
    <row r="935" spans="4:4" x14ac:dyDescent="0.35">
      <c r="D935" s="1"/>
    </row>
    <row r="936" spans="4:4" x14ac:dyDescent="0.35">
      <c r="D936" s="1"/>
    </row>
    <row r="937" spans="4:4" x14ac:dyDescent="0.35">
      <c r="D937" s="1"/>
    </row>
    <row r="938" spans="4:4" x14ac:dyDescent="0.35">
      <c r="D938" s="1"/>
    </row>
    <row r="939" spans="4:4" x14ac:dyDescent="0.35">
      <c r="D939" s="1"/>
    </row>
    <row r="940" spans="4:4" x14ac:dyDescent="0.35">
      <c r="D940" s="1"/>
    </row>
    <row r="941" spans="4:4" x14ac:dyDescent="0.35">
      <c r="D941" s="1"/>
    </row>
    <row r="942" spans="4:4" x14ac:dyDescent="0.35">
      <c r="D942" s="1"/>
    </row>
    <row r="943" spans="4:4" x14ac:dyDescent="0.35">
      <c r="D943" s="1"/>
    </row>
    <row r="944" spans="4:4" x14ac:dyDescent="0.35">
      <c r="D944" s="1"/>
    </row>
    <row r="945" spans="4:4" x14ac:dyDescent="0.35">
      <c r="D945" s="1"/>
    </row>
    <row r="946" spans="4:4" x14ac:dyDescent="0.35">
      <c r="D946" s="1"/>
    </row>
    <row r="947" spans="4:4" x14ac:dyDescent="0.35">
      <c r="D947" s="1"/>
    </row>
    <row r="948" spans="4:4" x14ac:dyDescent="0.35">
      <c r="D948" s="1"/>
    </row>
    <row r="949" spans="4:4" x14ac:dyDescent="0.35">
      <c r="D949" s="1"/>
    </row>
    <row r="950" spans="4:4" x14ac:dyDescent="0.35">
      <c r="D950" s="1"/>
    </row>
    <row r="951" spans="4:4" x14ac:dyDescent="0.35">
      <c r="D951" s="1"/>
    </row>
    <row r="952" spans="4:4" x14ac:dyDescent="0.35">
      <c r="D952" s="1"/>
    </row>
    <row r="953" spans="4:4" x14ac:dyDescent="0.35">
      <c r="D953" s="1"/>
    </row>
    <row r="954" spans="4:4" x14ac:dyDescent="0.35">
      <c r="D954" s="1"/>
    </row>
    <row r="955" spans="4:4" x14ac:dyDescent="0.35">
      <c r="D955" s="1"/>
    </row>
    <row r="956" spans="4:4" x14ac:dyDescent="0.35">
      <c r="D956" s="1"/>
    </row>
    <row r="957" spans="4:4" x14ac:dyDescent="0.35">
      <c r="D957" s="1"/>
    </row>
    <row r="958" spans="4:4" x14ac:dyDescent="0.35">
      <c r="D958" s="1"/>
    </row>
    <row r="959" spans="4:4" x14ac:dyDescent="0.35">
      <c r="D959" s="1"/>
    </row>
    <row r="960" spans="4:4" x14ac:dyDescent="0.35">
      <c r="D960" s="1"/>
    </row>
    <row r="961" spans="4:4" x14ac:dyDescent="0.35">
      <c r="D961" s="1"/>
    </row>
    <row r="962" spans="4:4" x14ac:dyDescent="0.35">
      <c r="D962" s="1"/>
    </row>
    <row r="963" spans="4:4" x14ac:dyDescent="0.35">
      <c r="D963" s="1"/>
    </row>
    <row r="964" spans="4:4" x14ac:dyDescent="0.35">
      <c r="D964" s="1"/>
    </row>
    <row r="965" spans="4:4" x14ac:dyDescent="0.35">
      <c r="D965" s="1"/>
    </row>
    <row r="966" spans="4:4" x14ac:dyDescent="0.35">
      <c r="D966" s="1"/>
    </row>
    <row r="967" spans="4:4" x14ac:dyDescent="0.35">
      <c r="D967" s="1"/>
    </row>
    <row r="968" spans="4:4" x14ac:dyDescent="0.35">
      <c r="D968" s="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13e83b-330f-43e9-8a32-659de2db0e37" xsi:nil="true"/>
    <lcf76f155ced4ddcb4097134ff3c332f xmlns="26ed0658-0289-4c17-a65e-1511a42df96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5093D3EFB6B3489EE1E049962EC73A" ma:contentTypeVersion="10" ma:contentTypeDescription="Creare un nuovo documento." ma:contentTypeScope="" ma:versionID="fc3d09e6117068449fa7200e70a6cc65">
  <xsd:schema xmlns:xsd="http://www.w3.org/2001/XMLSchema" xmlns:xs="http://www.w3.org/2001/XMLSchema" xmlns:p="http://schemas.microsoft.com/office/2006/metadata/properties" xmlns:ns2="26ed0658-0289-4c17-a65e-1511a42df96c" xmlns:ns3="4113e83b-330f-43e9-8a32-659de2db0e37" targetNamespace="http://schemas.microsoft.com/office/2006/metadata/properties" ma:root="true" ma:fieldsID="a5f33ce90e6a338a48b2cb0fea7a304f" ns2:_="" ns3:_="">
    <xsd:import namespace="26ed0658-0289-4c17-a65e-1511a42df96c"/>
    <xsd:import namespace="4113e83b-330f-43e9-8a32-659de2db0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d0658-0289-4c17-a65e-1511a42df9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3e83b-330f-43e9-8a32-659de2db0e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2a37b6-2a8b-44e9-98be-ac89573471aa}" ma:internalName="TaxCatchAll" ma:showField="CatchAllData" ma:web="4113e83b-330f-43e9-8a32-659de2db0e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AF323C-A7F4-4F7D-92FD-424A4BF87BC0}">
  <ds:schemaRefs>
    <ds:schemaRef ds:uri="http://schemas.microsoft.com/office/2006/metadata/properties"/>
    <ds:schemaRef ds:uri="http://schemas.microsoft.com/office/infopath/2007/PartnerControls"/>
    <ds:schemaRef ds:uri="4113e83b-330f-43e9-8a32-659de2db0e37"/>
    <ds:schemaRef ds:uri="26ed0658-0289-4c17-a65e-1511a42df96c"/>
  </ds:schemaRefs>
</ds:datastoreItem>
</file>

<file path=customXml/itemProps2.xml><?xml version="1.0" encoding="utf-8"?>
<ds:datastoreItem xmlns:ds="http://schemas.openxmlformats.org/officeDocument/2006/customXml" ds:itemID="{FEF87086-DF43-4061-860D-1E08342163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A75D51-46AE-4C53-9D38-FAA4D2BE5A59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Simulazione</vt:lpstr>
      <vt:lpstr>Analisi delle classi di rischio</vt:lpstr>
      <vt:lpstr>Classe 1</vt:lpstr>
      <vt:lpstr>48 &amp; 7</vt:lpstr>
      <vt:lpstr>26 &amp; 7</vt:lpstr>
      <vt:lpstr>Classe 3</vt:lpstr>
      <vt:lpstr>Classe 4</vt:lpstr>
      <vt:lpstr>Classe 6</vt:lpstr>
      <vt:lpstr>Classe 7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Jafari, Sepehr</cp:lastModifiedBy>
  <dcterms:created xsi:type="dcterms:W3CDTF">2025-10-01T13:20:04Z</dcterms:created>
  <dcterms:modified xsi:type="dcterms:W3CDTF">2025-11-04T15:30:21Z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0x010100715093D3EFB6B3489EE1E049962EC73A</vt:lpwstr>
  </property>
  <property fmtid="{D5CDD505-2E9C-101B-9397-08002B2CF9AE}" pid="3" name="MediaServiceImageTags">
    <vt:lpwstr/>
  </property>
</Properties>
</file>