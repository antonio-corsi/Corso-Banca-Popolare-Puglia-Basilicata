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drawings/drawing5.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xl/python.xml" ContentType="application/vnd.ms-excel.pyth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Utente\Desktop\salvataggi\SALVATAGGIO DATI\Documents\Seminari\Data Science (corsi)\Repository GitHub corsi\Corso-Banca-Popolare-Puglia-Basilicata\"/>
    </mc:Choice>
  </mc:AlternateContent>
  <xr:revisionPtr revIDLastSave="0" documentId="13_ncr:1_{992045AA-3863-43FE-9F68-7F997D8BBD6E}" xr6:coauthVersionLast="47" xr6:coauthVersionMax="47" xr10:uidLastSave="{00000000-0000-0000-0000-000000000000}"/>
  <bookViews>
    <workbookView xWindow="-120" yWindow="-120" windowWidth="29040" windowHeight="15840" activeTab="3" xr2:uid="{48FC524D-37A5-4D0A-B22D-E39144FA5FFC}"/>
  </bookViews>
  <sheets>
    <sheet name="iris e statistiche" sheetId="2" r:id="rId1"/>
    <sheet name="scatterplot" sheetId="3" r:id="rId2"/>
    <sheet name="matrice correlazione" sheetId="4" r:id="rId3"/>
    <sheet name="matrice scatterplot" sheetId="5" r:id="rId4"/>
    <sheet name="regressione" sheetId="6" r:id="rId5"/>
    <sheet name="prove libere" sheetId="7"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2" l="1" a="1"/>
  <c r="G6" i="2" a="1"/>
  <c r="G6" i="2" l="1"/>
  <c r="G3" i="2"/>
  <c r="M6" i="2" a="1"/>
  <c r="M6" i="2" l="1"/>
  <c r="G3" i="3" a="1"/>
  <c r="G3" i="3" l="1"/>
  <c r="G3" i="4" a="1"/>
  <c r="G3" i="4" l="1"/>
  <c r="G3" i="5" a="1"/>
  <c r="G3" i="5" l="1"/>
  <c r="G3" i="6" a="1"/>
  <c r="G3" i="6" l="1"/>
  <c r="F2" i="7" a="1"/>
  <c r="F2" i="7" l="1"/>
  <c r="H2" i="7" a="1"/>
  <c r="H2" i="7" l="1"/>
  <c r="A4" i="7" a="1"/>
  <c r="A4" i="7"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7">
    <bk>
      <extLst>
        <ext uri="{3e2802c4-a4d2-4d8b-9148-e3be6c30e623}">
          <xlrd:rvb i="2"/>
        </ext>
      </extLst>
    </bk>
    <bk>
      <extLst>
        <ext uri="{3e2802c4-a4d2-4d8b-9148-e3be6c30e623}">
          <xlrd:rvb i="6"/>
        </ext>
      </extLst>
    </bk>
    <bk>
      <extLst>
        <ext uri="{3e2802c4-a4d2-4d8b-9148-e3be6c30e623}">
          <xlrd:rvb i="7"/>
        </ext>
      </extLst>
    </bk>
    <bk>
      <extLst>
        <ext uri="{3e2802c4-a4d2-4d8b-9148-e3be6c30e623}">
          <xlrd:rvb i="11"/>
        </ext>
      </extLst>
    </bk>
    <bk>
      <extLst>
        <ext uri="{3e2802c4-a4d2-4d8b-9148-e3be6c30e623}">
          <xlrd:rvb i="12"/>
        </ext>
      </extLst>
    </bk>
    <bk>
      <extLst>
        <ext uri="{3e2802c4-a4d2-4d8b-9148-e3be6c30e623}">
          <xlrd:rvb i="15"/>
        </ext>
      </extLst>
    </bk>
    <bk>
      <extLst>
        <ext uri="{3e2802c4-a4d2-4d8b-9148-e3be6c30e623}">
          <xlrd:rvb i="16"/>
        </ext>
      </extLst>
    </bk>
  </futureMetadata>
  <cellMetadata count="1">
    <bk>
      <rc t="1" v="0"/>
    </bk>
  </cellMetadata>
  <valueMetadata count="7">
    <bk>
      <rc t="2" v="0"/>
    </bk>
    <bk>
      <rc t="2" v="1"/>
    </bk>
    <bk>
      <rc t="2" v="2"/>
    </bk>
    <bk>
      <rc t="2" v="3"/>
    </bk>
    <bk>
      <rc t="2" v="4"/>
    </bk>
    <bk>
      <rc t="2" v="5"/>
    </bk>
    <bk>
      <rc t="2" v="6"/>
    </bk>
  </valueMetadata>
</metadata>
</file>

<file path=xl/python.xml><?xml version="1.0" encoding="utf-8"?>
<python xmlns="http://schemas.microsoft.com/office/spreadsheetml/2023/python">
  <environmentDefinition id="{882DD1B0-6546-4DFA-8A08-902A380B44EA}">
    <initialization userModified="1">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Scripts>
    <pythonScript>
      <code>sample_df = xl(%P2%, headers=True)</code>
    </pythonScript>
    <pythonScript>
      <code>sample_df.describe()</code>
    </pythonScript>
    <pythonScript>
      <code>sample_df.corr(numeric_only=True)</code>
    </pythonScript>
    <pythonScript>
      <code>import matplotlib.pyplot as plt
plt.scatter(xl(%P2%), xl(%P3%))
plt.xlabel('sepal_length')
plt.ylabel('sepal_width')
plt.title('Sepal length and width analysis')</code>
    </pythonScript>
    <pythonScript>
      <code>sample_df = xl(%P2%, headers=True)
sample_df.corr(numeric_only=True)</code>
    </pythonScript>
    <pythonScript>
      <code>from pandas.plotting import scatter_matrix
sample_df = xl(%P2%, headers=True)
columns_to_plot = ["sepal_length", "sepal_width", "petal_length", "petal_width"]
categories = sample_df["species"].unique()  # Get unique categories
colors = {category: i for i, category in enumerate(categories)}
scatter_matrix(sample_df, c=sample_df["species"].apply(lambda x: colors[x]), figsize=(6, 6), alpha=0.8)</code>
    </pythonScript>
    <pythonScript>
      <code>import seaborn as sns
sample_df = xl(%P2%, headers=True)
sns.regplot(data = sample_df[["sepal_length","petal_length"]], x = "sepal_length", y = "petal_length")</code>
    </pythonScript>
    <pythonScript>
      <code xml:space="preserve">x=xl(%P2%)
y=xl(%P3%)
x+y
</code>
    </pythonScript>
    <pythonScript>
      <code xml:space="preserve">import numpy as np
np.sum(xl(%P2%))
</code>
    </pythonScript>
    <pythonScript>
      <code>print("Hello,world")</code>
    </pythonScript>
  </pythonScripts>
</python>
</file>

<file path=xl/sharedStrings.xml><?xml version="1.0" encoding="utf-8"?>
<sst xmlns="http://schemas.openxmlformats.org/spreadsheetml/2006/main" count="804" uniqueCount="25">
  <si>
    <t>Data attribution: Fisher,R. A.. (1988). Iris. UCI Machine Learning Repository. https://doi.org/10.24432/C56C76</t>
  </si>
  <si>
    <t>virginica</t>
  </si>
  <si>
    <t>versicolor</t>
  </si>
  <si>
    <t>setosa</t>
  </si>
  <si>
    <t>species</t>
  </si>
  <si>
    <t>petal_width</t>
  </si>
  <si>
    <t>petal_length</t>
  </si>
  <si>
    <t>sepal_width</t>
  </si>
  <si>
    <t>sepal_length</t>
  </si>
  <si>
    <t>Set di dati Iris (come tabella di Excel)</t>
  </si>
  <si>
    <t>Seleziona la cella G3 per vedere la formula Python di esempio.</t>
  </si>
  <si>
    <t>Seleziona la cella G6 per vedere la formula Python di esempio.</t>
  </si>
  <si>
    <t>campo1</t>
  </si>
  <si>
    <t>campo2</t>
  </si>
  <si>
    <t>campo3</t>
  </si>
  <si>
    <t>pippo</t>
  </si>
  <si>
    <t>pluto</t>
  </si>
  <si>
    <t>paperino</t>
  </si>
  <si>
    <t>gennaio</t>
  </si>
  <si>
    <t>febbraio</t>
  </si>
  <si>
    <t>marzo</t>
  </si>
  <si>
    <t xml:space="preserve"> </t>
  </si>
  <si>
    <t>somma colonna</t>
  </si>
  <si>
    <t>somma due valori</t>
  </si>
  <si>
    <t>Seleziona la cella M6 per vedere la formula Python di esempio.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</si>
</sst>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rgb="FFFF0000"/>
      <name val="Aptos Narrow"/>
      <family val="2"/>
      <scheme val="minor"/>
    </font>
    <font>
      <b/>
      <sz val="11"/>
      <color theme="1"/>
      <name val="Aptos Narrow"/>
      <family val="2"/>
      <scheme val="minor"/>
    </font>
    <font>
      <sz val="11"/>
      <color rgb="FF107C4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left"/>
    </xf>
    <xf numFmtId="0" fontId="3" fillId="0" borderId="0" xfId="0" applyFont="1"/>
    <xf numFmtId="0" fontId="2" fillId="0" borderId="0" xfId="0" applyFont="1"/>
    <xf numFmtId="0" fontId="1" fillId="0" borderId="0" xfId="0" applyFont="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18"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 Target="richData/rdrichvalue.xml"/><Relationship Id="rId17" Type="http://schemas.microsoft.com/office/2017/06/relationships/rdSupportingPropertyBag" Target="richData/rdsupportingpropertybag.xml"/><Relationship Id="rId2" Type="http://schemas.openxmlformats.org/officeDocument/2006/relationships/worksheet" Target="worksheets/sheet2.xml"/><Relationship Id="rId16" Type="http://schemas.microsoft.com/office/2017/06/relationships/rdSupportingPropertyBagStructure" Target="richData/rdsupportingpropertybagstructure.xml"/><Relationship Id="rId20" Type="http://schemas.microsoft.com/office/2023/09/relationships/Python" Target="pyth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22/10/relationships/richValueRel" Target="richData/richValueRel.xml"/><Relationship Id="rId5" Type="http://schemas.openxmlformats.org/officeDocument/2006/relationships/worksheet" Target="worksheets/sheet5.xml"/><Relationship Id="rId15" Type="http://schemas.microsoft.com/office/2017/06/relationships/richStyles" Target="richData/richStyles.xml"/><Relationship Id="rId10" Type="http://schemas.openxmlformats.org/officeDocument/2006/relationships/sheetMetadata" Target="metadata.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dArray" Target="richData/rdarray.xml"/></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5</xdr:col>
      <xdr:colOff>361950</xdr:colOff>
      <xdr:row>1</xdr:row>
      <xdr:rowOff>85725</xdr:rowOff>
    </xdr:from>
    <xdr:to>
      <xdr:col>5</xdr:col>
      <xdr:colOff>944880</xdr:colOff>
      <xdr:row>3</xdr:row>
      <xdr:rowOff>123825</xdr:rowOff>
    </xdr:to>
    <xdr:sp macro="" textlink="">
      <xdr:nvSpPr>
        <xdr:cNvPr id="2" name="Arrow: Right 1" descr="71c6589e-546d-4b17-9679-60c2cddaae27">
          <a:extLst>
            <a:ext uri="{FF2B5EF4-FFF2-40B4-BE49-F238E27FC236}">
              <a16:creationId xmlns:a16="http://schemas.microsoft.com/office/drawing/2014/main" id="{E178345D-57F2-48C8-93B4-9BB8C1D83EA9}"/>
            </a:ext>
          </a:extLst>
        </xdr:cNvPr>
        <xdr:cNvSpPr/>
      </xdr:nvSpPr>
      <xdr:spPr>
        <a:xfrm>
          <a:off x="3409950" y="276225"/>
          <a:ext cx="249555" cy="419100"/>
        </a:xfrm>
        <a:prstGeom prst="rightArrow">
          <a:avLst/>
        </a:prstGeom>
        <a:solidFill>
          <a:srgbClr val="CAEAD8"/>
        </a:solidFill>
        <a:ln w="12700" cap="flat" cmpd="sng" algn="ctr">
          <a:solidFill>
            <a:srgbClr val="CAEAD8"/>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5</xdr:col>
      <xdr:colOff>361950</xdr:colOff>
      <xdr:row>4</xdr:row>
      <xdr:rowOff>85725</xdr:rowOff>
    </xdr:from>
    <xdr:to>
      <xdr:col>5</xdr:col>
      <xdr:colOff>944880</xdr:colOff>
      <xdr:row>6</xdr:row>
      <xdr:rowOff>123825</xdr:rowOff>
    </xdr:to>
    <xdr:sp macro="" textlink="">
      <xdr:nvSpPr>
        <xdr:cNvPr id="3" name="Arrow: Right 2" descr="e2be2fa3-d868-452c-82e2-a5a5407f246b">
          <a:extLst>
            <a:ext uri="{FF2B5EF4-FFF2-40B4-BE49-F238E27FC236}">
              <a16:creationId xmlns:a16="http://schemas.microsoft.com/office/drawing/2014/main" id="{2A070DB3-A94E-4F93-814B-25C8083F2001}"/>
            </a:ext>
          </a:extLst>
        </xdr:cNvPr>
        <xdr:cNvSpPr/>
      </xdr:nvSpPr>
      <xdr:spPr>
        <a:xfrm>
          <a:off x="3409950" y="847725"/>
          <a:ext cx="249555" cy="419100"/>
        </a:xfrm>
        <a:prstGeom prst="rightArrow">
          <a:avLst/>
        </a:prstGeom>
        <a:solidFill>
          <a:srgbClr val="CAEAD8"/>
        </a:solidFill>
        <a:ln w="12700" cap="flat" cmpd="sng" algn="ctr">
          <a:solidFill>
            <a:srgbClr val="CAEAD8"/>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6</xdr:col>
      <xdr:colOff>0</xdr:colOff>
      <xdr:row>15</xdr:row>
      <xdr:rowOff>0</xdr:rowOff>
    </xdr:from>
    <xdr:to>
      <xdr:col>11</xdr:col>
      <xdr:colOff>0</xdr:colOff>
      <xdr:row>24</xdr:row>
      <xdr:rowOff>188223</xdr:rowOff>
    </xdr:to>
    <xdr:grpSp>
      <xdr:nvGrpSpPr>
        <xdr:cNvPr id="7" name="Hint">
          <a:extLst>
            <a:ext uri="{FF2B5EF4-FFF2-40B4-BE49-F238E27FC236}">
              <a16:creationId xmlns:a16="http://schemas.microsoft.com/office/drawing/2014/main" id="{8DFA9AFB-125A-4635-98D1-D0F69BB090B6}"/>
            </a:ext>
          </a:extLst>
        </xdr:cNvPr>
        <xdr:cNvGrpSpPr/>
      </xdr:nvGrpSpPr>
      <xdr:grpSpPr>
        <a:xfrm>
          <a:off x="5829300" y="2857500"/>
          <a:ext cx="4857750" cy="1902723"/>
          <a:chOff x="5829300" y="2857500"/>
          <a:chExt cx="4857750" cy="1902723"/>
        </a:xfrm>
      </xdr:grpSpPr>
      <xdr:sp macro="" textlink="">
        <xdr:nvSpPr>
          <xdr:cNvPr id="4" name="Hint Title">
            <a:extLst>
              <a:ext uri="{FF2B5EF4-FFF2-40B4-BE49-F238E27FC236}">
                <a16:creationId xmlns:a16="http://schemas.microsoft.com/office/drawing/2014/main" id="{0F5C47D2-2244-F0C8-9B84-692B83594256}"/>
              </a:ext>
            </a:extLst>
          </xdr:cNvPr>
          <xdr:cNvSpPr txBox="1"/>
        </xdr:nvSpPr>
        <xdr:spPr>
          <a:xfrm>
            <a:off x="5829300" y="2857500"/>
            <a:ext cx="4857750" cy="260350"/>
          </a:xfrm>
          <a:prstGeom prst="rect">
            <a:avLst/>
          </a:prstGeom>
          <a:solidFill>
            <a:srgbClr val="464646"/>
          </a:solidFill>
          <a:ln>
            <a:solidFill>
              <a:srgbClr val="464646"/>
            </a:solidFill>
          </a:ln>
        </xdr:spPr>
        <xdr:txBody>
          <a:bodyPr vertOverflow="overflow" vert="horz" wrap="square" rtlCol="0" anchor="ctr">
            <a:spAutoFit/>
          </a:bodyPr>
          <a:lstStyle/>
          <a:p>
            <a:pPr algn="l"/>
            <a:r>
              <a:rPr kumimoji="0" lang="it-IT" sz="1100" b="0" i="0" u="none" strike="noStrike" kern="0" cap="none" spc="0" normalizeH="0" baseline="0" noProof="0">
                <a:ln>
                  <a:noFill/>
                </a:ln>
                <a:solidFill>
                  <a:srgbClr val="FFFFFF"/>
                </a:solidFill>
                <a:effectLst/>
                <a:uLnTx/>
                <a:uFillTx/>
                <a:latin typeface="Aptos Narrow" panose="02110004020202020204"/>
              </a:rPr>
              <a:t>Descrivi con pandas</a:t>
            </a:r>
          </a:p>
        </xdr:txBody>
      </xdr:sp>
      <xdr:sp macro="" textlink="">
        <xdr:nvSpPr>
          <xdr:cNvPr id="5" name="Hint Text">
            <a:extLst>
              <a:ext uri="{FF2B5EF4-FFF2-40B4-BE49-F238E27FC236}">
                <a16:creationId xmlns:a16="http://schemas.microsoft.com/office/drawing/2014/main" id="{72A33413-7797-E712-4958-4B6B0F2D0A2C}"/>
              </a:ext>
            </a:extLst>
          </xdr:cNvPr>
          <xdr:cNvSpPr txBox="1"/>
        </xdr:nvSpPr>
        <xdr:spPr>
          <a:xfrm>
            <a:off x="5829300" y="3117850"/>
            <a:ext cx="4857750" cy="1642373"/>
          </a:xfrm>
          <a:prstGeom prst="rect">
            <a:avLst/>
          </a:prstGeom>
          <a:solidFill>
            <a:prstClr val="white"/>
          </a:solidFill>
          <a:ln>
            <a:solidFill>
              <a:srgbClr val="464646"/>
            </a:solidFill>
          </a:ln>
        </xdr:spPr>
        <xdr:txBody>
          <a:bodyPr vertOverflow="overflow" vert="horz" wrap="square" rtlCol="0" anchor="t">
            <a:spAutoFit/>
          </a:bodyPr>
          <a:lstStyle/>
          <a:p>
            <a:pPr algn="l"/>
            <a:r>
              <a:rPr kumimoji="0" lang="it-IT" sz="1100" b="0" i="0" u="none" strike="noStrike" kern="0" cap="none" spc="0" normalizeH="0" baseline="0" noProof="0">
                <a:ln>
                  <a:noFill/>
                </a:ln>
                <a:solidFill>
                  <a:sysClr val="windowText" lastClr="000000"/>
                </a:solidFill>
                <a:effectLst/>
                <a:uLnTx/>
                <a:uFillTx/>
                <a:latin typeface="Aptos Narrow" panose="02110004020202020204"/>
              </a:rPr>
              <a:t>
Python in Excel utilizza la libreria pandas per creare l'oggetto DataFrame nella cella G3. Selezionare l'icona nella cella con etichetta DataFrame per visualizzare l'output. Selezionare la cella ed espandere la barra della formula per visualizzare un esempio di come creare un DataFrame.
Selezionare la cella G6 ed espandere la barra della formula per vedere un esempio della funzione pandas describe in una formula Python.</a:t>
            </a:r>
          </a:p>
        </xdr:txBody>
      </xdr:sp>
      <xdr:sp macro="" textlink="">
        <xdr:nvSpPr>
          <xdr:cNvPr id="6" name="CasellaDiTesto 5">
            <a:extLst>
              <a:ext uri="{FF2B5EF4-FFF2-40B4-BE49-F238E27FC236}">
                <a16:creationId xmlns:a16="http://schemas.microsoft.com/office/drawing/2014/main" id="{848DB8AC-46B7-D581-9C93-5F4CAB5B6E70}"/>
              </a:ext>
            </a:extLst>
          </xdr:cNvPr>
          <xdr:cNvSpPr txBox="1"/>
        </xdr:nvSpPr>
        <xdr:spPr>
          <a:xfrm>
            <a:off x="5838825" y="3168650"/>
            <a:ext cx="4832350" cy="228600"/>
          </a:xfrm>
          <a:prstGeom prst="rect">
            <a:avLst/>
          </a:prstGeom>
          <a:solidFill>
            <a:prstClr val="white"/>
          </a:solidFill>
          <a:ln>
            <a:solidFill>
              <a:prstClr val="black">
                <a:alpha val="0"/>
              </a:prstClr>
            </a:solidFill>
          </a:ln>
        </xdr:spPr>
        <xdr:txBody>
          <a:bodyPr vertOverflow="overflow" vert="horz" wrap="square" rtlCol="0" anchor="b">
            <a:spAutoFit/>
          </a:bodyPr>
          <a:lstStyle/>
          <a:p>
            <a:pPr algn="l"/>
            <a:r>
              <a:rPr kumimoji="0" lang="it-IT" sz="1100" b="1" i="0" u="none" strike="noStrike" kern="0" cap="none" spc="0" normalizeH="0" baseline="0" noProof="0">
                <a:ln>
                  <a:noFill/>
                </a:ln>
                <a:solidFill>
                  <a:sysClr val="windowText" lastClr="000000"/>
                </a:solidFill>
                <a:effectLst/>
                <a:uLnTx/>
                <a:uFillTx/>
                <a:latin typeface="Aptos Narrow" panose="02110004020202020204"/>
              </a:rPr>
              <a:t>Suggerimento.</a:t>
            </a:r>
          </a:p>
        </xdr:txBody>
      </xdr:sp>
    </xdr:grpSp>
    <xdr:clientData/>
  </xdr:twoCellAnchor>
  <xdr:twoCellAnchor>
    <xdr:from>
      <xdr:col>11</xdr:col>
      <xdr:colOff>9525</xdr:colOff>
      <xdr:row>4</xdr:row>
      <xdr:rowOff>85725</xdr:rowOff>
    </xdr:from>
    <xdr:to>
      <xdr:col>11</xdr:col>
      <xdr:colOff>592455</xdr:colOff>
      <xdr:row>6</xdr:row>
      <xdr:rowOff>123825</xdr:rowOff>
    </xdr:to>
    <xdr:sp macro="" textlink="">
      <xdr:nvSpPr>
        <xdr:cNvPr id="8" name="Arrow: Right 2" descr="e2be2fa3-d868-452c-82e2-a5a5407f246b">
          <a:extLst>
            <a:ext uri="{FF2B5EF4-FFF2-40B4-BE49-F238E27FC236}">
              <a16:creationId xmlns:a16="http://schemas.microsoft.com/office/drawing/2014/main" id="{58C10287-3CF7-43C0-834D-68E88C5C9F5F}"/>
            </a:ext>
          </a:extLst>
        </xdr:cNvPr>
        <xdr:cNvSpPr/>
      </xdr:nvSpPr>
      <xdr:spPr>
        <a:xfrm>
          <a:off x="10696575" y="847725"/>
          <a:ext cx="582930" cy="419100"/>
        </a:xfrm>
        <a:prstGeom prst="rightArrow">
          <a:avLst/>
        </a:prstGeom>
        <a:solidFill>
          <a:srgbClr val="CAEAD8"/>
        </a:solidFill>
        <a:ln w="12700" cap="flat" cmpd="sng" algn="ctr">
          <a:solidFill>
            <a:srgbClr val="CAEAD8"/>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361950</xdr:colOff>
      <xdr:row>1</xdr:row>
      <xdr:rowOff>85725</xdr:rowOff>
    </xdr:from>
    <xdr:to>
      <xdr:col>5</xdr:col>
      <xdr:colOff>944880</xdr:colOff>
      <xdr:row>3</xdr:row>
      <xdr:rowOff>123825</xdr:rowOff>
    </xdr:to>
    <xdr:sp macro="" textlink="">
      <xdr:nvSpPr>
        <xdr:cNvPr id="2" name="Arrow: Right 1" descr="437fab94-c6d9-48b5-817a-2345400ae514">
          <a:extLst>
            <a:ext uri="{FF2B5EF4-FFF2-40B4-BE49-F238E27FC236}">
              <a16:creationId xmlns:a16="http://schemas.microsoft.com/office/drawing/2014/main" id="{BC0B5CFE-E837-4C24-BC56-13D5CFA23DDC}"/>
            </a:ext>
          </a:extLst>
        </xdr:cNvPr>
        <xdr:cNvSpPr/>
      </xdr:nvSpPr>
      <xdr:spPr>
        <a:xfrm>
          <a:off x="3409950" y="276225"/>
          <a:ext cx="249555" cy="419100"/>
        </a:xfrm>
        <a:prstGeom prst="rightArrow">
          <a:avLst/>
        </a:prstGeom>
        <a:solidFill>
          <a:srgbClr val="CAEAD8"/>
        </a:solidFill>
        <a:ln w="12700" cap="flat" cmpd="sng" algn="ctr">
          <a:solidFill>
            <a:srgbClr val="CAEAD8"/>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6</xdr:col>
      <xdr:colOff>0</xdr:colOff>
      <xdr:row>15</xdr:row>
      <xdr:rowOff>0</xdr:rowOff>
    </xdr:from>
    <xdr:to>
      <xdr:col>11</xdr:col>
      <xdr:colOff>0</xdr:colOff>
      <xdr:row>26</xdr:row>
      <xdr:rowOff>151676</xdr:rowOff>
    </xdr:to>
    <xdr:grpSp>
      <xdr:nvGrpSpPr>
        <xdr:cNvPr id="6" name="Hint">
          <a:extLst>
            <a:ext uri="{FF2B5EF4-FFF2-40B4-BE49-F238E27FC236}">
              <a16:creationId xmlns:a16="http://schemas.microsoft.com/office/drawing/2014/main" id="{624EFADF-4A10-D288-2C77-1100CCA6C928}"/>
            </a:ext>
          </a:extLst>
        </xdr:cNvPr>
        <xdr:cNvGrpSpPr/>
      </xdr:nvGrpSpPr>
      <xdr:grpSpPr>
        <a:xfrm>
          <a:off x="5829300" y="2857500"/>
          <a:ext cx="4857750" cy="2247176"/>
          <a:chOff x="5829300" y="2857500"/>
          <a:chExt cx="4857750" cy="2247176"/>
        </a:xfrm>
      </xdr:grpSpPr>
      <xdr:sp macro="" textlink="">
        <xdr:nvSpPr>
          <xdr:cNvPr id="3" name="Hint Title">
            <a:extLst>
              <a:ext uri="{FF2B5EF4-FFF2-40B4-BE49-F238E27FC236}">
                <a16:creationId xmlns:a16="http://schemas.microsoft.com/office/drawing/2014/main" id="{4D65D0D9-2A70-6205-CE29-9C945EC8723B}"/>
              </a:ext>
            </a:extLst>
          </xdr:cNvPr>
          <xdr:cNvSpPr txBox="1"/>
        </xdr:nvSpPr>
        <xdr:spPr>
          <a:xfrm>
            <a:off x="5829300" y="2857500"/>
            <a:ext cx="4857750" cy="260350"/>
          </a:xfrm>
          <a:prstGeom prst="rect">
            <a:avLst/>
          </a:prstGeom>
          <a:solidFill>
            <a:srgbClr val="464646"/>
          </a:solidFill>
          <a:ln>
            <a:solidFill>
              <a:srgbClr val="464646"/>
            </a:solidFill>
          </a:ln>
        </xdr:spPr>
        <xdr:txBody>
          <a:bodyPr vertOverflow="overflow" vert="horz" wrap="square" rtlCol="0" anchor="ctr">
            <a:spAutoFit/>
          </a:bodyPr>
          <a:lstStyle/>
          <a:p>
            <a:pPr algn="l"/>
            <a:r>
              <a:rPr kumimoji="0" lang="it-IT" sz="1100" b="0" i="0" u="none" strike="noStrike" kern="0" cap="none" spc="0" normalizeH="0" baseline="0" noProof="0">
                <a:ln>
                  <a:noFill/>
                </a:ln>
                <a:solidFill>
                  <a:srgbClr val="FFFFFF"/>
                </a:solidFill>
                <a:effectLst/>
                <a:uLnTx/>
                <a:uFillTx/>
                <a:latin typeface="Aptos Narrow" panose="02110004020202020204"/>
              </a:rPr>
              <a:t>Crea un grafico a dispersione</a:t>
            </a:r>
          </a:p>
        </xdr:txBody>
      </xdr:sp>
      <xdr:sp macro="" textlink="">
        <xdr:nvSpPr>
          <xdr:cNvPr id="4" name="Hint Text">
            <a:extLst>
              <a:ext uri="{FF2B5EF4-FFF2-40B4-BE49-F238E27FC236}">
                <a16:creationId xmlns:a16="http://schemas.microsoft.com/office/drawing/2014/main" id="{ED4AFD1B-D6F4-E9B1-124B-18A1024BEB98}"/>
              </a:ext>
            </a:extLst>
          </xdr:cNvPr>
          <xdr:cNvSpPr txBox="1"/>
        </xdr:nvSpPr>
        <xdr:spPr>
          <a:xfrm>
            <a:off x="5829300" y="3117850"/>
            <a:ext cx="4857750" cy="1986826"/>
          </a:xfrm>
          <a:prstGeom prst="rect">
            <a:avLst/>
          </a:prstGeom>
          <a:solidFill>
            <a:prstClr val="white"/>
          </a:solidFill>
          <a:ln>
            <a:solidFill>
              <a:srgbClr val="464646"/>
            </a:solidFill>
          </a:ln>
        </xdr:spPr>
        <xdr:txBody>
          <a:bodyPr vertOverflow="overflow" vert="horz" wrap="square" rtlCol="0" anchor="t">
            <a:spAutoFit/>
          </a:bodyPr>
          <a:lstStyle/>
          <a:p>
            <a:pPr algn="l"/>
            <a:r>
              <a:rPr kumimoji="0" lang="it-IT" sz="1100" b="0" i="0" u="none" strike="noStrike" kern="0" cap="none" spc="0" normalizeH="0" baseline="0" noProof="0">
                <a:ln>
                  <a:noFill/>
                </a:ln>
                <a:solidFill>
                  <a:sysClr val="windowText" lastClr="000000"/>
                </a:solidFill>
                <a:effectLst/>
                <a:uLnTx/>
                <a:uFillTx/>
                <a:latin typeface="Aptos Narrow" panose="02110004020202020204"/>
              </a:rPr>
              <a:t>
Python in Excel crea questo grafico dell'analisi di lunghezza e larghezza del sepalo usando la libreria Matplotlib di Python. Il tracciato mobile nella cella G4 è un riferimento alla formula Python nella cella G3. Trascina la selezione dell'immagine del tracciato mobile per spostarla nel foglio di lavoro. 
Seleziona la cella G3 ed espandi la barra della formula per vedere come viene importata la libreria Matplotlib e imparare a creare i tracciati. Per visualizzare altri tracciati nella forma di immagini mobili, come in questo esempio, seleziona la cella con l'oggetto Immagine, l'icona Inserisci dati e quindi Visualizza tracciato su celle.  </a:t>
            </a:r>
          </a:p>
        </xdr:txBody>
      </xdr:sp>
      <xdr:sp macro="" textlink="">
        <xdr:nvSpPr>
          <xdr:cNvPr id="5" name="CasellaDiTesto 4">
            <a:extLst>
              <a:ext uri="{FF2B5EF4-FFF2-40B4-BE49-F238E27FC236}">
                <a16:creationId xmlns:a16="http://schemas.microsoft.com/office/drawing/2014/main" id="{413BD987-8B88-BE0E-9C18-5FD4711027B2}"/>
              </a:ext>
            </a:extLst>
          </xdr:cNvPr>
          <xdr:cNvSpPr txBox="1"/>
        </xdr:nvSpPr>
        <xdr:spPr>
          <a:xfrm>
            <a:off x="5838825" y="3168650"/>
            <a:ext cx="4832350" cy="228600"/>
          </a:xfrm>
          <a:prstGeom prst="rect">
            <a:avLst/>
          </a:prstGeom>
          <a:solidFill>
            <a:prstClr val="white"/>
          </a:solidFill>
          <a:ln>
            <a:solidFill>
              <a:prstClr val="black">
                <a:alpha val="0"/>
              </a:prstClr>
            </a:solidFill>
          </a:ln>
        </xdr:spPr>
        <xdr:txBody>
          <a:bodyPr vertOverflow="overflow" vert="horz" wrap="square" rtlCol="0" anchor="b">
            <a:spAutoFit/>
          </a:bodyPr>
          <a:lstStyle/>
          <a:p>
            <a:pPr algn="l"/>
            <a:r>
              <a:rPr kumimoji="0" lang="it-IT" sz="1100" b="1" i="0" u="none" strike="noStrike" kern="0" cap="none" spc="0" normalizeH="0" baseline="0" noProof="0">
                <a:ln>
                  <a:noFill/>
                </a:ln>
                <a:solidFill>
                  <a:sysClr val="windowText" lastClr="000000"/>
                </a:solidFill>
                <a:effectLst/>
                <a:uLnTx/>
                <a:uFillTx/>
                <a:latin typeface="Aptos Narrow" panose="02110004020202020204"/>
              </a:rPr>
              <a:t>Suggerimento.</a:t>
            </a:r>
          </a:p>
        </xdr:txBody>
      </xdr:sp>
    </xdr:grpSp>
    <xdr:clientData/>
  </xdr:twoCellAnchor>
  <xdr:twoCellAnchor editAs="oneCell">
    <xdr:from>
      <xdr:col>6</xdr:col>
      <xdr:colOff>63500</xdr:colOff>
      <xdr:row>3</xdr:row>
      <xdr:rowOff>63500</xdr:rowOff>
    </xdr:from>
    <xdr:to>
      <xdr:col>8</xdr:col>
      <xdr:colOff>747870</xdr:colOff>
      <xdr:row>14</xdr:row>
      <xdr:rowOff>63500</xdr:rowOff>
    </xdr:to>
    <xdr:pic>
      <xdr:nvPicPr>
        <xdr:cNvPr id="7" name="Scatter Plot Image">
          <a:extLst>
            <a:ext uri="{FF2B5EF4-FFF2-40B4-BE49-F238E27FC236}">
              <a16:creationId xmlns:a16="http://schemas.microsoft.com/office/drawing/2014/main" id="{8288CAC8-AC05-FFD5-49DA-279B0128C468}"/>
            </a:ext>
          </a:extLst>
        </xdr:cNvPr>
        <xdr:cNvPicPr>
          <a:picLocks noChangeAspect="1"/>
          <a:extLst>
            <a:ext uri="{53484399-7A02-498B-ADA4-41CD10E50FAC}">
              <aif:imageFormula xmlns:aif="http://schemas.microsoft.com/office/drawing/2022/imageformula" formula="scatterplot!G3"/>
            </a:ext>
          </a:extLst>
        </xdr:cNvPicPr>
      </xdr:nvPicPr>
      <xdr:blipFill>
        <a:blip xmlns:r="http://schemas.openxmlformats.org/officeDocument/2006/relationships" r:embed="rId1"/>
        <a:stretch>
          <a:fillRect/>
        </a:stretch>
      </xdr:blipFill>
      <xdr:spPr>
        <a:xfrm>
          <a:off x="5892800" y="635000"/>
          <a:ext cx="2627470" cy="20955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5</xdr:col>
      <xdr:colOff>361950</xdr:colOff>
      <xdr:row>1</xdr:row>
      <xdr:rowOff>85725</xdr:rowOff>
    </xdr:from>
    <xdr:to>
      <xdr:col>5</xdr:col>
      <xdr:colOff>944880</xdr:colOff>
      <xdr:row>3</xdr:row>
      <xdr:rowOff>123825</xdr:rowOff>
    </xdr:to>
    <xdr:sp macro="" textlink="">
      <xdr:nvSpPr>
        <xdr:cNvPr id="2" name="Arrow: Right 1" descr="3536552b-6a32-4c19-8db8-d1c3691d7d4c">
          <a:extLst>
            <a:ext uri="{FF2B5EF4-FFF2-40B4-BE49-F238E27FC236}">
              <a16:creationId xmlns:a16="http://schemas.microsoft.com/office/drawing/2014/main" id="{FBF96E95-879F-4429-93F5-7CB69B857379}"/>
            </a:ext>
          </a:extLst>
        </xdr:cNvPr>
        <xdr:cNvSpPr/>
      </xdr:nvSpPr>
      <xdr:spPr>
        <a:xfrm>
          <a:off x="3409950" y="276225"/>
          <a:ext cx="249555" cy="419100"/>
        </a:xfrm>
        <a:prstGeom prst="rightArrow">
          <a:avLst/>
        </a:prstGeom>
        <a:solidFill>
          <a:srgbClr val="CAEAD8"/>
        </a:solidFill>
        <a:ln w="12700" cap="flat" cmpd="sng" algn="ctr">
          <a:solidFill>
            <a:srgbClr val="CAEAD8"/>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6</xdr:col>
      <xdr:colOff>0</xdr:colOff>
      <xdr:row>9</xdr:row>
      <xdr:rowOff>0</xdr:rowOff>
    </xdr:from>
    <xdr:to>
      <xdr:col>11</xdr:col>
      <xdr:colOff>0</xdr:colOff>
      <xdr:row>17</xdr:row>
      <xdr:rowOff>69850</xdr:rowOff>
    </xdr:to>
    <xdr:grpSp>
      <xdr:nvGrpSpPr>
        <xdr:cNvPr id="6" name="Hint">
          <a:extLst>
            <a:ext uri="{FF2B5EF4-FFF2-40B4-BE49-F238E27FC236}">
              <a16:creationId xmlns:a16="http://schemas.microsoft.com/office/drawing/2014/main" id="{D4BDC2E0-9D44-8A83-9757-34AB6BE9DB22}"/>
            </a:ext>
          </a:extLst>
        </xdr:cNvPr>
        <xdr:cNvGrpSpPr/>
      </xdr:nvGrpSpPr>
      <xdr:grpSpPr>
        <a:xfrm>
          <a:off x="5829300" y="1714500"/>
          <a:ext cx="4857750" cy="1593850"/>
          <a:chOff x="5829300" y="1714500"/>
          <a:chExt cx="4857750" cy="1593850"/>
        </a:xfrm>
      </xdr:grpSpPr>
      <xdr:sp macro="" textlink="">
        <xdr:nvSpPr>
          <xdr:cNvPr id="3" name="Hint Title">
            <a:extLst>
              <a:ext uri="{FF2B5EF4-FFF2-40B4-BE49-F238E27FC236}">
                <a16:creationId xmlns:a16="http://schemas.microsoft.com/office/drawing/2014/main" id="{51B37050-CEA0-D383-B72C-1036519B52C7}"/>
              </a:ext>
            </a:extLst>
          </xdr:cNvPr>
          <xdr:cNvSpPr txBox="1"/>
        </xdr:nvSpPr>
        <xdr:spPr>
          <a:xfrm>
            <a:off x="5829300" y="1714500"/>
            <a:ext cx="4857750" cy="260350"/>
          </a:xfrm>
          <a:prstGeom prst="rect">
            <a:avLst/>
          </a:prstGeom>
          <a:solidFill>
            <a:srgbClr val="464646"/>
          </a:solidFill>
          <a:ln>
            <a:solidFill>
              <a:srgbClr val="464646"/>
            </a:solidFill>
          </a:ln>
        </xdr:spPr>
        <xdr:txBody>
          <a:bodyPr vertOverflow="overflow" vert="horz" wrap="square" rtlCol="0" anchor="ctr">
            <a:spAutoFit/>
          </a:bodyPr>
          <a:lstStyle/>
          <a:p>
            <a:pPr algn="l"/>
            <a:r>
              <a:rPr kumimoji="0" lang="it-IT" sz="1100" b="0" i="0" u="none" strike="noStrike" kern="0" cap="none" spc="0" normalizeH="0" baseline="0" noProof="0">
                <a:ln>
                  <a:noFill/>
                </a:ln>
                <a:solidFill>
                  <a:srgbClr val="FFFFFF"/>
                </a:solidFill>
                <a:effectLst/>
                <a:uLnTx/>
                <a:uFillTx/>
                <a:latin typeface="Aptos Narrow" panose="02110004020202020204"/>
              </a:rPr>
              <a:t>Crea una matrice di correlazione</a:t>
            </a:r>
          </a:p>
        </xdr:txBody>
      </xdr:sp>
      <xdr:sp macro="" textlink="">
        <xdr:nvSpPr>
          <xdr:cNvPr id="4" name="Hint Text">
            <a:extLst>
              <a:ext uri="{FF2B5EF4-FFF2-40B4-BE49-F238E27FC236}">
                <a16:creationId xmlns:a16="http://schemas.microsoft.com/office/drawing/2014/main" id="{ACF4535F-87FF-CA89-F9C7-7A6893305A72}"/>
              </a:ext>
            </a:extLst>
          </xdr:cNvPr>
          <xdr:cNvSpPr txBox="1"/>
        </xdr:nvSpPr>
        <xdr:spPr>
          <a:xfrm>
            <a:off x="5829300" y="1974850"/>
            <a:ext cx="4857750" cy="1333500"/>
          </a:xfrm>
          <a:prstGeom prst="rect">
            <a:avLst/>
          </a:prstGeom>
          <a:solidFill>
            <a:prstClr val="white"/>
          </a:solidFill>
          <a:ln>
            <a:solidFill>
              <a:srgbClr val="464646"/>
            </a:solidFill>
          </a:ln>
        </xdr:spPr>
        <xdr:txBody>
          <a:bodyPr vertOverflow="overflow" vert="horz" wrap="square" rtlCol="0" anchor="t">
            <a:spAutoFit/>
          </a:bodyPr>
          <a:lstStyle/>
          <a:p>
            <a:pPr algn="l"/>
            <a:r>
              <a:rPr kumimoji="0" lang="it-IT" sz="1100" b="0" i="0" u="none" strike="noStrike" kern="0" cap="none" spc="0" normalizeH="0" baseline="0" noProof="0">
                <a:ln>
                  <a:noFill/>
                </a:ln>
                <a:solidFill>
                  <a:sysClr val="windowText" lastClr="000000"/>
                </a:solidFill>
                <a:effectLst/>
                <a:uLnTx/>
                <a:uFillTx/>
                <a:latin typeface="Aptos Narrow" panose="02110004020202020204"/>
              </a:rPr>
              <a:t>
Python in Excel utilizza la libreria Python pandas per creare la matrice di correlazione nelle celle G3:K7
Selezionare la cella G3 ed espandere la barra della formula per informazioni su come creare una matrice di correlazione personalizzata.</a:t>
            </a:r>
          </a:p>
        </xdr:txBody>
      </xdr:sp>
      <xdr:sp macro="" textlink="">
        <xdr:nvSpPr>
          <xdr:cNvPr id="5" name="CasellaDiTesto 4">
            <a:extLst>
              <a:ext uri="{FF2B5EF4-FFF2-40B4-BE49-F238E27FC236}">
                <a16:creationId xmlns:a16="http://schemas.microsoft.com/office/drawing/2014/main" id="{912BC9FC-989B-565D-7381-D78F92336C71}"/>
              </a:ext>
            </a:extLst>
          </xdr:cNvPr>
          <xdr:cNvSpPr txBox="1"/>
        </xdr:nvSpPr>
        <xdr:spPr>
          <a:xfrm>
            <a:off x="5838825" y="2025650"/>
            <a:ext cx="4832350" cy="228600"/>
          </a:xfrm>
          <a:prstGeom prst="rect">
            <a:avLst/>
          </a:prstGeom>
          <a:solidFill>
            <a:prstClr val="white"/>
          </a:solidFill>
          <a:ln>
            <a:solidFill>
              <a:prstClr val="black">
                <a:alpha val="0"/>
              </a:prstClr>
            </a:solidFill>
          </a:ln>
        </xdr:spPr>
        <xdr:txBody>
          <a:bodyPr vertOverflow="overflow" vert="horz" wrap="square" rtlCol="0" anchor="b">
            <a:spAutoFit/>
          </a:bodyPr>
          <a:lstStyle/>
          <a:p>
            <a:pPr algn="l"/>
            <a:r>
              <a:rPr kumimoji="0" lang="it-IT" sz="1100" b="1" i="0" u="none" strike="noStrike" kern="0" cap="none" spc="0" normalizeH="0" baseline="0" noProof="0">
                <a:ln>
                  <a:noFill/>
                </a:ln>
                <a:solidFill>
                  <a:sysClr val="windowText" lastClr="000000"/>
                </a:solidFill>
                <a:effectLst/>
                <a:uLnTx/>
                <a:uFillTx/>
                <a:latin typeface="Aptos Narrow" panose="02110004020202020204"/>
              </a:rPr>
              <a:t>Suggerimento.</a:t>
            </a:r>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361950</xdr:colOff>
      <xdr:row>1</xdr:row>
      <xdr:rowOff>85725</xdr:rowOff>
    </xdr:from>
    <xdr:to>
      <xdr:col>5</xdr:col>
      <xdr:colOff>944880</xdr:colOff>
      <xdr:row>3</xdr:row>
      <xdr:rowOff>123825</xdr:rowOff>
    </xdr:to>
    <xdr:sp macro="" textlink="">
      <xdr:nvSpPr>
        <xdr:cNvPr id="2" name="Arrow: Right 1" descr="95d5532e-ab24-44c5-ad3f-87befdb9a8e2">
          <a:extLst>
            <a:ext uri="{FF2B5EF4-FFF2-40B4-BE49-F238E27FC236}">
              <a16:creationId xmlns:a16="http://schemas.microsoft.com/office/drawing/2014/main" id="{276AC282-711D-418D-963A-CF0A70F3FE9C}"/>
            </a:ext>
          </a:extLst>
        </xdr:cNvPr>
        <xdr:cNvSpPr/>
      </xdr:nvSpPr>
      <xdr:spPr>
        <a:xfrm>
          <a:off x="3409950" y="276225"/>
          <a:ext cx="249555" cy="419100"/>
        </a:xfrm>
        <a:prstGeom prst="rightArrow">
          <a:avLst/>
        </a:prstGeom>
        <a:solidFill>
          <a:srgbClr val="CAEAD8"/>
        </a:solidFill>
        <a:ln w="12700" cap="flat" cmpd="sng" algn="ctr">
          <a:solidFill>
            <a:srgbClr val="CAEAD8"/>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6</xdr:col>
      <xdr:colOff>0</xdr:colOff>
      <xdr:row>16</xdr:row>
      <xdr:rowOff>0</xdr:rowOff>
    </xdr:from>
    <xdr:to>
      <xdr:col>11</xdr:col>
      <xdr:colOff>0</xdr:colOff>
      <xdr:row>28</xdr:row>
      <xdr:rowOff>133403</xdr:rowOff>
    </xdr:to>
    <xdr:grpSp>
      <xdr:nvGrpSpPr>
        <xdr:cNvPr id="6" name="Hint">
          <a:extLst>
            <a:ext uri="{FF2B5EF4-FFF2-40B4-BE49-F238E27FC236}">
              <a16:creationId xmlns:a16="http://schemas.microsoft.com/office/drawing/2014/main" id="{9C3588DD-0428-8604-B5EA-5BF8B3B5AF20}"/>
            </a:ext>
          </a:extLst>
        </xdr:cNvPr>
        <xdr:cNvGrpSpPr/>
      </xdr:nvGrpSpPr>
      <xdr:grpSpPr>
        <a:xfrm>
          <a:off x="5829300" y="3048000"/>
          <a:ext cx="4857750" cy="2419403"/>
          <a:chOff x="5829300" y="3048000"/>
          <a:chExt cx="4857750" cy="2419403"/>
        </a:xfrm>
      </xdr:grpSpPr>
      <xdr:sp macro="" textlink="">
        <xdr:nvSpPr>
          <xdr:cNvPr id="3" name="Hint Title">
            <a:extLst>
              <a:ext uri="{FF2B5EF4-FFF2-40B4-BE49-F238E27FC236}">
                <a16:creationId xmlns:a16="http://schemas.microsoft.com/office/drawing/2014/main" id="{8A91BA46-4885-6667-B220-9B63C5D99602}"/>
              </a:ext>
            </a:extLst>
          </xdr:cNvPr>
          <xdr:cNvSpPr txBox="1"/>
        </xdr:nvSpPr>
        <xdr:spPr>
          <a:xfrm>
            <a:off x="5829300" y="3048000"/>
            <a:ext cx="4857750" cy="260350"/>
          </a:xfrm>
          <a:prstGeom prst="rect">
            <a:avLst/>
          </a:prstGeom>
          <a:solidFill>
            <a:srgbClr val="464646"/>
          </a:solidFill>
          <a:ln>
            <a:solidFill>
              <a:srgbClr val="464646"/>
            </a:solidFill>
          </a:ln>
        </xdr:spPr>
        <xdr:txBody>
          <a:bodyPr vertOverflow="overflow" vert="horz" wrap="square" rtlCol="0" anchor="ctr">
            <a:spAutoFit/>
          </a:bodyPr>
          <a:lstStyle/>
          <a:p>
            <a:pPr algn="l"/>
            <a:r>
              <a:rPr kumimoji="0" lang="it-IT" sz="1100" b="0" i="0" u="none" strike="noStrike" kern="0" cap="none" spc="0" normalizeH="0" baseline="0" noProof="0">
                <a:ln>
                  <a:noFill/>
                </a:ln>
                <a:solidFill>
                  <a:srgbClr val="FFFFFF"/>
                </a:solidFill>
                <a:effectLst/>
                <a:uLnTx/>
                <a:uFillTx/>
                <a:latin typeface="Aptos Narrow" panose="02110004020202020204"/>
              </a:rPr>
              <a:t>Sviluppa un tracciato a coppie</a:t>
            </a:r>
          </a:p>
        </xdr:txBody>
      </xdr:sp>
      <xdr:sp macro="" textlink="">
        <xdr:nvSpPr>
          <xdr:cNvPr id="4" name="Hint Text">
            <a:extLst>
              <a:ext uri="{FF2B5EF4-FFF2-40B4-BE49-F238E27FC236}">
                <a16:creationId xmlns:a16="http://schemas.microsoft.com/office/drawing/2014/main" id="{E731B6FF-51F3-32C8-EE66-7A20BCB0D311}"/>
              </a:ext>
            </a:extLst>
          </xdr:cNvPr>
          <xdr:cNvSpPr txBox="1"/>
        </xdr:nvSpPr>
        <xdr:spPr>
          <a:xfrm>
            <a:off x="5829300" y="3308350"/>
            <a:ext cx="4857750" cy="2159053"/>
          </a:xfrm>
          <a:prstGeom prst="rect">
            <a:avLst/>
          </a:prstGeom>
          <a:solidFill>
            <a:prstClr val="white"/>
          </a:solidFill>
          <a:ln>
            <a:solidFill>
              <a:srgbClr val="464646"/>
            </a:solidFill>
          </a:ln>
        </xdr:spPr>
        <xdr:txBody>
          <a:bodyPr vertOverflow="overflow" vert="horz" wrap="square" rtlCol="0" anchor="t">
            <a:spAutoFit/>
          </a:bodyPr>
          <a:lstStyle/>
          <a:p>
            <a:pPr algn="l"/>
            <a:r>
              <a:rPr kumimoji="0" lang="it-IT" sz="1100" b="0" i="0" u="none" strike="noStrike" kern="0" cap="none" spc="0" normalizeH="0" baseline="0" noProof="0">
                <a:ln>
                  <a:noFill/>
                </a:ln>
                <a:solidFill>
                  <a:sysClr val="windowText" lastClr="000000"/>
                </a:solidFill>
                <a:effectLst/>
                <a:uLnTx/>
                <a:uFillTx/>
                <a:latin typeface="Aptos Narrow" panose="02110004020202020204"/>
              </a:rPr>
              <a:t>
Python in Excel crea questo tracciato a coppie usando la libreria pandas di Python. Il tracciato mobile nella cella G4 è un riferimento alla formula Python nella cella G3. Trascina la selezione dell'immagine del tracciato mobile per spostarla nel foglio di lavoro.
Seleziona la cella G3 ed espandi la barra della formula per vedere come viene importata la libreria pandas e imparare a creare i tracciati a coppie. Per visualizzare altri tracciati nella forma di immagini mobili, come in questo esempio, seleziona la cella con l'oggetto Immagine, l'icona Inserisci dati e quindi Visualizza tracciato su celle.  </a:t>
            </a:r>
          </a:p>
        </xdr:txBody>
      </xdr:sp>
      <xdr:sp macro="" textlink="">
        <xdr:nvSpPr>
          <xdr:cNvPr id="5" name="CasellaDiTesto 4">
            <a:extLst>
              <a:ext uri="{FF2B5EF4-FFF2-40B4-BE49-F238E27FC236}">
                <a16:creationId xmlns:a16="http://schemas.microsoft.com/office/drawing/2014/main" id="{2A46A61D-5CBA-FDD5-F0F2-C3293130B7DB}"/>
              </a:ext>
            </a:extLst>
          </xdr:cNvPr>
          <xdr:cNvSpPr txBox="1"/>
        </xdr:nvSpPr>
        <xdr:spPr>
          <a:xfrm>
            <a:off x="5838825" y="3359150"/>
            <a:ext cx="4832350" cy="228600"/>
          </a:xfrm>
          <a:prstGeom prst="rect">
            <a:avLst/>
          </a:prstGeom>
          <a:solidFill>
            <a:prstClr val="white"/>
          </a:solidFill>
          <a:ln>
            <a:solidFill>
              <a:prstClr val="black">
                <a:alpha val="0"/>
              </a:prstClr>
            </a:solidFill>
          </a:ln>
        </xdr:spPr>
        <xdr:txBody>
          <a:bodyPr vertOverflow="overflow" vert="horz" wrap="square" rtlCol="0" anchor="b">
            <a:spAutoFit/>
          </a:bodyPr>
          <a:lstStyle/>
          <a:p>
            <a:pPr algn="l"/>
            <a:r>
              <a:rPr kumimoji="0" lang="it-IT" sz="1100" b="1" i="0" u="none" strike="noStrike" kern="0" cap="none" spc="0" normalizeH="0" baseline="0" noProof="0">
                <a:ln>
                  <a:noFill/>
                </a:ln>
                <a:solidFill>
                  <a:sysClr val="windowText" lastClr="000000"/>
                </a:solidFill>
                <a:effectLst/>
                <a:uLnTx/>
                <a:uFillTx/>
                <a:latin typeface="Aptos Narrow" panose="02110004020202020204"/>
              </a:rPr>
              <a:t>Suggerimento.</a:t>
            </a:r>
          </a:p>
        </xdr:txBody>
      </xdr:sp>
    </xdr:grpSp>
    <xdr:clientData/>
  </xdr:twoCellAnchor>
  <xdr:twoCellAnchor editAs="oneCell">
    <xdr:from>
      <xdr:col>6</xdr:col>
      <xdr:colOff>63500</xdr:colOff>
      <xdr:row>3</xdr:row>
      <xdr:rowOff>63500</xdr:rowOff>
    </xdr:from>
    <xdr:to>
      <xdr:col>8</xdr:col>
      <xdr:colOff>371829</xdr:colOff>
      <xdr:row>15</xdr:row>
      <xdr:rowOff>63500</xdr:rowOff>
    </xdr:to>
    <xdr:pic>
      <xdr:nvPicPr>
        <xdr:cNvPr id="7" name="Pair Plot Image">
          <a:extLst>
            <a:ext uri="{FF2B5EF4-FFF2-40B4-BE49-F238E27FC236}">
              <a16:creationId xmlns:a16="http://schemas.microsoft.com/office/drawing/2014/main" id="{9215737D-2240-88CD-B0AE-5E272F6906BD}"/>
            </a:ext>
          </a:extLst>
        </xdr:cNvPr>
        <xdr:cNvPicPr>
          <a:picLocks noChangeAspect="1"/>
          <a:extLst>
            <a:ext uri="{53484399-7A02-498B-ADA4-41CD10E50FAC}">
              <aif:imageFormula xmlns:aif="http://schemas.microsoft.com/office/drawing/2022/imageformula" formula="'matrice scatterplot'!G3"/>
            </a:ext>
          </a:extLst>
        </xdr:cNvPicPr>
      </xdr:nvPicPr>
      <xdr:blipFill>
        <a:blip xmlns:r="http://schemas.openxmlformats.org/officeDocument/2006/relationships" r:embed="rId1"/>
        <a:stretch>
          <a:fillRect/>
        </a:stretch>
      </xdr:blipFill>
      <xdr:spPr>
        <a:xfrm>
          <a:off x="5892800" y="635000"/>
          <a:ext cx="2251429" cy="2286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5</xdr:col>
      <xdr:colOff>361950</xdr:colOff>
      <xdr:row>1</xdr:row>
      <xdr:rowOff>85725</xdr:rowOff>
    </xdr:from>
    <xdr:to>
      <xdr:col>5</xdr:col>
      <xdr:colOff>944880</xdr:colOff>
      <xdr:row>3</xdr:row>
      <xdr:rowOff>123825</xdr:rowOff>
    </xdr:to>
    <xdr:sp macro="" textlink="">
      <xdr:nvSpPr>
        <xdr:cNvPr id="2" name="Arrow: Right 1" descr="3cc39752-751c-4c6d-ace7-c2a422ecf014">
          <a:extLst>
            <a:ext uri="{FF2B5EF4-FFF2-40B4-BE49-F238E27FC236}">
              <a16:creationId xmlns:a16="http://schemas.microsoft.com/office/drawing/2014/main" id="{89554F10-66B4-4FFE-AA12-443B9E73242D}"/>
            </a:ext>
          </a:extLst>
        </xdr:cNvPr>
        <xdr:cNvSpPr/>
      </xdr:nvSpPr>
      <xdr:spPr>
        <a:xfrm>
          <a:off x="3409950" y="276225"/>
          <a:ext cx="249555" cy="419100"/>
        </a:xfrm>
        <a:prstGeom prst="rightArrow">
          <a:avLst/>
        </a:prstGeom>
        <a:solidFill>
          <a:srgbClr val="CAEAD8"/>
        </a:solidFill>
        <a:ln w="12700" cap="flat" cmpd="sng" algn="ctr">
          <a:solidFill>
            <a:srgbClr val="CAEAD8"/>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6</xdr:col>
      <xdr:colOff>0</xdr:colOff>
      <xdr:row>14</xdr:row>
      <xdr:rowOff>0</xdr:rowOff>
    </xdr:from>
    <xdr:to>
      <xdr:col>11</xdr:col>
      <xdr:colOff>0</xdr:colOff>
      <xdr:row>26</xdr:row>
      <xdr:rowOff>133403</xdr:rowOff>
    </xdr:to>
    <xdr:grpSp>
      <xdr:nvGrpSpPr>
        <xdr:cNvPr id="6" name="Hint">
          <a:extLst>
            <a:ext uri="{FF2B5EF4-FFF2-40B4-BE49-F238E27FC236}">
              <a16:creationId xmlns:a16="http://schemas.microsoft.com/office/drawing/2014/main" id="{DC37BCFC-5759-5A4E-7B94-0BD6DD97FCA6}"/>
            </a:ext>
          </a:extLst>
        </xdr:cNvPr>
        <xdr:cNvGrpSpPr/>
      </xdr:nvGrpSpPr>
      <xdr:grpSpPr>
        <a:xfrm>
          <a:off x="5829300" y="2667000"/>
          <a:ext cx="4857750" cy="2419403"/>
          <a:chOff x="5829300" y="2667000"/>
          <a:chExt cx="4857750" cy="2419403"/>
        </a:xfrm>
      </xdr:grpSpPr>
      <xdr:sp macro="" textlink="">
        <xdr:nvSpPr>
          <xdr:cNvPr id="3" name="Hint Title">
            <a:extLst>
              <a:ext uri="{FF2B5EF4-FFF2-40B4-BE49-F238E27FC236}">
                <a16:creationId xmlns:a16="http://schemas.microsoft.com/office/drawing/2014/main" id="{5216E359-B6FB-904A-C6E3-07EDBFE73EC1}"/>
              </a:ext>
            </a:extLst>
          </xdr:cNvPr>
          <xdr:cNvSpPr txBox="1"/>
        </xdr:nvSpPr>
        <xdr:spPr>
          <a:xfrm>
            <a:off x="5829300" y="2667000"/>
            <a:ext cx="4857750" cy="260350"/>
          </a:xfrm>
          <a:prstGeom prst="rect">
            <a:avLst/>
          </a:prstGeom>
          <a:solidFill>
            <a:srgbClr val="464646"/>
          </a:solidFill>
          <a:ln>
            <a:solidFill>
              <a:srgbClr val="464646"/>
            </a:solidFill>
          </a:ln>
        </xdr:spPr>
        <xdr:txBody>
          <a:bodyPr vertOverflow="overflow" vert="horz" wrap="square" rtlCol="0" anchor="ctr">
            <a:spAutoFit/>
          </a:bodyPr>
          <a:lstStyle/>
          <a:p>
            <a:pPr algn="l"/>
            <a:r>
              <a:rPr kumimoji="0" lang="it-IT" sz="1100" b="0" i="0" u="none" strike="noStrike" kern="0" cap="none" spc="0" normalizeH="0" baseline="0" noProof="0">
                <a:ln>
                  <a:noFill/>
                </a:ln>
                <a:solidFill>
                  <a:srgbClr val="FFFFFF"/>
                </a:solidFill>
                <a:effectLst/>
                <a:uLnTx/>
                <a:uFillTx/>
                <a:latin typeface="Aptos Narrow" panose="02110004020202020204"/>
              </a:rPr>
              <a:t>Genera una regressione lineare</a:t>
            </a:r>
          </a:p>
        </xdr:txBody>
      </xdr:sp>
      <xdr:sp macro="" textlink="">
        <xdr:nvSpPr>
          <xdr:cNvPr id="4" name="Hint Text">
            <a:extLst>
              <a:ext uri="{FF2B5EF4-FFF2-40B4-BE49-F238E27FC236}">
                <a16:creationId xmlns:a16="http://schemas.microsoft.com/office/drawing/2014/main" id="{687C599B-98E6-9F7B-E31C-FAAB41519837}"/>
              </a:ext>
            </a:extLst>
          </xdr:cNvPr>
          <xdr:cNvSpPr txBox="1"/>
        </xdr:nvSpPr>
        <xdr:spPr>
          <a:xfrm>
            <a:off x="5829300" y="2927350"/>
            <a:ext cx="4857750" cy="2159053"/>
          </a:xfrm>
          <a:prstGeom prst="rect">
            <a:avLst/>
          </a:prstGeom>
          <a:solidFill>
            <a:prstClr val="white"/>
          </a:solidFill>
          <a:ln>
            <a:solidFill>
              <a:srgbClr val="464646"/>
            </a:solidFill>
          </a:ln>
        </xdr:spPr>
        <xdr:txBody>
          <a:bodyPr vertOverflow="overflow" vert="horz" wrap="square" rtlCol="0" anchor="t">
            <a:spAutoFit/>
          </a:bodyPr>
          <a:lstStyle/>
          <a:p>
            <a:pPr algn="l"/>
            <a:r>
              <a:rPr kumimoji="0" lang="it-IT" sz="1100" b="0" i="0" u="none" strike="noStrike" kern="0" cap="none" spc="0" normalizeH="0" baseline="0" noProof="0">
                <a:ln>
                  <a:noFill/>
                </a:ln>
                <a:solidFill>
                  <a:sysClr val="windowText" lastClr="000000"/>
                </a:solidFill>
                <a:effectLst/>
                <a:uLnTx/>
                <a:uFillTx/>
                <a:latin typeface="Aptos Narrow" panose="02110004020202020204"/>
              </a:rPr>
              <a:t>
Python in Excel crea questo tracciato di regressione lineare usando la libreria seaborn di Python. Il tracciato mobile nella cella G4 è un riferimento alla formula Python nella cella G3. Trascina la selezione dell'immagine del tracciato mobile per spostarla nel foglio di lavoro.
Seleziona la cella G3 ed espandi la barra della formula per vedere come viene importata la libreria seaborn e imparare a creare i tracciati di regressione lineare. Per visualizzare altri tracciati nella forma di immagini mobili, come in questo esempio, seleziona la cella con l'oggetto Immagine, l'icona Inserisci dati e quindi Visualizza tracciato su celle</a:t>
            </a:r>
          </a:p>
        </xdr:txBody>
      </xdr:sp>
      <xdr:sp macro="" textlink="">
        <xdr:nvSpPr>
          <xdr:cNvPr id="5" name="CasellaDiTesto 4">
            <a:extLst>
              <a:ext uri="{FF2B5EF4-FFF2-40B4-BE49-F238E27FC236}">
                <a16:creationId xmlns:a16="http://schemas.microsoft.com/office/drawing/2014/main" id="{4440DFB8-918E-B5CD-E5D3-28F7EF315747}"/>
              </a:ext>
            </a:extLst>
          </xdr:cNvPr>
          <xdr:cNvSpPr txBox="1"/>
        </xdr:nvSpPr>
        <xdr:spPr>
          <a:xfrm>
            <a:off x="5838825" y="2978150"/>
            <a:ext cx="4832350" cy="228600"/>
          </a:xfrm>
          <a:prstGeom prst="rect">
            <a:avLst/>
          </a:prstGeom>
          <a:solidFill>
            <a:prstClr val="white"/>
          </a:solidFill>
          <a:ln>
            <a:solidFill>
              <a:prstClr val="black">
                <a:alpha val="0"/>
              </a:prstClr>
            </a:solidFill>
          </a:ln>
        </xdr:spPr>
        <xdr:txBody>
          <a:bodyPr vertOverflow="overflow" vert="horz" wrap="square" rtlCol="0" anchor="b">
            <a:spAutoFit/>
          </a:bodyPr>
          <a:lstStyle/>
          <a:p>
            <a:pPr algn="l"/>
            <a:r>
              <a:rPr kumimoji="0" lang="it-IT" sz="1100" b="1" i="0" u="none" strike="noStrike" kern="0" cap="none" spc="0" normalizeH="0" baseline="0" noProof="0">
                <a:ln>
                  <a:noFill/>
                </a:ln>
                <a:solidFill>
                  <a:sysClr val="windowText" lastClr="000000"/>
                </a:solidFill>
                <a:effectLst/>
                <a:uLnTx/>
                <a:uFillTx/>
                <a:latin typeface="Aptos Narrow" panose="02110004020202020204"/>
              </a:rPr>
              <a:t>Suggerimento.</a:t>
            </a:r>
          </a:p>
        </xdr:txBody>
      </xdr:sp>
    </xdr:grpSp>
    <xdr:clientData/>
  </xdr:twoCellAnchor>
  <xdr:twoCellAnchor editAs="oneCell">
    <xdr:from>
      <xdr:col>6</xdr:col>
      <xdr:colOff>63500</xdr:colOff>
      <xdr:row>3</xdr:row>
      <xdr:rowOff>63500</xdr:rowOff>
    </xdr:from>
    <xdr:to>
      <xdr:col>8</xdr:col>
      <xdr:colOff>562144</xdr:colOff>
      <xdr:row>13</xdr:row>
      <xdr:rowOff>63500</xdr:rowOff>
    </xdr:to>
    <xdr:pic>
      <xdr:nvPicPr>
        <xdr:cNvPr id="7" name="Linear Regression Image">
          <a:extLst>
            <a:ext uri="{FF2B5EF4-FFF2-40B4-BE49-F238E27FC236}">
              <a16:creationId xmlns:a16="http://schemas.microsoft.com/office/drawing/2014/main" id="{9282BA52-0355-CB11-C106-4CC2F1ECD3F2}"/>
            </a:ext>
          </a:extLst>
        </xdr:cNvPr>
        <xdr:cNvPicPr>
          <a:picLocks noChangeAspect="1"/>
          <a:extLst>
            <a:ext uri="{53484399-7A02-498B-ADA4-41CD10E50FAC}">
              <aif:imageFormula xmlns:aif="http://schemas.microsoft.com/office/drawing/2022/imageformula" formula="regressione!G3"/>
            </a:ext>
          </a:extLst>
        </xdr:cNvPicPr>
      </xdr:nvPicPr>
      <xdr:blipFill>
        <a:blip xmlns:r="http://schemas.openxmlformats.org/officeDocument/2006/relationships" r:embed="rId1"/>
        <a:stretch>
          <a:fillRect/>
        </a:stretch>
      </xdr:blipFill>
      <xdr:spPr>
        <a:xfrm>
          <a:off x="5892800" y="635000"/>
          <a:ext cx="2441744" cy="1905000"/>
        </a:xfrm>
        <a:prstGeom prst="rect">
          <a:avLst/>
        </a:prstGeom>
      </xdr:spPr>
    </xdr:pic>
    <xdr:clientData/>
  </xdr:twoCellAnchor>
</xdr:wsDr>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array.xml><?xml version="1.0" encoding="utf-8"?>
<arrayData xmlns="http://schemas.microsoft.com/office/spreadsheetml/2017/richdata2" count="4">
  <a r="12" c="6">
    <v t="s"/>
    <v t="s">sepal_length</v>
    <v t="s">sepal_width</v>
    <v t="s">petal_length</v>
    <v t="s">petal_width</v>
    <v t="s">species</v>
    <v>0</v>
    <v>5.0999999999999996</v>
    <v>3.5</v>
    <v>1.4</v>
    <v>0.2</v>
    <v t="s">setosa</v>
    <v>1</v>
    <v>4.9000000000000004</v>
    <v>3</v>
    <v>1.4</v>
    <v>0.2</v>
    <v t="s">setosa</v>
    <v>2</v>
    <v>4.7</v>
    <v>3.2</v>
    <v>1.3</v>
    <v>0.2</v>
    <v t="s">setosa</v>
    <v>3</v>
    <v>4.5999999999999996</v>
    <v>3.1</v>
    <v>1.5</v>
    <v>0.2</v>
    <v t="s">setosa</v>
    <v>4</v>
    <v>5</v>
    <v>3.6</v>
    <v>1.4</v>
    <v>0.2</v>
    <v t="s">setosa</v>
    <v t="s">...</v>
    <v t="s">...</v>
    <v t="s">...</v>
    <v t="s">...</v>
    <v t="s">...</v>
    <v t="s">...</v>
    <v>145</v>
    <v>6.7</v>
    <v>3</v>
    <v>5.2</v>
    <v>2.2999999999999998</v>
    <v t="s">virginica</v>
    <v>146</v>
    <v>6.3</v>
    <v>2.5</v>
    <v>5</v>
    <v>1.9</v>
    <v t="s">virginica</v>
    <v>147</v>
    <v>6.5</v>
    <v>3</v>
    <v>5.2</v>
    <v>2</v>
    <v t="s">virginica</v>
    <v>148</v>
    <v>6.2</v>
    <v>3.4</v>
    <v>5.4</v>
    <v>2.2999999999999998</v>
    <v t="s">virginica</v>
    <v>149</v>
    <v>5.9</v>
    <v>3</v>
    <v>5.0999999999999996</v>
    <v>1.8</v>
    <v t="s">virginica</v>
  </a>
  <a r="2">
    <v>568</v>
    <v>453</v>
  </a>
  <a r="2">
    <v>555</v>
    <v>433</v>
  </a>
  <a r="1" c="2">
    <v>0</v>
    <v>113</v>
  </a>
</arrayData>
</file>

<file path=xl/richData/rdrichvalue.xml><?xml version="1.0" encoding="utf-8"?>
<rvData xmlns="http://schemas.microsoft.com/office/spreadsheetml/2017/richdata" count="17">
  <rv s="0">
    <v>0</v>
  </rv>
  <rv s="1">
    <v>DataFrame</v>
    <v>1</v>
    <v>0</v>
  </rv>
  <rv s="2">
    <v>&lt;class 'pandas.core.frame.DataFrame'&gt;</v>
    <v>DataFrame</v>
    <v xml:space="preserve">     sepal_length  sepal_width  petal_length  petal_width    species
0             5.1          3.5           1.4          0.2     setosa
1             4.9          3.0           1.4          0.2     setosa
2             4.7          3.2           1.3 ...</v>
    <v>1</v>
    <v>2</v>
  </rv>
  <rv s="3">
    <v>0</v>
    <v>9</v>
  </rv>
  <rv s="0">
    <v>1</v>
  </rv>
  <rv s="4">
    <v>Image</v>
    <v>3</v>
    <v>3</v>
    <v>4</v>
  </rv>
  <rv s="2">
    <v>&lt;class 'PIL.PngImagePlugin.PngImageFile'&gt;</v>
    <v>PngImageFile</v>
    <v>&lt;PIL.PngImagePlugin.PngImageFile image mode=RGBA size=568x453 at 0x7F86965E6FF0&gt;</v>
    <v>5</v>
    <v>2</v>
  </rv>
  <rv s="5">
    <v>1</v>
    <v>9</v>
    <v>Immagine generata da Python</v>
  </rv>
  <rv s="3">
    <v>2</v>
    <v>9</v>
  </rv>
  <rv s="0">
    <v>2</v>
  </rv>
  <rv s="4">
    <v>Image</v>
    <v>3</v>
    <v>8</v>
    <v>9</v>
  </rv>
  <rv s="2">
    <v>&lt;class 'PIL.PngImagePlugin.PngImageFile'&gt;</v>
    <v>PngImageFile</v>
    <v>&lt;PIL.PngImagePlugin.PngImageFile image mode=RGBA size=555x433 at 0x7F86963043E0&gt;</v>
    <v>10</v>
    <v>2</v>
  </rv>
  <rv s="6">
    <fb>35</fb>
    <v>&lt;class 'int'&gt;</v>
    <v>int</v>
    <v>35</v>
    <v>35</v>
    <v>2</v>
  </rv>
  <rv s="0">
    <v>3</v>
  </rv>
  <rv s="1">
    <v>Series</v>
    <v>5</v>
    <v>13</v>
  </rv>
  <rv s="2">
    <v>&lt;class 'pandas.core.series.Series'&gt;</v>
    <v>Series</v>
    <v>0    113
dtype: int64</v>
    <v>14</v>
    <v>2</v>
  </rv>
  <rv s="7">
    <fb>0</fb>
    <v>6</v>
  </rv>
</rvData>
</file>

<file path=xl/richData/rdrichvaluestructure.xml><?xml version="1.0" encoding="utf-8"?>
<rvStructures xmlns="http://schemas.microsoft.com/office/spreadsheetml/2017/richdata" count="8">
  <s t="_array">
    <k n="array" t="a"/>
  </s>
  <s t="_entity">
    <k n="_DisplayString" t="s"/>
    <k n="_ViewInfo" t="spb"/>
    <k n="arrayPreview" t="r"/>
  </s>
  <s t="_python">
    <k n="Python_type" t="s"/>
    <k n="Python_typeName" t="s"/>
    <k n="Python_str" t="s"/>
    <k n="preview" t="r"/>
    <k n="_Provider" t="spb"/>
  </s>
  <s t="_localImage">
    <k n="_rvRel:LocalImageIdentifier" t="i"/>
    <k n="CalcOrigin" t="i"/>
  </s>
  <s t="_entity">
    <k n="_DisplayString" t="s"/>
    <k n="_Format" t="spb"/>
    <k n="image" t="r"/>
    <k n="size" t="r"/>
  </s>
  <s t="_localImage">
    <k n="_rvRel:LocalImageIdentifier" t="i"/>
    <k n="CalcOrigin" t="i"/>
    <k n="Text" t="s"/>
  </s>
  <s t="_python">
    <k n="Python_type" t="s"/>
    <k n="Python_typeName" t="s"/>
    <k n="Python_str" t="s"/>
    <k n="basicValue" t="i"/>
    <k n="_Provider" t="spb"/>
  </s>
  <s t="_formattednumber">
    <k n="_Format" t="spb"/>
  </s>
</rvStructures>
</file>

<file path=xl/richData/rdsupportingpropertybag.xml><?xml version="1.0" encoding="utf-8"?>
<supportingPropertyBags xmlns="http://schemas.microsoft.com/office/spreadsheetml/2017/richdata2">
  <spbData count="7">
    <spb s="0">
      <v>150</v>
      <v>5</v>
      <v>DataFrame</v>
      <v>arrayPreview</v>
      <v>1</v>
    </spb>
    <spb s="1">
      <v>0</v>
    </spb>
    <spb s="2">
      <v>https://www.anaconda.com/excel</v>
      <v>https://res.cdn.office.net/officepysvc/prod-service/anacondalogo.png</v>
      <v>Python fornito da Anaconda</v>
    </spb>
    <spb s="3">
      <v>1</v>
    </spb>
    <spb s="4">
      <v>1</v>
      <v>1</v>
      <v>Series</v>
      <v>arrayPreview</v>
    </spb>
    <spb s="1">
      <v>4</v>
    </spb>
    <spb s="5">
      <v>2</v>
    </spb>
  </spbData>
</supportingPropertyBags>
</file>

<file path=xl/richData/rdsupportingpropertybagstructure.xml><?xml version="1.0" encoding="utf-8"?>
<spbStructures xmlns="http://schemas.microsoft.com/office/spreadsheetml/2017/richdata2" count="6">
  <s>
    <k n="drw" t="i"/>
    <k n="dcol" t="i"/>
    <k n="name" t="s"/>
    <k n="array" t="s"/>
    <k n="headers" t="b"/>
  </s>
  <s>
    <k n="ArrayCardInfo" t="spb"/>
  </s>
  <s>
    <k n="link" t="s"/>
    <k n="logo" t="s"/>
    <k n="name" t="s"/>
  </s>
  <s>
    <k n="image" t="i"/>
  </s>
  <s>
    <k n="drw" t="i"/>
    <k n="dcol" t="i"/>
    <k n="name" t="s"/>
    <k n="array" t="s"/>
  </s>
  <s>
    <k n="_Self"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1">
    <x:dxf>
      <x:numFmt numFmtId="0" formatCode="General"/>
    </x:dxf>
  </dxfs>
  <richProperties>
    <rPr n="IsHeroField" t="b"/>
    <rPr n="NumberFormat" t="s"/>
  </richProperties>
  <richStyles>
    <rSty>
      <rpv i="0">1</rpv>
    </rSty>
    <rSty dxfid="0">
      <rpv i="1">0;-0;"None"</rpv>
    </rSty>
  </richStyles>
</richStyleSheet>
</file>

<file path=xl/richData/richValueRel.xml><?xml version="1.0" encoding="utf-8"?>
<richValueRels xmlns="http://schemas.microsoft.com/office/spreadsheetml/2022/richvaluerel" xmlns:r="http://schemas.openxmlformats.org/officeDocument/2006/relationships">
  <rel r:id="rId1"/>
  <rel r:id="rId2"/>
  <rel r:id="rId3"/>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9864E4-F115-4A8B-8D60-B410D5788CD9}" name="IrisDataSet2" displayName="IrisDataSet2" ref="A2:E152" totalsRowShown="0">
  <autoFilter ref="A2:E152" xr:uid="{D14708EC-6318-4368-BA92-ECD9CF873808}"/>
  <tableColumns count="5">
    <tableColumn id="1" xr3:uid="{ACF1E6B6-8080-442F-BFF8-D2467242FD9D}" name="sepal_length"/>
    <tableColumn id="2" xr3:uid="{81CA5D39-FC5A-4763-BED0-223765756ADF}" name="sepal_width"/>
    <tableColumn id="3" xr3:uid="{9A3BE0CD-3205-4A33-AF30-1C179C820418}" name="petal_length"/>
    <tableColumn id="4" xr3:uid="{9D195B30-9D54-49C8-8FE6-E56846D1BF13}" name="petal_width"/>
    <tableColumn id="5" xr3:uid="{A4E6FE91-8C69-4551-971C-7DAAE04BE830}" name="species"/>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784E48D-45DC-437A-A6D1-9FEBEBDE831F}" name="IrisDataSet23" displayName="IrisDataSet23" ref="A2:E152" totalsRowShown="0">
  <autoFilter ref="A2:E152" xr:uid="{D14708EC-6318-4368-BA92-ECD9CF873808}"/>
  <tableColumns count="5">
    <tableColumn id="1" xr3:uid="{ACF1E6B6-8080-442F-BFF8-D2467242FD9D}" name="sepal_length"/>
    <tableColumn id="2" xr3:uid="{81CA5D39-FC5A-4763-BED0-223765756ADF}" name="sepal_width"/>
    <tableColumn id="3" xr3:uid="{9A3BE0CD-3205-4A33-AF30-1C179C820418}" name="petal_length"/>
    <tableColumn id="4" xr3:uid="{9D195B30-9D54-49C8-8FE6-E56846D1BF13}" name="petal_width"/>
    <tableColumn id="5" xr3:uid="{A4E6FE91-8C69-4551-971C-7DAAE04BE830}" name="species"/>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41B54F6-AD96-4E85-B52E-173375C46A48}" name="IrisDataSet24" displayName="IrisDataSet24" ref="A2:E152" totalsRowShown="0">
  <autoFilter ref="A2:E152" xr:uid="{D14708EC-6318-4368-BA92-ECD9CF873808}"/>
  <tableColumns count="5">
    <tableColumn id="1" xr3:uid="{ACF1E6B6-8080-442F-BFF8-D2467242FD9D}" name="sepal_length"/>
    <tableColumn id="2" xr3:uid="{81CA5D39-FC5A-4763-BED0-223765756ADF}" name="sepal_width"/>
    <tableColumn id="3" xr3:uid="{9A3BE0CD-3205-4A33-AF30-1C179C820418}" name="petal_length"/>
    <tableColumn id="4" xr3:uid="{9D195B30-9D54-49C8-8FE6-E56846D1BF13}" name="petal_width"/>
    <tableColumn id="5" xr3:uid="{A4E6FE91-8C69-4551-971C-7DAAE04BE830}" name="species"/>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75B1383-2329-4F91-835F-B28693FC65CF}" name="IrisDataSet25" displayName="IrisDataSet25" ref="A2:E152" totalsRowShown="0">
  <autoFilter ref="A2:E152" xr:uid="{D14708EC-6318-4368-BA92-ECD9CF873808}"/>
  <tableColumns count="5">
    <tableColumn id="1" xr3:uid="{ACF1E6B6-8080-442F-BFF8-D2467242FD9D}" name="sepal_length"/>
    <tableColumn id="2" xr3:uid="{81CA5D39-FC5A-4763-BED0-223765756ADF}" name="sepal_width"/>
    <tableColumn id="3" xr3:uid="{9A3BE0CD-3205-4A33-AF30-1C179C820418}" name="petal_length"/>
    <tableColumn id="4" xr3:uid="{9D195B30-9D54-49C8-8FE6-E56846D1BF13}" name="petal_width"/>
    <tableColumn id="5" xr3:uid="{A4E6FE91-8C69-4551-971C-7DAAE04BE830}" name="species"/>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5DD46A4-1A48-4AD2-B694-F6899041B6A0}" name="IrisDataSet26" displayName="IrisDataSet26" ref="A2:E152" totalsRowShown="0">
  <autoFilter ref="A2:E152" xr:uid="{D14708EC-6318-4368-BA92-ECD9CF873808}"/>
  <tableColumns count="5">
    <tableColumn id="1" xr3:uid="{ACF1E6B6-8080-442F-BFF8-D2467242FD9D}" name="sepal_length"/>
    <tableColumn id="2" xr3:uid="{81CA5D39-FC5A-4763-BED0-223765756ADF}" name="sepal_width"/>
    <tableColumn id="3" xr3:uid="{9A3BE0CD-3205-4A33-AF30-1C179C820418}" name="petal_length"/>
    <tableColumn id="4" xr3:uid="{9D195B30-9D54-49C8-8FE6-E56846D1BF13}" name="petal_width"/>
    <tableColumn id="5" xr3:uid="{A4E6FE91-8C69-4551-971C-7DAAE04BE830}" name="species"/>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D08091E-05FA-4533-AA22-8A79CAAD39F2}" name="Tabella6" displayName="Tabella6" ref="B13:D16" totalsRowShown="0">
  <autoFilter ref="B13:D16" xr:uid="{8D08091E-05FA-4533-AA22-8A79CAAD39F2}"/>
  <tableColumns count="3">
    <tableColumn id="1" xr3:uid="{EC6EE5E0-CF7B-49C1-9CEA-4C701CA79E23}" name="campo1"/>
    <tableColumn id="2" xr3:uid="{25D5BB35-5CDE-4BC0-B41D-977674BEA94F}" name="campo2"/>
    <tableColumn id="3" xr3:uid="{5120319E-1057-4B4E-BB19-54731A59658C}" name="campo3"/>
  </tableColumns>
  <tableStyleInfo name="TableStyleMedium2" showFirstColumn="0" showLastColumn="0" showRowStripes="1" showColumnStripes="0"/>
</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0CBA9-1325-4678-AC2D-A548B7E8825B}">
  <dimension ref="A1:Q154"/>
  <sheetViews>
    <sheetView workbookViewId="0">
      <selection activeCell="N9" sqref="N9"/>
    </sheetView>
  </sheetViews>
  <sheetFormatPr defaultRowHeight="15" x14ac:dyDescent="0.25"/>
  <cols>
    <col min="1" max="11" width="14.5703125" customWidth="1"/>
    <col min="13" max="17" width="14.85546875" customWidth="1"/>
  </cols>
  <sheetData>
    <row r="1" spans="1:17" x14ac:dyDescent="0.25">
      <c r="A1" s="3" t="s">
        <v>9</v>
      </c>
      <c r="E1" s="3"/>
    </row>
    <row r="2" spans="1:17" x14ac:dyDescent="0.25">
      <c r="A2" t="s">
        <v>8</v>
      </c>
      <c r="B2" t="s">
        <v>7</v>
      </c>
      <c r="C2" t="s">
        <v>6</v>
      </c>
      <c r="D2" t="s">
        <v>5</v>
      </c>
      <c r="E2" t="s">
        <v>4</v>
      </c>
      <c r="G2" s="2" t="s">
        <v>10</v>
      </c>
      <c r="H2" s="2"/>
    </row>
    <row r="3" spans="1:17" x14ac:dyDescent="0.25">
      <c r="A3">
        <v>5.0999999999999996</v>
      </c>
      <c r="B3">
        <v>3.5</v>
      </c>
      <c r="C3">
        <v>1.4</v>
      </c>
      <c r="D3">
        <v>0.2</v>
      </c>
      <c r="E3" t="s">
        <v>3</v>
      </c>
      <c r="G3" t="e" cm="1" vm="1">
        <f t="array" ref="G3">_xlfn._xlws.PY(0,1,IrisDataSet2[#All])</f>
        <v>#VALUE!</v>
      </c>
    </row>
    <row r="4" spans="1:17" x14ac:dyDescent="0.25">
      <c r="A4">
        <v>4.9000000000000004</v>
      </c>
      <c r="B4">
        <v>3</v>
      </c>
      <c r="C4">
        <v>1.4</v>
      </c>
      <c r="D4">
        <v>0.2</v>
      </c>
      <c r="E4" t="s">
        <v>3</v>
      </c>
    </row>
    <row r="5" spans="1:17" x14ac:dyDescent="0.25">
      <c r="A5">
        <v>4.7</v>
      </c>
      <c r="B5">
        <v>3.2</v>
      </c>
      <c r="C5">
        <v>1.3</v>
      </c>
      <c r="D5">
        <v>0.2</v>
      </c>
      <c r="E5" t="s">
        <v>3</v>
      </c>
      <c r="G5" s="2" t="s">
        <v>11</v>
      </c>
      <c r="H5" s="2"/>
      <c r="M5" s="2" t="s">
        <v>24</v>
      </c>
    </row>
    <row r="6" spans="1:17" x14ac:dyDescent="0.25">
      <c r="A6">
        <v>4.5999999999999996</v>
      </c>
      <c r="B6">
        <v>3.1</v>
      </c>
      <c r="C6">
        <v>1.5</v>
      </c>
      <c r="D6">
        <v>0.2</v>
      </c>
      <c r="E6" t="s">
        <v>3</v>
      </c>
      <c r="G6" t="str" cm="1">
        <f t="array" ref="G6:K14">_xlfn._xlws.PY(1,0)</f>
        <v/>
      </c>
      <c r="H6" t="str">
        <v>sepal_length</v>
      </c>
      <c r="I6" t="str">
        <v>sepal_width</v>
      </c>
      <c r="J6" t="str">
        <v>petal_length</v>
      </c>
      <c r="K6" t="str">
        <v>petal_width</v>
      </c>
      <c r="M6" t="str" cm="1">
        <f t="array" ref="M6:Q10">_xlfn._xlws.PY(2,0)</f>
        <v/>
      </c>
      <c r="N6" t="str">
        <v>sepal_length</v>
      </c>
      <c r="O6" t="str">
        <v>sepal_width</v>
      </c>
      <c r="P6" t="str">
        <v>petal_length</v>
      </c>
      <c r="Q6" t="str">
        <v>petal_width</v>
      </c>
    </row>
    <row r="7" spans="1:17" x14ac:dyDescent="0.25">
      <c r="A7">
        <v>5</v>
      </c>
      <c r="B7">
        <v>3.6</v>
      </c>
      <c r="C7">
        <v>1.4</v>
      </c>
      <c r="D7">
        <v>0.2</v>
      </c>
      <c r="E7" t="s">
        <v>3</v>
      </c>
      <c r="G7" t="str">
        <v>count</v>
      </c>
      <c r="H7">
        <v>150</v>
      </c>
      <c r="I7">
        <v>150</v>
      </c>
      <c r="J7">
        <v>150</v>
      </c>
      <c r="K7">
        <v>150</v>
      </c>
      <c r="M7" t="str">
        <v>sepal_length</v>
      </c>
      <c r="N7">
        <v>1</v>
      </c>
      <c r="O7">
        <v>-0.10936924995064931</v>
      </c>
      <c r="P7">
        <v>0.8717541573048716</v>
      </c>
      <c r="Q7">
        <v>0.81795363336916416</v>
      </c>
    </row>
    <row r="8" spans="1:17" x14ac:dyDescent="0.25">
      <c r="A8">
        <v>5.4</v>
      </c>
      <c r="B8">
        <v>3.9</v>
      </c>
      <c r="C8">
        <v>1.7</v>
      </c>
      <c r="D8">
        <v>0.4</v>
      </c>
      <c r="E8" t="s">
        <v>3</v>
      </c>
      <c r="G8" t="str">
        <v>mean</v>
      </c>
      <c r="H8">
        <v>5.8433333333333337</v>
      </c>
      <c r="I8">
        <v>3.0540000000000003</v>
      </c>
      <c r="J8">
        <v>3.7586666666666662</v>
      </c>
      <c r="K8">
        <v>1.1986666666666668</v>
      </c>
      <c r="M8" t="str">
        <v>sepal_width</v>
      </c>
      <c r="N8">
        <v>-0.10936924995064931</v>
      </c>
      <c r="O8">
        <v>1</v>
      </c>
      <c r="P8">
        <v>-0.42051609640115389</v>
      </c>
      <c r="Q8">
        <v>-0.35654408961380507</v>
      </c>
    </row>
    <row r="9" spans="1:17" x14ac:dyDescent="0.25">
      <c r="A9">
        <v>4.5999999999999996</v>
      </c>
      <c r="B9">
        <v>3.4</v>
      </c>
      <c r="C9">
        <v>1.4</v>
      </c>
      <c r="D9">
        <v>0.3</v>
      </c>
      <c r="E9" t="s">
        <v>3</v>
      </c>
      <c r="G9" t="str">
        <v>std</v>
      </c>
      <c r="H9">
        <v>0.82806612797786294</v>
      </c>
      <c r="I9">
        <v>0.43359431136217369</v>
      </c>
      <c r="J9">
        <v>1.7644204199522617</v>
      </c>
      <c r="K9">
        <v>0.76316074170084136</v>
      </c>
      <c r="M9" t="str">
        <v>petal_length</v>
      </c>
      <c r="N9">
        <v>0.8717541573048716</v>
      </c>
      <c r="O9">
        <v>-0.42051609640115389</v>
      </c>
      <c r="P9">
        <v>1</v>
      </c>
      <c r="Q9">
        <v>0.96275709705096624</v>
      </c>
    </row>
    <row r="10" spans="1:17" x14ac:dyDescent="0.25">
      <c r="A10">
        <v>5</v>
      </c>
      <c r="B10">
        <v>3.4</v>
      </c>
      <c r="C10">
        <v>1.5</v>
      </c>
      <c r="D10">
        <v>0.2</v>
      </c>
      <c r="E10" t="s">
        <v>3</v>
      </c>
      <c r="G10" t="str">
        <v>min</v>
      </c>
      <c r="H10">
        <v>4.3</v>
      </c>
      <c r="I10">
        <v>2</v>
      </c>
      <c r="J10">
        <v>1</v>
      </c>
      <c r="K10">
        <v>0.1</v>
      </c>
      <c r="M10" t="str">
        <v>petal_width</v>
      </c>
      <c r="N10">
        <v>0.81795363336916416</v>
      </c>
      <c r="O10">
        <v>-0.35654408961380507</v>
      </c>
      <c r="P10">
        <v>0.96275709705096624</v>
      </c>
      <c r="Q10">
        <v>1</v>
      </c>
    </row>
    <row r="11" spans="1:17" x14ac:dyDescent="0.25">
      <c r="A11">
        <v>4.4000000000000004</v>
      </c>
      <c r="B11">
        <v>2.9</v>
      </c>
      <c r="C11">
        <v>1.4</v>
      </c>
      <c r="D11">
        <v>0.2</v>
      </c>
      <c r="E11" t="s">
        <v>3</v>
      </c>
      <c r="G11" t="str">
        <v>25%</v>
      </c>
      <c r="H11">
        <v>5.0999999999999996</v>
      </c>
      <c r="I11">
        <v>2.8</v>
      </c>
      <c r="J11">
        <v>1.6</v>
      </c>
      <c r="K11">
        <v>0.3</v>
      </c>
    </row>
    <row r="12" spans="1:17" x14ac:dyDescent="0.25">
      <c r="A12">
        <v>4.9000000000000004</v>
      </c>
      <c r="B12">
        <v>3.1</v>
      </c>
      <c r="C12">
        <v>1.5</v>
      </c>
      <c r="D12">
        <v>0.1</v>
      </c>
      <c r="E12" t="s">
        <v>3</v>
      </c>
      <c r="G12" t="str">
        <v>50%</v>
      </c>
      <c r="H12">
        <v>5.8</v>
      </c>
      <c r="I12">
        <v>3</v>
      </c>
      <c r="J12">
        <v>4.3499999999999996</v>
      </c>
      <c r="K12">
        <v>1.3</v>
      </c>
    </row>
    <row r="13" spans="1:17" x14ac:dyDescent="0.25">
      <c r="A13">
        <v>5.4</v>
      </c>
      <c r="B13">
        <v>3.7</v>
      </c>
      <c r="C13">
        <v>1.5</v>
      </c>
      <c r="D13">
        <v>0.2</v>
      </c>
      <c r="E13" t="s">
        <v>3</v>
      </c>
      <c r="G13" t="str">
        <v>75%</v>
      </c>
      <c r="H13">
        <v>6.4</v>
      </c>
      <c r="I13">
        <v>3.3</v>
      </c>
      <c r="J13">
        <v>5.0999999999999996</v>
      </c>
      <c r="K13">
        <v>1.8</v>
      </c>
    </row>
    <row r="14" spans="1:17" x14ac:dyDescent="0.25">
      <c r="A14">
        <v>4.8</v>
      </c>
      <c r="B14">
        <v>3.4</v>
      </c>
      <c r="C14">
        <v>1.6</v>
      </c>
      <c r="D14">
        <v>0.2</v>
      </c>
      <c r="E14" t="s">
        <v>3</v>
      </c>
      <c r="G14" t="str">
        <v>max</v>
      </c>
      <c r="H14">
        <v>7.9</v>
      </c>
      <c r="I14">
        <v>4.4000000000000004</v>
      </c>
      <c r="J14">
        <v>6.9</v>
      </c>
      <c r="K14">
        <v>2.5</v>
      </c>
    </row>
    <row r="15" spans="1:17" x14ac:dyDescent="0.25">
      <c r="A15">
        <v>4.8</v>
      </c>
      <c r="B15">
        <v>3</v>
      </c>
      <c r="C15">
        <v>1.4</v>
      </c>
      <c r="D15">
        <v>0.1</v>
      </c>
      <c r="E15" t="s">
        <v>3</v>
      </c>
    </row>
    <row r="16" spans="1:17" x14ac:dyDescent="0.25">
      <c r="A16">
        <v>4.3</v>
      </c>
      <c r="B16">
        <v>3</v>
      </c>
      <c r="C16">
        <v>1.1000000000000001</v>
      </c>
      <c r="D16">
        <v>0.1</v>
      </c>
      <c r="E16" t="s">
        <v>3</v>
      </c>
    </row>
    <row r="17" spans="1:5" x14ac:dyDescent="0.25">
      <c r="A17">
        <v>5.8</v>
      </c>
      <c r="B17">
        <v>4</v>
      </c>
      <c r="C17">
        <v>1.2</v>
      </c>
      <c r="D17">
        <v>0.2</v>
      </c>
      <c r="E17" t="s">
        <v>3</v>
      </c>
    </row>
    <row r="18" spans="1:5" x14ac:dyDescent="0.25">
      <c r="A18">
        <v>5.7</v>
      </c>
      <c r="B18">
        <v>4.4000000000000004</v>
      </c>
      <c r="C18">
        <v>1.5</v>
      </c>
      <c r="D18">
        <v>0.4</v>
      </c>
      <c r="E18" t="s">
        <v>3</v>
      </c>
    </row>
    <row r="19" spans="1:5" x14ac:dyDescent="0.25">
      <c r="A19">
        <v>5.4</v>
      </c>
      <c r="B19">
        <v>3.9</v>
      </c>
      <c r="C19">
        <v>1.3</v>
      </c>
      <c r="D19">
        <v>0.4</v>
      </c>
      <c r="E19" t="s">
        <v>3</v>
      </c>
    </row>
    <row r="20" spans="1:5" x14ac:dyDescent="0.25">
      <c r="A20">
        <v>5.0999999999999996</v>
      </c>
      <c r="B20">
        <v>3.5</v>
      </c>
      <c r="C20">
        <v>1.4</v>
      </c>
      <c r="D20">
        <v>0.3</v>
      </c>
      <c r="E20" t="s">
        <v>3</v>
      </c>
    </row>
    <row r="21" spans="1:5" x14ac:dyDescent="0.25">
      <c r="A21">
        <v>5.7</v>
      </c>
      <c r="B21">
        <v>3.8</v>
      </c>
      <c r="C21">
        <v>1.7</v>
      </c>
      <c r="D21">
        <v>0.3</v>
      </c>
      <c r="E21" t="s">
        <v>3</v>
      </c>
    </row>
    <row r="22" spans="1:5" x14ac:dyDescent="0.25">
      <c r="A22">
        <v>5.0999999999999996</v>
      </c>
      <c r="B22">
        <v>3.8</v>
      </c>
      <c r="C22">
        <v>1.5</v>
      </c>
      <c r="D22">
        <v>0.3</v>
      </c>
      <c r="E22" t="s">
        <v>3</v>
      </c>
    </row>
    <row r="23" spans="1:5" x14ac:dyDescent="0.25">
      <c r="A23">
        <v>5.4</v>
      </c>
      <c r="B23">
        <v>3.4</v>
      </c>
      <c r="C23">
        <v>1.7</v>
      </c>
      <c r="D23">
        <v>0.2</v>
      </c>
      <c r="E23" t="s">
        <v>3</v>
      </c>
    </row>
    <row r="24" spans="1:5" x14ac:dyDescent="0.25">
      <c r="A24">
        <v>5.0999999999999996</v>
      </c>
      <c r="B24">
        <v>3.7</v>
      </c>
      <c r="C24">
        <v>1.5</v>
      </c>
      <c r="D24">
        <v>0.4</v>
      </c>
      <c r="E24" t="s">
        <v>3</v>
      </c>
    </row>
    <row r="25" spans="1:5" x14ac:dyDescent="0.25">
      <c r="A25">
        <v>4.5999999999999996</v>
      </c>
      <c r="B25">
        <v>3.6</v>
      </c>
      <c r="C25">
        <v>1</v>
      </c>
      <c r="D25">
        <v>0.2</v>
      </c>
      <c r="E25" t="s">
        <v>3</v>
      </c>
    </row>
    <row r="26" spans="1:5" x14ac:dyDescent="0.25">
      <c r="A26">
        <v>5.0999999999999996</v>
      </c>
      <c r="B26">
        <v>3.3</v>
      </c>
      <c r="C26">
        <v>1.7</v>
      </c>
      <c r="D26">
        <v>0.5</v>
      </c>
      <c r="E26" t="s">
        <v>3</v>
      </c>
    </row>
    <row r="27" spans="1:5" x14ac:dyDescent="0.25">
      <c r="A27">
        <v>4.8</v>
      </c>
      <c r="B27">
        <v>3.4</v>
      </c>
      <c r="C27">
        <v>1.9</v>
      </c>
      <c r="D27">
        <v>0.2</v>
      </c>
      <c r="E27" t="s">
        <v>3</v>
      </c>
    </row>
    <row r="28" spans="1:5" x14ac:dyDescent="0.25">
      <c r="A28">
        <v>5</v>
      </c>
      <c r="B28">
        <v>3</v>
      </c>
      <c r="C28">
        <v>1.6</v>
      </c>
      <c r="D28">
        <v>0.2</v>
      </c>
      <c r="E28" t="s">
        <v>3</v>
      </c>
    </row>
    <row r="29" spans="1:5" x14ac:dyDescent="0.25">
      <c r="A29">
        <v>5</v>
      </c>
      <c r="B29">
        <v>3.4</v>
      </c>
      <c r="C29">
        <v>1.6</v>
      </c>
      <c r="D29">
        <v>0.4</v>
      </c>
      <c r="E29" t="s">
        <v>3</v>
      </c>
    </row>
    <row r="30" spans="1:5" x14ac:dyDescent="0.25">
      <c r="A30">
        <v>5.2</v>
      </c>
      <c r="B30">
        <v>3.5</v>
      </c>
      <c r="C30">
        <v>1.5</v>
      </c>
      <c r="D30">
        <v>0.2</v>
      </c>
      <c r="E30" t="s">
        <v>3</v>
      </c>
    </row>
    <row r="31" spans="1:5" x14ac:dyDescent="0.25">
      <c r="A31">
        <v>5.2</v>
      </c>
      <c r="B31">
        <v>3.4</v>
      </c>
      <c r="C31">
        <v>1.4</v>
      </c>
      <c r="D31">
        <v>0.2</v>
      </c>
      <c r="E31" t="s">
        <v>3</v>
      </c>
    </row>
    <row r="32" spans="1:5" x14ac:dyDescent="0.25">
      <c r="A32">
        <v>4.7</v>
      </c>
      <c r="B32">
        <v>3.2</v>
      </c>
      <c r="C32">
        <v>1.6</v>
      </c>
      <c r="D32">
        <v>0.2</v>
      </c>
      <c r="E32" t="s">
        <v>3</v>
      </c>
    </row>
    <row r="33" spans="1:5" x14ac:dyDescent="0.25">
      <c r="A33">
        <v>4.8</v>
      </c>
      <c r="B33">
        <v>3.1</v>
      </c>
      <c r="C33">
        <v>1.6</v>
      </c>
      <c r="D33">
        <v>0.2</v>
      </c>
      <c r="E33" t="s">
        <v>3</v>
      </c>
    </row>
    <row r="34" spans="1:5" x14ac:dyDescent="0.25">
      <c r="A34">
        <v>5.4</v>
      </c>
      <c r="B34">
        <v>3.4</v>
      </c>
      <c r="C34">
        <v>1.5</v>
      </c>
      <c r="D34">
        <v>0.4</v>
      </c>
      <c r="E34" t="s">
        <v>3</v>
      </c>
    </row>
    <row r="35" spans="1:5" x14ac:dyDescent="0.25">
      <c r="A35">
        <v>5.2</v>
      </c>
      <c r="B35">
        <v>4.0999999999999996</v>
      </c>
      <c r="C35">
        <v>1.5</v>
      </c>
      <c r="D35">
        <v>0.1</v>
      </c>
      <c r="E35" t="s">
        <v>3</v>
      </c>
    </row>
    <row r="36" spans="1:5" x14ac:dyDescent="0.25">
      <c r="A36">
        <v>5.5</v>
      </c>
      <c r="B36">
        <v>4.2</v>
      </c>
      <c r="C36">
        <v>1.4</v>
      </c>
      <c r="D36">
        <v>0.2</v>
      </c>
      <c r="E36" t="s">
        <v>3</v>
      </c>
    </row>
    <row r="37" spans="1:5" x14ac:dyDescent="0.25">
      <c r="A37">
        <v>4.9000000000000004</v>
      </c>
      <c r="B37">
        <v>3.1</v>
      </c>
      <c r="C37">
        <v>1.5</v>
      </c>
      <c r="D37">
        <v>0.1</v>
      </c>
      <c r="E37" t="s">
        <v>3</v>
      </c>
    </row>
    <row r="38" spans="1:5" x14ac:dyDescent="0.25">
      <c r="A38">
        <v>5</v>
      </c>
      <c r="B38">
        <v>3.2</v>
      </c>
      <c r="C38">
        <v>1.2</v>
      </c>
      <c r="D38">
        <v>0.2</v>
      </c>
      <c r="E38" t="s">
        <v>3</v>
      </c>
    </row>
    <row r="39" spans="1:5" x14ac:dyDescent="0.25">
      <c r="A39">
        <v>5.5</v>
      </c>
      <c r="B39">
        <v>3.5</v>
      </c>
      <c r="C39">
        <v>1.3</v>
      </c>
      <c r="D39">
        <v>0.2</v>
      </c>
      <c r="E39" t="s">
        <v>3</v>
      </c>
    </row>
    <row r="40" spans="1:5" x14ac:dyDescent="0.25">
      <c r="A40">
        <v>4.9000000000000004</v>
      </c>
      <c r="B40">
        <v>3.1</v>
      </c>
      <c r="C40">
        <v>1.5</v>
      </c>
      <c r="D40">
        <v>0.1</v>
      </c>
      <c r="E40" t="s">
        <v>3</v>
      </c>
    </row>
    <row r="41" spans="1:5" x14ac:dyDescent="0.25">
      <c r="A41">
        <v>4.4000000000000004</v>
      </c>
      <c r="B41">
        <v>3</v>
      </c>
      <c r="C41">
        <v>1.3</v>
      </c>
      <c r="D41">
        <v>0.2</v>
      </c>
      <c r="E41" t="s">
        <v>3</v>
      </c>
    </row>
    <row r="42" spans="1:5" x14ac:dyDescent="0.25">
      <c r="A42">
        <v>5.0999999999999996</v>
      </c>
      <c r="B42">
        <v>3.4</v>
      </c>
      <c r="C42">
        <v>1.5</v>
      </c>
      <c r="D42">
        <v>0.2</v>
      </c>
      <c r="E42" t="s">
        <v>3</v>
      </c>
    </row>
    <row r="43" spans="1:5" x14ac:dyDescent="0.25">
      <c r="A43">
        <v>5</v>
      </c>
      <c r="B43">
        <v>3.5</v>
      </c>
      <c r="C43">
        <v>1.3</v>
      </c>
      <c r="D43">
        <v>0.3</v>
      </c>
      <c r="E43" t="s">
        <v>3</v>
      </c>
    </row>
    <row r="44" spans="1:5" x14ac:dyDescent="0.25">
      <c r="A44">
        <v>4.5</v>
      </c>
      <c r="B44">
        <v>2.2999999999999998</v>
      </c>
      <c r="C44">
        <v>1.3</v>
      </c>
      <c r="D44">
        <v>0.3</v>
      </c>
      <c r="E44" t="s">
        <v>3</v>
      </c>
    </row>
    <row r="45" spans="1:5" x14ac:dyDescent="0.25">
      <c r="A45">
        <v>4.4000000000000004</v>
      </c>
      <c r="B45">
        <v>3.2</v>
      </c>
      <c r="C45">
        <v>1.3</v>
      </c>
      <c r="D45">
        <v>0.2</v>
      </c>
      <c r="E45" t="s">
        <v>3</v>
      </c>
    </row>
    <row r="46" spans="1:5" x14ac:dyDescent="0.25">
      <c r="A46">
        <v>5</v>
      </c>
      <c r="B46">
        <v>3.5</v>
      </c>
      <c r="C46">
        <v>1.6</v>
      </c>
      <c r="D46">
        <v>0.6</v>
      </c>
      <c r="E46" t="s">
        <v>3</v>
      </c>
    </row>
    <row r="47" spans="1:5" x14ac:dyDescent="0.25">
      <c r="A47">
        <v>5.0999999999999996</v>
      </c>
      <c r="B47">
        <v>3.8</v>
      </c>
      <c r="C47">
        <v>1.9</v>
      </c>
      <c r="D47">
        <v>0.4</v>
      </c>
      <c r="E47" t="s">
        <v>3</v>
      </c>
    </row>
    <row r="48" spans="1:5" x14ac:dyDescent="0.25">
      <c r="A48">
        <v>4.8</v>
      </c>
      <c r="B48">
        <v>3</v>
      </c>
      <c r="C48">
        <v>1.4</v>
      </c>
      <c r="D48">
        <v>0.3</v>
      </c>
      <c r="E48" t="s">
        <v>3</v>
      </c>
    </row>
    <row r="49" spans="1:5" x14ac:dyDescent="0.25">
      <c r="A49">
        <v>5.0999999999999996</v>
      </c>
      <c r="B49">
        <v>3.8</v>
      </c>
      <c r="C49">
        <v>1.6</v>
      </c>
      <c r="D49">
        <v>0.2</v>
      </c>
      <c r="E49" t="s">
        <v>3</v>
      </c>
    </row>
    <row r="50" spans="1:5" x14ac:dyDescent="0.25">
      <c r="A50">
        <v>4.5999999999999996</v>
      </c>
      <c r="B50">
        <v>3.2</v>
      </c>
      <c r="C50">
        <v>1.4</v>
      </c>
      <c r="D50">
        <v>0.2</v>
      </c>
      <c r="E50" t="s">
        <v>3</v>
      </c>
    </row>
    <row r="51" spans="1:5" x14ac:dyDescent="0.25">
      <c r="A51">
        <v>5.3</v>
      </c>
      <c r="B51">
        <v>3.7</v>
      </c>
      <c r="C51">
        <v>1.5</v>
      </c>
      <c r="D51">
        <v>0.2</v>
      </c>
      <c r="E51" t="s">
        <v>3</v>
      </c>
    </row>
    <row r="52" spans="1:5" x14ac:dyDescent="0.25">
      <c r="A52">
        <v>5</v>
      </c>
      <c r="B52">
        <v>3.3</v>
      </c>
      <c r="C52">
        <v>1.4</v>
      </c>
      <c r="D52">
        <v>0.2</v>
      </c>
      <c r="E52" t="s">
        <v>3</v>
      </c>
    </row>
    <row r="53" spans="1:5" x14ac:dyDescent="0.25">
      <c r="A53">
        <v>7</v>
      </c>
      <c r="B53">
        <v>3.2</v>
      </c>
      <c r="C53">
        <v>4.7</v>
      </c>
      <c r="D53">
        <v>1.4</v>
      </c>
      <c r="E53" t="s">
        <v>2</v>
      </c>
    </row>
    <row r="54" spans="1:5" x14ac:dyDescent="0.25">
      <c r="A54">
        <v>6.4</v>
      </c>
      <c r="B54">
        <v>3.2</v>
      </c>
      <c r="C54">
        <v>4.5</v>
      </c>
      <c r="D54">
        <v>1.5</v>
      </c>
      <c r="E54" t="s">
        <v>2</v>
      </c>
    </row>
    <row r="55" spans="1:5" x14ac:dyDescent="0.25">
      <c r="A55">
        <v>6.9</v>
      </c>
      <c r="B55">
        <v>3.1</v>
      </c>
      <c r="C55">
        <v>4.9000000000000004</v>
      </c>
      <c r="D55">
        <v>1.5</v>
      </c>
      <c r="E55" t="s">
        <v>2</v>
      </c>
    </row>
    <row r="56" spans="1:5" x14ac:dyDescent="0.25">
      <c r="A56">
        <v>5.5</v>
      </c>
      <c r="B56">
        <v>2.2999999999999998</v>
      </c>
      <c r="C56">
        <v>4</v>
      </c>
      <c r="D56">
        <v>1.3</v>
      </c>
      <c r="E56" t="s">
        <v>2</v>
      </c>
    </row>
    <row r="57" spans="1:5" x14ac:dyDescent="0.25">
      <c r="A57">
        <v>6.5</v>
      </c>
      <c r="B57">
        <v>2.8</v>
      </c>
      <c r="C57">
        <v>4.5999999999999996</v>
      </c>
      <c r="D57">
        <v>1.5</v>
      </c>
      <c r="E57" t="s">
        <v>2</v>
      </c>
    </row>
    <row r="58" spans="1:5" x14ac:dyDescent="0.25">
      <c r="A58">
        <v>5.7</v>
      </c>
      <c r="B58">
        <v>2.8</v>
      </c>
      <c r="C58">
        <v>4.5</v>
      </c>
      <c r="D58">
        <v>1.3</v>
      </c>
      <c r="E58" t="s">
        <v>2</v>
      </c>
    </row>
    <row r="59" spans="1:5" x14ac:dyDescent="0.25">
      <c r="A59">
        <v>6.3</v>
      </c>
      <c r="B59">
        <v>3.3</v>
      </c>
      <c r="C59">
        <v>4.7</v>
      </c>
      <c r="D59">
        <v>1.6</v>
      </c>
      <c r="E59" t="s">
        <v>2</v>
      </c>
    </row>
    <row r="60" spans="1:5" x14ac:dyDescent="0.25">
      <c r="A60">
        <v>4.9000000000000004</v>
      </c>
      <c r="B60">
        <v>2.4</v>
      </c>
      <c r="C60">
        <v>3.3</v>
      </c>
      <c r="D60">
        <v>1</v>
      </c>
      <c r="E60" t="s">
        <v>2</v>
      </c>
    </row>
    <row r="61" spans="1:5" x14ac:dyDescent="0.25">
      <c r="A61">
        <v>6.6</v>
      </c>
      <c r="B61">
        <v>2.9</v>
      </c>
      <c r="C61">
        <v>4.5999999999999996</v>
      </c>
      <c r="D61">
        <v>1.3</v>
      </c>
      <c r="E61" t="s">
        <v>2</v>
      </c>
    </row>
    <row r="62" spans="1:5" x14ac:dyDescent="0.25">
      <c r="A62">
        <v>5.2</v>
      </c>
      <c r="B62">
        <v>2.7</v>
      </c>
      <c r="C62">
        <v>3.9</v>
      </c>
      <c r="D62">
        <v>1.4</v>
      </c>
      <c r="E62" t="s">
        <v>2</v>
      </c>
    </row>
    <row r="63" spans="1:5" x14ac:dyDescent="0.25">
      <c r="A63">
        <v>5</v>
      </c>
      <c r="B63">
        <v>2</v>
      </c>
      <c r="C63">
        <v>3.5</v>
      </c>
      <c r="D63">
        <v>1</v>
      </c>
      <c r="E63" t="s">
        <v>2</v>
      </c>
    </row>
    <row r="64" spans="1:5" x14ac:dyDescent="0.25">
      <c r="A64">
        <v>5.9</v>
      </c>
      <c r="B64">
        <v>3</v>
      </c>
      <c r="C64">
        <v>4.2</v>
      </c>
      <c r="D64">
        <v>1.5</v>
      </c>
      <c r="E64" t="s">
        <v>2</v>
      </c>
    </row>
    <row r="65" spans="1:5" x14ac:dyDescent="0.25">
      <c r="A65">
        <v>6</v>
      </c>
      <c r="B65">
        <v>2.2000000000000002</v>
      </c>
      <c r="C65">
        <v>4</v>
      </c>
      <c r="D65">
        <v>1</v>
      </c>
      <c r="E65" t="s">
        <v>2</v>
      </c>
    </row>
    <row r="66" spans="1:5" x14ac:dyDescent="0.25">
      <c r="A66">
        <v>6.1</v>
      </c>
      <c r="B66">
        <v>2.9</v>
      </c>
      <c r="C66">
        <v>4.7</v>
      </c>
      <c r="D66">
        <v>1.4</v>
      </c>
      <c r="E66" t="s">
        <v>2</v>
      </c>
    </row>
    <row r="67" spans="1:5" x14ac:dyDescent="0.25">
      <c r="A67">
        <v>5.6</v>
      </c>
      <c r="B67">
        <v>2.9</v>
      </c>
      <c r="C67">
        <v>3.6</v>
      </c>
      <c r="D67">
        <v>1.3</v>
      </c>
      <c r="E67" t="s">
        <v>2</v>
      </c>
    </row>
    <row r="68" spans="1:5" x14ac:dyDescent="0.25">
      <c r="A68">
        <v>6.7</v>
      </c>
      <c r="B68">
        <v>3.1</v>
      </c>
      <c r="C68">
        <v>4.4000000000000004</v>
      </c>
      <c r="D68">
        <v>1.4</v>
      </c>
      <c r="E68" t="s">
        <v>2</v>
      </c>
    </row>
    <row r="69" spans="1:5" x14ac:dyDescent="0.25">
      <c r="A69">
        <v>5.6</v>
      </c>
      <c r="B69">
        <v>3</v>
      </c>
      <c r="C69">
        <v>4.5</v>
      </c>
      <c r="D69">
        <v>1.5</v>
      </c>
      <c r="E69" t="s">
        <v>2</v>
      </c>
    </row>
    <row r="70" spans="1:5" x14ac:dyDescent="0.25">
      <c r="A70">
        <v>5.8</v>
      </c>
      <c r="B70">
        <v>2.7</v>
      </c>
      <c r="C70">
        <v>4.0999999999999996</v>
      </c>
      <c r="D70">
        <v>1</v>
      </c>
      <c r="E70" t="s">
        <v>2</v>
      </c>
    </row>
    <row r="71" spans="1:5" x14ac:dyDescent="0.25">
      <c r="A71">
        <v>6.2</v>
      </c>
      <c r="B71">
        <v>2.2000000000000002</v>
      </c>
      <c r="C71">
        <v>4.5</v>
      </c>
      <c r="D71">
        <v>1.5</v>
      </c>
      <c r="E71" t="s">
        <v>2</v>
      </c>
    </row>
    <row r="72" spans="1:5" x14ac:dyDescent="0.25">
      <c r="A72">
        <v>5.6</v>
      </c>
      <c r="B72">
        <v>2.5</v>
      </c>
      <c r="C72">
        <v>3.9</v>
      </c>
      <c r="D72">
        <v>1.1000000000000001</v>
      </c>
      <c r="E72" t="s">
        <v>2</v>
      </c>
    </row>
    <row r="73" spans="1:5" x14ac:dyDescent="0.25">
      <c r="A73">
        <v>5.9</v>
      </c>
      <c r="B73">
        <v>3.2</v>
      </c>
      <c r="C73">
        <v>4.8</v>
      </c>
      <c r="D73">
        <v>1.8</v>
      </c>
      <c r="E73" t="s">
        <v>2</v>
      </c>
    </row>
    <row r="74" spans="1:5" x14ac:dyDescent="0.25">
      <c r="A74">
        <v>6.1</v>
      </c>
      <c r="B74">
        <v>2.8</v>
      </c>
      <c r="C74">
        <v>4</v>
      </c>
      <c r="D74">
        <v>1.3</v>
      </c>
      <c r="E74" t="s">
        <v>2</v>
      </c>
    </row>
    <row r="75" spans="1:5" x14ac:dyDescent="0.25">
      <c r="A75">
        <v>6.3</v>
      </c>
      <c r="B75">
        <v>2.5</v>
      </c>
      <c r="C75">
        <v>4.9000000000000004</v>
      </c>
      <c r="D75">
        <v>1.5</v>
      </c>
      <c r="E75" t="s">
        <v>2</v>
      </c>
    </row>
    <row r="76" spans="1:5" x14ac:dyDescent="0.25">
      <c r="A76">
        <v>6.1</v>
      </c>
      <c r="B76">
        <v>2.8</v>
      </c>
      <c r="C76">
        <v>4.7</v>
      </c>
      <c r="D76">
        <v>1.2</v>
      </c>
      <c r="E76" t="s">
        <v>2</v>
      </c>
    </row>
    <row r="77" spans="1:5" x14ac:dyDescent="0.25">
      <c r="A77">
        <v>6.4</v>
      </c>
      <c r="B77">
        <v>2.9</v>
      </c>
      <c r="C77">
        <v>4.3</v>
      </c>
      <c r="D77">
        <v>1.3</v>
      </c>
      <c r="E77" t="s">
        <v>2</v>
      </c>
    </row>
    <row r="78" spans="1:5" x14ac:dyDescent="0.25">
      <c r="A78">
        <v>6.6</v>
      </c>
      <c r="B78">
        <v>3</v>
      </c>
      <c r="C78">
        <v>4.4000000000000004</v>
      </c>
      <c r="D78">
        <v>1.4</v>
      </c>
      <c r="E78" t="s">
        <v>2</v>
      </c>
    </row>
    <row r="79" spans="1:5" x14ac:dyDescent="0.25">
      <c r="A79">
        <v>6.8</v>
      </c>
      <c r="B79">
        <v>2.8</v>
      </c>
      <c r="C79">
        <v>4.8</v>
      </c>
      <c r="D79">
        <v>1.4</v>
      </c>
      <c r="E79" t="s">
        <v>2</v>
      </c>
    </row>
    <row r="80" spans="1:5" x14ac:dyDescent="0.25">
      <c r="A80">
        <v>6.7</v>
      </c>
      <c r="B80">
        <v>3</v>
      </c>
      <c r="C80">
        <v>5</v>
      </c>
      <c r="D80">
        <v>1.7</v>
      </c>
      <c r="E80" t="s">
        <v>2</v>
      </c>
    </row>
    <row r="81" spans="1:5" x14ac:dyDescent="0.25">
      <c r="A81">
        <v>6</v>
      </c>
      <c r="B81">
        <v>2.9</v>
      </c>
      <c r="C81">
        <v>4.5</v>
      </c>
      <c r="D81">
        <v>1.5</v>
      </c>
      <c r="E81" t="s">
        <v>2</v>
      </c>
    </row>
    <row r="82" spans="1:5" x14ac:dyDescent="0.25">
      <c r="A82">
        <v>5.7</v>
      </c>
      <c r="B82">
        <v>2.6</v>
      </c>
      <c r="C82">
        <v>3.5</v>
      </c>
      <c r="D82">
        <v>1</v>
      </c>
      <c r="E82" t="s">
        <v>2</v>
      </c>
    </row>
    <row r="83" spans="1:5" x14ac:dyDescent="0.25">
      <c r="A83">
        <v>5.5</v>
      </c>
      <c r="B83">
        <v>2.4</v>
      </c>
      <c r="C83">
        <v>3.8</v>
      </c>
      <c r="D83">
        <v>1.1000000000000001</v>
      </c>
      <c r="E83" t="s">
        <v>2</v>
      </c>
    </row>
    <row r="84" spans="1:5" x14ac:dyDescent="0.25">
      <c r="A84">
        <v>5.5</v>
      </c>
      <c r="B84">
        <v>2.4</v>
      </c>
      <c r="C84">
        <v>3.7</v>
      </c>
      <c r="D84">
        <v>1</v>
      </c>
      <c r="E84" t="s">
        <v>2</v>
      </c>
    </row>
    <row r="85" spans="1:5" x14ac:dyDescent="0.25">
      <c r="A85">
        <v>5.8</v>
      </c>
      <c r="B85">
        <v>2.7</v>
      </c>
      <c r="C85">
        <v>3.9</v>
      </c>
      <c r="D85">
        <v>1.2</v>
      </c>
      <c r="E85" t="s">
        <v>2</v>
      </c>
    </row>
    <row r="86" spans="1:5" x14ac:dyDescent="0.25">
      <c r="A86">
        <v>6</v>
      </c>
      <c r="B86">
        <v>2.7</v>
      </c>
      <c r="C86">
        <v>5.0999999999999996</v>
      </c>
      <c r="D86">
        <v>1.6</v>
      </c>
      <c r="E86" t="s">
        <v>2</v>
      </c>
    </row>
    <row r="87" spans="1:5" x14ac:dyDescent="0.25">
      <c r="A87">
        <v>5.4</v>
      </c>
      <c r="B87">
        <v>3</v>
      </c>
      <c r="C87">
        <v>4.5</v>
      </c>
      <c r="D87">
        <v>1.5</v>
      </c>
      <c r="E87" t="s">
        <v>2</v>
      </c>
    </row>
    <row r="88" spans="1:5" x14ac:dyDescent="0.25">
      <c r="A88">
        <v>6</v>
      </c>
      <c r="B88">
        <v>3.4</v>
      </c>
      <c r="C88">
        <v>4.5</v>
      </c>
      <c r="D88">
        <v>1.6</v>
      </c>
      <c r="E88" t="s">
        <v>2</v>
      </c>
    </row>
    <row r="89" spans="1:5" x14ac:dyDescent="0.25">
      <c r="A89">
        <v>6.7</v>
      </c>
      <c r="B89">
        <v>3.1</v>
      </c>
      <c r="C89">
        <v>4.7</v>
      </c>
      <c r="D89">
        <v>1.5</v>
      </c>
      <c r="E89" t="s">
        <v>2</v>
      </c>
    </row>
    <row r="90" spans="1:5" x14ac:dyDescent="0.25">
      <c r="A90">
        <v>6.3</v>
      </c>
      <c r="B90">
        <v>2.2999999999999998</v>
      </c>
      <c r="C90">
        <v>4.4000000000000004</v>
      </c>
      <c r="D90">
        <v>1.3</v>
      </c>
      <c r="E90" t="s">
        <v>2</v>
      </c>
    </row>
    <row r="91" spans="1:5" x14ac:dyDescent="0.25">
      <c r="A91">
        <v>5.6</v>
      </c>
      <c r="B91">
        <v>3</v>
      </c>
      <c r="C91">
        <v>4.0999999999999996</v>
      </c>
      <c r="D91">
        <v>1.3</v>
      </c>
      <c r="E91" t="s">
        <v>2</v>
      </c>
    </row>
    <row r="92" spans="1:5" x14ac:dyDescent="0.25">
      <c r="A92">
        <v>5.5</v>
      </c>
      <c r="B92">
        <v>2.5</v>
      </c>
      <c r="C92">
        <v>4</v>
      </c>
      <c r="D92">
        <v>1.3</v>
      </c>
      <c r="E92" t="s">
        <v>2</v>
      </c>
    </row>
    <row r="93" spans="1:5" x14ac:dyDescent="0.25">
      <c r="A93">
        <v>5.5</v>
      </c>
      <c r="B93">
        <v>2.6</v>
      </c>
      <c r="C93">
        <v>4.4000000000000004</v>
      </c>
      <c r="D93">
        <v>1.2</v>
      </c>
      <c r="E93" t="s">
        <v>2</v>
      </c>
    </row>
    <row r="94" spans="1:5" x14ac:dyDescent="0.25">
      <c r="A94">
        <v>6.1</v>
      </c>
      <c r="B94">
        <v>3</v>
      </c>
      <c r="C94">
        <v>4.5999999999999996</v>
      </c>
      <c r="D94">
        <v>1.4</v>
      </c>
      <c r="E94" t="s">
        <v>2</v>
      </c>
    </row>
    <row r="95" spans="1:5" x14ac:dyDescent="0.25">
      <c r="A95">
        <v>5.8</v>
      </c>
      <c r="B95">
        <v>2.6</v>
      </c>
      <c r="C95">
        <v>4</v>
      </c>
      <c r="D95">
        <v>1.2</v>
      </c>
      <c r="E95" t="s">
        <v>2</v>
      </c>
    </row>
    <row r="96" spans="1:5" x14ac:dyDescent="0.25">
      <c r="A96">
        <v>5</v>
      </c>
      <c r="B96">
        <v>2.2999999999999998</v>
      </c>
      <c r="C96">
        <v>3.3</v>
      </c>
      <c r="D96">
        <v>1</v>
      </c>
      <c r="E96" t="s">
        <v>2</v>
      </c>
    </row>
    <row r="97" spans="1:5" x14ac:dyDescent="0.25">
      <c r="A97">
        <v>5.6</v>
      </c>
      <c r="B97">
        <v>2.7</v>
      </c>
      <c r="C97">
        <v>4.2</v>
      </c>
      <c r="D97">
        <v>1.3</v>
      </c>
      <c r="E97" t="s">
        <v>2</v>
      </c>
    </row>
    <row r="98" spans="1:5" x14ac:dyDescent="0.25">
      <c r="A98">
        <v>5.7</v>
      </c>
      <c r="B98">
        <v>3</v>
      </c>
      <c r="C98">
        <v>4.2</v>
      </c>
      <c r="D98">
        <v>1.2</v>
      </c>
      <c r="E98" t="s">
        <v>2</v>
      </c>
    </row>
    <row r="99" spans="1:5" x14ac:dyDescent="0.25">
      <c r="A99">
        <v>5.7</v>
      </c>
      <c r="B99">
        <v>2.9</v>
      </c>
      <c r="C99">
        <v>4.2</v>
      </c>
      <c r="D99">
        <v>1.3</v>
      </c>
      <c r="E99" t="s">
        <v>2</v>
      </c>
    </row>
    <row r="100" spans="1:5" x14ac:dyDescent="0.25">
      <c r="A100">
        <v>6.2</v>
      </c>
      <c r="B100">
        <v>2.9</v>
      </c>
      <c r="C100">
        <v>4.3</v>
      </c>
      <c r="D100">
        <v>1.3</v>
      </c>
      <c r="E100" t="s">
        <v>2</v>
      </c>
    </row>
    <row r="101" spans="1:5" x14ac:dyDescent="0.25">
      <c r="A101">
        <v>5.0999999999999996</v>
      </c>
      <c r="B101">
        <v>2.5</v>
      </c>
      <c r="C101">
        <v>3</v>
      </c>
      <c r="D101">
        <v>1.1000000000000001</v>
      </c>
      <c r="E101" t="s">
        <v>2</v>
      </c>
    </row>
    <row r="102" spans="1:5" x14ac:dyDescent="0.25">
      <c r="A102">
        <v>5.7</v>
      </c>
      <c r="B102">
        <v>2.8</v>
      </c>
      <c r="C102">
        <v>4.0999999999999996</v>
      </c>
      <c r="D102">
        <v>1.3</v>
      </c>
      <c r="E102" t="s">
        <v>2</v>
      </c>
    </row>
    <row r="103" spans="1:5" x14ac:dyDescent="0.25">
      <c r="A103">
        <v>6.3</v>
      </c>
      <c r="B103">
        <v>3.3</v>
      </c>
      <c r="C103">
        <v>6</v>
      </c>
      <c r="D103">
        <v>2.5</v>
      </c>
      <c r="E103" t="s">
        <v>1</v>
      </c>
    </row>
    <row r="104" spans="1:5" x14ac:dyDescent="0.25">
      <c r="A104">
        <v>5.8</v>
      </c>
      <c r="B104">
        <v>2.7</v>
      </c>
      <c r="C104">
        <v>5.0999999999999996</v>
      </c>
      <c r="D104">
        <v>1.9</v>
      </c>
      <c r="E104" t="s">
        <v>1</v>
      </c>
    </row>
    <row r="105" spans="1:5" x14ac:dyDescent="0.25">
      <c r="A105">
        <v>7.1</v>
      </c>
      <c r="B105">
        <v>3</v>
      </c>
      <c r="C105">
        <v>5.9</v>
      </c>
      <c r="D105">
        <v>2.1</v>
      </c>
      <c r="E105" t="s">
        <v>1</v>
      </c>
    </row>
    <row r="106" spans="1:5" x14ac:dyDescent="0.25">
      <c r="A106">
        <v>6.3</v>
      </c>
      <c r="B106">
        <v>2.9</v>
      </c>
      <c r="C106">
        <v>5.6</v>
      </c>
      <c r="D106">
        <v>1.8</v>
      </c>
      <c r="E106" t="s">
        <v>1</v>
      </c>
    </row>
    <row r="107" spans="1:5" x14ac:dyDescent="0.25">
      <c r="A107">
        <v>6.5</v>
      </c>
      <c r="B107">
        <v>3</v>
      </c>
      <c r="C107">
        <v>5.8</v>
      </c>
      <c r="D107">
        <v>2.2000000000000002</v>
      </c>
      <c r="E107" t="s">
        <v>1</v>
      </c>
    </row>
    <row r="108" spans="1:5" x14ac:dyDescent="0.25">
      <c r="A108">
        <v>7.6</v>
      </c>
      <c r="B108">
        <v>3</v>
      </c>
      <c r="C108">
        <v>6.6</v>
      </c>
      <c r="D108">
        <v>2.1</v>
      </c>
      <c r="E108" t="s">
        <v>1</v>
      </c>
    </row>
    <row r="109" spans="1:5" x14ac:dyDescent="0.25">
      <c r="A109">
        <v>4.9000000000000004</v>
      </c>
      <c r="B109">
        <v>2.5</v>
      </c>
      <c r="C109">
        <v>4.5</v>
      </c>
      <c r="D109">
        <v>1.7</v>
      </c>
      <c r="E109" t="s">
        <v>1</v>
      </c>
    </row>
    <row r="110" spans="1:5" x14ac:dyDescent="0.25">
      <c r="A110">
        <v>7.3</v>
      </c>
      <c r="B110">
        <v>2.9</v>
      </c>
      <c r="C110">
        <v>6.3</v>
      </c>
      <c r="D110">
        <v>1.8</v>
      </c>
      <c r="E110" t="s">
        <v>1</v>
      </c>
    </row>
    <row r="111" spans="1:5" x14ac:dyDescent="0.25">
      <c r="A111">
        <v>6.7</v>
      </c>
      <c r="B111">
        <v>2.5</v>
      </c>
      <c r="C111">
        <v>5.8</v>
      </c>
      <c r="D111">
        <v>1.8</v>
      </c>
      <c r="E111" t="s">
        <v>1</v>
      </c>
    </row>
    <row r="112" spans="1:5" x14ac:dyDescent="0.25">
      <c r="A112">
        <v>7.2</v>
      </c>
      <c r="B112">
        <v>3.6</v>
      </c>
      <c r="C112">
        <v>6.1</v>
      </c>
      <c r="D112">
        <v>2.5</v>
      </c>
      <c r="E112" t="s">
        <v>1</v>
      </c>
    </row>
    <row r="113" spans="1:5" x14ac:dyDescent="0.25">
      <c r="A113">
        <v>6.5</v>
      </c>
      <c r="B113">
        <v>3.2</v>
      </c>
      <c r="C113">
        <v>5.0999999999999996</v>
      </c>
      <c r="D113">
        <v>2</v>
      </c>
      <c r="E113" t="s">
        <v>1</v>
      </c>
    </row>
    <row r="114" spans="1:5" x14ac:dyDescent="0.25">
      <c r="A114">
        <v>6.4</v>
      </c>
      <c r="B114">
        <v>2.7</v>
      </c>
      <c r="C114">
        <v>5.3</v>
      </c>
      <c r="D114">
        <v>1.9</v>
      </c>
      <c r="E114" t="s">
        <v>1</v>
      </c>
    </row>
    <row r="115" spans="1:5" x14ac:dyDescent="0.25">
      <c r="A115">
        <v>6.8</v>
      </c>
      <c r="B115">
        <v>3</v>
      </c>
      <c r="C115">
        <v>5.5</v>
      </c>
      <c r="D115">
        <v>2.1</v>
      </c>
      <c r="E115" t="s">
        <v>1</v>
      </c>
    </row>
    <row r="116" spans="1:5" x14ac:dyDescent="0.25">
      <c r="A116">
        <v>5.7</v>
      </c>
      <c r="B116">
        <v>2.5</v>
      </c>
      <c r="C116">
        <v>5</v>
      </c>
      <c r="D116">
        <v>2</v>
      </c>
      <c r="E116" t="s">
        <v>1</v>
      </c>
    </row>
    <row r="117" spans="1:5" x14ac:dyDescent="0.25">
      <c r="A117">
        <v>5.8</v>
      </c>
      <c r="B117">
        <v>2.8</v>
      </c>
      <c r="C117">
        <v>5.0999999999999996</v>
      </c>
      <c r="D117">
        <v>2.4</v>
      </c>
      <c r="E117" t="s">
        <v>1</v>
      </c>
    </row>
    <row r="118" spans="1:5" x14ac:dyDescent="0.25">
      <c r="A118">
        <v>6.4</v>
      </c>
      <c r="B118">
        <v>3.2</v>
      </c>
      <c r="C118">
        <v>5.3</v>
      </c>
      <c r="D118">
        <v>2.2999999999999998</v>
      </c>
      <c r="E118" t="s">
        <v>1</v>
      </c>
    </row>
    <row r="119" spans="1:5" x14ac:dyDescent="0.25">
      <c r="A119">
        <v>6.5</v>
      </c>
      <c r="B119">
        <v>3</v>
      </c>
      <c r="C119">
        <v>5.5</v>
      </c>
      <c r="D119">
        <v>1.8</v>
      </c>
      <c r="E119" t="s">
        <v>1</v>
      </c>
    </row>
    <row r="120" spans="1:5" x14ac:dyDescent="0.25">
      <c r="A120">
        <v>7.7</v>
      </c>
      <c r="B120">
        <v>3.8</v>
      </c>
      <c r="C120">
        <v>6.7</v>
      </c>
      <c r="D120">
        <v>2.2000000000000002</v>
      </c>
      <c r="E120" t="s">
        <v>1</v>
      </c>
    </row>
    <row r="121" spans="1:5" x14ac:dyDescent="0.25">
      <c r="A121">
        <v>7.7</v>
      </c>
      <c r="B121">
        <v>2.6</v>
      </c>
      <c r="C121">
        <v>6.9</v>
      </c>
      <c r="D121">
        <v>2.2999999999999998</v>
      </c>
      <c r="E121" t="s">
        <v>1</v>
      </c>
    </row>
    <row r="122" spans="1:5" x14ac:dyDescent="0.25">
      <c r="A122">
        <v>6</v>
      </c>
      <c r="B122">
        <v>2.2000000000000002</v>
      </c>
      <c r="C122">
        <v>5</v>
      </c>
      <c r="D122">
        <v>1.5</v>
      </c>
      <c r="E122" t="s">
        <v>1</v>
      </c>
    </row>
    <row r="123" spans="1:5" x14ac:dyDescent="0.25">
      <c r="A123">
        <v>6.9</v>
      </c>
      <c r="B123">
        <v>3.2</v>
      </c>
      <c r="C123">
        <v>5.7</v>
      </c>
      <c r="D123">
        <v>2.2999999999999998</v>
      </c>
      <c r="E123" t="s">
        <v>1</v>
      </c>
    </row>
    <row r="124" spans="1:5" x14ac:dyDescent="0.25">
      <c r="A124">
        <v>5.6</v>
      </c>
      <c r="B124">
        <v>2.8</v>
      </c>
      <c r="C124">
        <v>4.9000000000000004</v>
      </c>
      <c r="D124">
        <v>2</v>
      </c>
      <c r="E124" t="s">
        <v>1</v>
      </c>
    </row>
    <row r="125" spans="1:5" x14ac:dyDescent="0.25">
      <c r="A125">
        <v>7.7</v>
      </c>
      <c r="B125">
        <v>2.8</v>
      </c>
      <c r="C125">
        <v>6.7</v>
      </c>
      <c r="D125">
        <v>2</v>
      </c>
      <c r="E125" t="s">
        <v>1</v>
      </c>
    </row>
    <row r="126" spans="1:5" x14ac:dyDescent="0.25">
      <c r="A126">
        <v>6.3</v>
      </c>
      <c r="B126">
        <v>2.7</v>
      </c>
      <c r="C126">
        <v>4.9000000000000004</v>
      </c>
      <c r="D126">
        <v>1.8</v>
      </c>
      <c r="E126" t="s">
        <v>1</v>
      </c>
    </row>
    <row r="127" spans="1:5" x14ac:dyDescent="0.25">
      <c r="A127">
        <v>6.7</v>
      </c>
      <c r="B127">
        <v>3.3</v>
      </c>
      <c r="C127">
        <v>5.7</v>
      </c>
      <c r="D127">
        <v>2.1</v>
      </c>
      <c r="E127" t="s">
        <v>1</v>
      </c>
    </row>
    <row r="128" spans="1:5" x14ac:dyDescent="0.25">
      <c r="A128">
        <v>7.2</v>
      </c>
      <c r="B128">
        <v>3.2</v>
      </c>
      <c r="C128">
        <v>6</v>
      </c>
      <c r="D128">
        <v>1.8</v>
      </c>
      <c r="E128" t="s">
        <v>1</v>
      </c>
    </row>
    <row r="129" spans="1:5" x14ac:dyDescent="0.25">
      <c r="A129">
        <v>6.2</v>
      </c>
      <c r="B129">
        <v>2.8</v>
      </c>
      <c r="C129">
        <v>4.8</v>
      </c>
      <c r="D129">
        <v>1.8</v>
      </c>
      <c r="E129" t="s">
        <v>1</v>
      </c>
    </row>
    <row r="130" spans="1:5" x14ac:dyDescent="0.25">
      <c r="A130">
        <v>6.1</v>
      </c>
      <c r="B130">
        <v>3</v>
      </c>
      <c r="C130">
        <v>4.9000000000000004</v>
      </c>
      <c r="D130">
        <v>1.8</v>
      </c>
      <c r="E130" t="s">
        <v>1</v>
      </c>
    </row>
    <row r="131" spans="1:5" x14ac:dyDescent="0.25">
      <c r="A131">
        <v>6.4</v>
      </c>
      <c r="B131">
        <v>2.8</v>
      </c>
      <c r="C131">
        <v>5.6</v>
      </c>
      <c r="D131">
        <v>2.1</v>
      </c>
      <c r="E131" t="s">
        <v>1</v>
      </c>
    </row>
    <row r="132" spans="1:5" x14ac:dyDescent="0.25">
      <c r="A132">
        <v>7.2</v>
      </c>
      <c r="B132">
        <v>3</v>
      </c>
      <c r="C132">
        <v>5.8</v>
      </c>
      <c r="D132">
        <v>1.6</v>
      </c>
      <c r="E132" t="s">
        <v>1</v>
      </c>
    </row>
    <row r="133" spans="1:5" x14ac:dyDescent="0.25">
      <c r="A133">
        <v>7.4</v>
      </c>
      <c r="B133">
        <v>2.8</v>
      </c>
      <c r="C133">
        <v>6.1</v>
      </c>
      <c r="D133">
        <v>1.9</v>
      </c>
      <c r="E133" t="s">
        <v>1</v>
      </c>
    </row>
    <row r="134" spans="1:5" x14ac:dyDescent="0.25">
      <c r="A134">
        <v>7.9</v>
      </c>
      <c r="B134">
        <v>3.8</v>
      </c>
      <c r="C134">
        <v>6.4</v>
      </c>
      <c r="D134">
        <v>2</v>
      </c>
      <c r="E134" t="s">
        <v>1</v>
      </c>
    </row>
    <row r="135" spans="1:5" x14ac:dyDescent="0.25">
      <c r="A135">
        <v>6.4</v>
      </c>
      <c r="B135">
        <v>2.8</v>
      </c>
      <c r="C135">
        <v>5.6</v>
      </c>
      <c r="D135">
        <v>2.2000000000000002</v>
      </c>
      <c r="E135" t="s">
        <v>1</v>
      </c>
    </row>
    <row r="136" spans="1:5" x14ac:dyDescent="0.25">
      <c r="A136">
        <v>6.3</v>
      </c>
      <c r="B136">
        <v>2.8</v>
      </c>
      <c r="C136">
        <v>5.0999999999999996</v>
      </c>
      <c r="D136">
        <v>1.5</v>
      </c>
      <c r="E136" t="s">
        <v>1</v>
      </c>
    </row>
    <row r="137" spans="1:5" x14ac:dyDescent="0.25">
      <c r="A137">
        <v>6.1</v>
      </c>
      <c r="B137">
        <v>2.6</v>
      </c>
      <c r="C137">
        <v>5.6</v>
      </c>
      <c r="D137">
        <v>1.4</v>
      </c>
      <c r="E137" t="s">
        <v>1</v>
      </c>
    </row>
    <row r="138" spans="1:5" x14ac:dyDescent="0.25">
      <c r="A138">
        <v>7.7</v>
      </c>
      <c r="B138">
        <v>3</v>
      </c>
      <c r="C138">
        <v>6.1</v>
      </c>
      <c r="D138">
        <v>2.2999999999999998</v>
      </c>
      <c r="E138" t="s">
        <v>1</v>
      </c>
    </row>
    <row r="139" spans="1:5" x14ac:dyDescent="0.25">
      <c r="A139">
        <v>6.3</v>
      </c>
      <c r="B139">
        <v>3.4</v>
      </c>
      <c r="C139">
        <v>5.6</v>
      </c>
      <c r="D139">
        <v>2.4</v>
      </c>
      <c r="E139" t="s">
        <v>1</v>
      </c>
    </row>
    <row r="140" spans="1:5" x14ac:dyDescent="0.25">
      <c r="A140">
        <v>6.4</v>
      </c>
      <c r="B140">
        <v>3.1</v>
      </c>
      <c r="C140">
        <v>5.5</v>
      </c>
      <c r="D140">
        <v>1.8</v>
      </c>
      <c r="E140" t="s">
        <v>1</v>
      </c>
    </row>
    <row r="141" spans="1:5" x14ac:dyDescent="0.25">
      <c r="A141">
        <v>6</v>
      </c>
      <c r="B141">
        <v>3</v>
      </c>
      <c r="C141">
        <v>4.8</v>
      </c>
      <c r="D141">
        <v>1.8</v>
      </c>
      <c r="E141" t="s">
        <v>1</v>
      </c>
    </row>
    <row r="142" spans="1:5" x14ac:dyDescent="0.25">
      <c r="A142">
        <v>6.9</v>
      </c>
      <c r="B142">
        <v>3.1</v>
      </c>
      <c r="C142">
        <v>5.4</v>
      </c>
      <c r="D142">
        <v>2.1</v>
      </c>
      <c r="E142" t="s">
        <v>1</v>
      </c>
    </row>
    <row r="143" spans="1:5" x14ac:dyDescent="0.25">
      <c r="A143">
        <v>6.7</v>
      </c>
      <c r="B143">
        <v>3.1</v>
      </c>
      <c r="C143">
        <v>5.6</v>
      </c>
      <c r="D143">
        <v>2.4</v>
      </c>
      <c r="E143" t="s">
        <v>1</v>
      </c>
    </row>
    <row r="144" spans="1:5" x14ac:dyDescent="0.25">
      <c r="A144">
        <v>6.9</v>
      </c>
      <c r="B144">
        <v>3.1</v>
      </c>
      <c r="C144">
        <v>5.0999999999999996</v>
      </c>
      <c r="D144">
        <v>2.2999999999999998</v>
      </c>
      <c r="E144" t="s">
        <v>1</v>
      </c>
    </row>
    <row r="145" spans="1:5" x14ac:dyDescent="0.25">
      <c r="A145">
        <v>5.8</v>
      </c>
      <c r="B145">
        <v>2.7</v>
      </c>
      <c r="C145">
        <v>5.0999999999999996</v>
      </c>
      <c r="D145">
        <v>1.9</v>
      </c>
      <c r="E145" t="s">
        <v>1</v>
      </c>
    </row>
    <row r="146" spans="1:5" x14ac:dyDescent="0.25">
      <c r="A146">
        <v>6.8</v>
      </c>
      <c r="B146">
        <v>3.2</v>
      </c>
      <c r="C146">
        <v>5.9</v>
      </c>
      <c r="D146">
        <v>2.2999999999999998</v>
      </c>
      <c r="E146" t="s">
        <v>1</v>
      </c>
    </row>
    <row r="147" spans="1:5" x14ac:dyDescent="0.25">
      <c r="A147">
        <v>6.7</v>
      </c>
      <c r="B147">
        <v>3.3</v>
      </c>
      <c r="C147">
        <v>5.7</v>
      </c>
      <c r="D147">
        <v>2.5</v>
      </c>
      <c r="E147" t="s">
        <v>1</v>
      </c>
    </row>
    <row r="148" spans="1:5" x14ac:dyDescent="0.25">
      <c r="A148">
        <v>6.7</v>
      </c>
      <c r="B148">
        <v>3</v>
      </c>
      <c r="C148">
        <v>5.2</v>
      </c>
      <c r="D148">
        <v>2.2999999999999998</v>
      </c>
      <c r="E148" t="s">
        <v>1</v>
      </c>
    </row>
    <row r="149" spans="1:5" x14ac:dyDescent="0.25">
      <c r="A149">
        <v>6.3</v>
      </c>
      <c r="B149">
        <v>2.5</v>
      </c>
      <c r="C149">
        <v>5</v>
      </c>
      <c r="D149">
        <v>1.9</v>
      </c>
      <c r="E149" t="s">
        <v>1</v>
      </c>
    </row>
    <row r="150" spans="1:5" x14ac:dyDescent="0.25">
      <c r="A150">
        <v>6.5</v>
      </c>
      <c r="B150">
        <v>3</v>
      </c>
      <c r="C150">
        <v>5.2</v>
      </c>
      <c r="D150">
        <v>2</v>
      </c>
      <c r="E150" t="s">
        <v>1</v>
      </c>
    </row>
    <row r="151" spans="1:5" x14ac:dyDescent="0.25">
      <c r="A151">
        <v>6.2</v>
      </c>
      <c r="B151">
        <v>3.4</v>
      </c>
      <c r="C151">
        <v>5.4</v>
      </c>
      <c r="D151">
        <v>2.2999999999999998</v>
      </c>
      <c r="E151" t="s">
        <v>1</v>
      </c>
    </row>
    <row r="152" spans="1:5" x14ac:dyDescent="0.25">
      <c r="A152">
        <v>5.9</v>
      </c>
      <c r="B152">
        <v>3</v>
      </c>
      <c r="C152">
        <v>5.0999999999999996</v>
      </c>
      <c r="D152">
        <v>1.8</v>
      </c>
      <c r="E152" t="s">
        <v>1</v>
      </c>
    </row>
    <row r="154" spans="1:5" x14ac:dyDescent="0.25">
      <c r="A154" s="1" t="s">
        <v>0</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6F98F-4CD9-4D78-8049-1A4C55CC6861}">
  <dimension ref="A1:H154"/>
  <sheetViews>
    <sheetView workbookViewId="0">
      <selection activeCell="G3" sqref="G3"/>
    </sheetView>
  </sheetViews>
  <sheetFormatPr defaultRowHeight="15" x14ac:dyDescent="0.25"/>
  <cols>
    <col min="1" max="11" width="14.5703125" customWidth="1"/>
  </cols>
  <sheetData>
    <row r="1" spans="1:8" x14ac:dyDescent="0.25">
      <c r="A1" s="3" t="s">
        <v>9</v>
      </c>
      <c r="E1" s="3"/>
    </row>
    <row r="2" spans="1:8" x14ac:dyDescent="0.25">
      <c r="A2" t="s">
        <v>8</v>
      </c>
      <c r="B2" t="s">
        <v>7</v>
      </c>
      <c r="C2" t="s">
        <v>6</v>
      </c>
      <c r="D2" t="s">
        <v>5</v>
      </c>
      <c r="E2" t="s">
        <v>4</v>
      </c>
      <c r="G2" s="2" t="s">
        <v>10</v>
      </c>
      <c r="H2" s="2"/>
    </row>
    <row r="3" spans="1:8" x14ac:dyDescent="0.25">
      <c r="A3">
        <v>5.0999999999999996</v>
      </c>
      <c r="B3">
        <v>3.5</v>
      </c>
      <c r="C3">
        <v>1.4</v>
      </c>
      <c r="D3">
        <v>0.2</v>
      </c>
      <c r="E3" t="s">
        <v>3</v>
      </c>
      <c r="G3" t="e" cm="1" vm="2">
        <f t="array" ref="G3">_xlfn._xlws.PY(3,1,IrisDataSet23[sepal_length],IrisDataSet23[sepal_width])</f>
        <v>#VALUE!</v>
      </c>
    </row>
    <row r="4" spans="1:8" x14ac:dyDescent="0.25">
      <c r="A4">
        <v>4.9000000000000004</v>
      </c>
      <c r="B4">
        <v>3</v>
      </c>
      <c r="C4">
        <v>1.4</v>
      </c>
      <c r="D4">
        <v>0.2</v>
      </c>
      <c r="E4" t="s">
        <v>3</v>
      </c>
    </row>
    <row r="5" spans="1:8" x14ac:dyDescent="0.25">
      <c r="A5">
        <v>4.7</v>
      </c>
      <c r="B5">
        <v>3.2</v>
      </c>
      <c r="C5">
        <v>1.3</v>
      </c>
      <c r="D5">
        <v>0.2</v>
      </c>
      <c r="E5" t="s">
        <v>3</v>
      </c>
      <c r="H5" s="2"/>
    </row>
    <row r="6" spans="1:8" x14ac:dyDescent="0.25">
      <c r="A6">
        <v>4.5999999999999996</v>
      </c>
      <c r="B6">
        <v>3.1</v>
      </c>
      <c r="C6">
        <v>1.5</v>
      </c>
      <c r="D6">
        <v>0.2</v>
      </c>
      <c r="E6" t="s">
        <v>3</v>
      </c>
    </row>
    <row r="7" spans="1:8" x14ac:dyDescent="0.25">
      <c r="A7">
        <v>5</v>
      </c>
      <c r="B7">
        <v>3.6</v>
      </c>
      <c r="C7">
        <v>1.4</v>
      </c>
      <c r="D7">
        <v>0.2</v>
      </c>
      <c r="E7" t="s">
        <v>3</v>
      </c>
    </row>
    <row r="8" spans="1:8" x14ac:dyDescent="0.25">
      <c r="A8">
        <v>5.4</v>
      </c>
      <c r="B8">
        <v>3.9</v>
      </c>
      <c r="C8">
        <v>1.7</v>
      </c>
      <c r="D8">
        <v>0.4</v>
      </c>
      <c r="E8" t="s">
        <v>3</v>
      </c>
    </row>
    <row r="9" spans="1:8" x14ac:dyDescent="0.25">
      <c r="A9">
        <v>4.5999999999999996</v>
      </c>
      <c r="B9">
        <v>3.4</v>
      </c>
      <c r="C9">
        <v>1.4</v>
      </c>
      <c r="D9">
        <v>0.3</v>
      </c>
      <c r="E9" t="s">
        <v>3</v>
      </c>
    </row>
    <row r="10" spans="1:8" x14ac:dyDescent="0.25">
      <c r="A10">
        <v>5</v>
      </c>
      <c r="B10">
        <v>3.4</v>
      </c>
      <c r="C10">
        <v>1.5</v>
      </c>
      <c r="D10">
        <v>0.2</v>
      </c>
      <c r="E10" t="s">
        <v>3</v>
      </c>
    </row>
    <row r="11" spans="1:8" x14ac:dyDescent="0.25">
      <c r="A11">
        <v>4.4000000000000004</v>
      </c>
      <c r="B11">
        <v>2.9</v>
      </c>
      <c r="C11">
        <v>1.4</v>
      </c>
      <c r="D11">
        <v>0.2</v>
      </c>
      <c r="E11" t="s">
        <v>3</v>
      </c>
    </row>
    <row r="12" spans="1:8" x14ac:dyDescent="0.25">
      <c r="A12">
        <v>4.9000000000000004</v>
      </c>
      <c r="B12">
        <v>3.1</v>
      </c>
      <c r="C12">
        <v>1.5</v>
      </c>
      <c r="D12">
        <v>0.1</v>
      </c>
      <c r="E12" t="s">
        <v>3</v>
      </c>
    </row>
    <row r="13" spans="1:8" x14ac:dyDescent="0.25">
      <c r="A13">
        <v>5.4</v>
      </c>
      <c r="B13">
        <v>3.7</v>
      </c>
      <c r="C13">
        <v>1.5</v>
      </c>
      <c r="D13">
        <v>0.2</v>
      </c>
      <c r="E13" t="s">
        <v>3</v>
      </c>
    </row>
    <row r="14" spans="1:8" x14ac:dyDescent="0.25">
      <c r="A14">
        <v>4.8</v>
      </c>
      <c r="B14">
        <v>3.4</v>
      </c>
      <c r="C14">
        <v>1.6</v>
      </c>
      <c r="D14">
        <v>0.2</v>
      </c>
      <c r="E14" t="s">
        <v>3</v>
      </c>
    </row>
    <row r="15" spans="1:8" x14ac:dyDescent="0.25">
      <c r="A15">
        <v>4.8</v>
      </c>
      <c r="B15">
        <v>3</v>
      </c>
      <c r="C15">
        <v>1.4</v>
      </c>
      <c r="D15">
        <v>0.1</v>
      </c>
      <c r="E15" t="s">
        <v>3</v>
      </c>
    </row>
    <row r="16" spans="1:8" x14ac:dyDescent="0.25">
      <c r="A16">
        <v>4.3</v>
      </c>
      <c r="B16">
        <v>3</v>
      </c>
      <c r="C16">
        <v>1.1000000000000001</v>
      </c>
      <c r="D16">
        <v>0.1</v>
      </c>
      <c r="E16" t="s">
        <v>3</v>
      </c>
    </row>
    <row r="17" spans="1:5" x14ac:dyDescent="0.25">
      <c r="A17">
        <v>5.8</v>
      </c>
      <c r="B17">
        <v>4</v>
      </c>
      <c r="C17">
        <v>1.2</v>
      </c>
      <c r="D17">
        <v>0.2</v>
      </c>
      <c r="E17" t="s">
        <v>3</v>
      </c>
    </row>
    <row r="18" spans="1:5" x14ac:dyDescent="0.25">
      <c r="A18">
        <v>5.7</v>
      </c>
      <c r="B18">
        <v>4.4000000000000004</v>
      </c>
      <c r="C18">
        <v>1.5</v>
      </c>
      <c r="D18">
        <v>0.4</v>
      </c>
      <c r="E18" t="s">
        <v>3</v>
      </c>
    </row>
    <row r="19" spans="1:5" x14ac:dyDescent="0.25">
      <c r="A19">
        <v>5.4</v>
      </c>
      <c r="B19">
        <v>3.9</v>
      </c>
      <c r="C19">
        <v>1.3</v>
      </c>
      <c r="D19">
        <v>0.4</v>
      </c>
      <c r="E19" t="s">
        <v>3</v>
      </c>
    </row>
    <row r="20" spans="1:5" x14ac:dyDescent="0.25">
      <c r="A20">
        <v>5.0999999999999996</v>
      </c>
      <c r="B20">
        <v>3.5</v>
      </c>
      <c r="C20">
        <v>1.4</v>
      </c>
      <c r="D20">
        <v>0.3</v>
      </c>
      <c r="E20" t="s">
        <v>3</v>
      </c>
    </row>
    <row r="21" spans="1:5" x14ac:dyDescent="0.25">
      <c r="A21">
        <v>5.7</v>
      </c>
      <c r="B21">
        <v>3.8</v>
      </c>
      <c r="C21">
        <v>1.7</v>
      </c>
      <c r="D21">
        <v>0.3</v>
      </c>
      <c r="E21" t="s">
        <v>3</v>
      </c>
    </row>
    <row r="22" spans="1:5" x14ac:dyDescent="0.25">
      <c r="A22">
        <v>5.0999999999999996</v>
      </c>
      <c r="B22">
        <v>3.8</v>
      </c>
      <c r="C22">
        <v>1.5</v>
      </c>
      <c r="D22">
        <v>0.3</v>
      </c>
      <c r="E22" t="s">
        <v>3</v>
      </c>
    </row>
    <row r="23" spans="1:5" x14ac:dyDescent="0.25">
      <c r="A23">
        <v>5.4</v>
      </c>
      <c r="B23">
        <v>3.4</v>
      </c>
      <c r="C23">
        <v>1.7</v>
      </c>
      <c r="D23">
        <v>0.2</v>
      </c>
      <c r="E23" t="s">
        <v>3</v>
      </c>
    </row>
    <row r="24" spans="1:5" x14ac:dyDescent="0.25">
      <c r="A24">
        <v>5.0999999999999996</v>
      </c>
      <c r="B24">
        <v>3.7</v>
      </c>
      <c r="C24">
        <v>1.5</v>
      </c>
      <c r="D24">
        <v>0.4</v>
      </c>
      <c r="E24" t="s">
        <v>3</v>
      </c>
    </row>
    <row r="25" spans="1:5" x14ac:dyDescent="0.25">
      <c r="A25">
        <v>4.5999999999999996</v>
      </c>
      <c r="B25">
        <v>3.6</v>
      </c>
      <c r="C25">
        <v>1</v>
      </c>
      <c r="D25">
        <v>0.2</v>
      </c>
      <c r="E25" t="s">
        <v>3</v>
      </c>
    </row>
    <row r="26" spans="1:5" x14ac:dyDescent="0.25">
      <c r="A26">
        <v>5.0999999999999996</v>
      </c>
      <c r="B26">
        <v>3.3</v>
      </c>
      <c r="C26">
        <v>1.7</v>
      </c>
      <c r="D26">
        <v>0.5</v>
      </c>
      <c r="E26" t="s">
        <v>3</v>
      </c>
    </row>
    <row r="27" spans="1:5" x14ac:dyDescent="0.25">
      <c r="A27">
        <v>4.8</v>
      </c>
      <c r="B27">
        <v>3.4</v>
      </c>
      <c r="C27">
        <v>1.9</v>
      </c>
      <c r="D27">
        <v>0.2</v>
      </c>
      <c r="E27" t="s">
        <v>3</v>
      </c>
    </row>
    <row r="28" spans="1:5" x14ac:dyDescent="0.25">
      <c r="A28">
        <v>5</v>
      </c>
      <c r="B28">
        <v>3</v>
      </c>
      <c r="C28">
        <v>1.6</v>
      </c>
      <c r="D28">
        <v>0.2</v>
      </c>
      <c r="E28" t="s">
        <v>3</v>
      </c>
    </row>
    <row r="29" spans="1:5" x14ac:dyDescent="0.25">
      <c r="A29">
        <v>5</v>
      </c>
      <c r="B29">
        <v>3.4</v>
      </c>
      <c r="C29">
        <v>1.6</v>
      </c>
      <c r="D29">
        <v>0.4</v>
      </c>
      <c r="E29" t="s">
        <v>3</v>
      </c>
    </row>
    <row r="30" spans="1:5" x14ac:dyDescent="0.25">
      <c r="A30">
        <v>5.2</v>
      </c>
      <c r="B30">
        <v>3.5</v>
      </c>
      <c r="C30">
        <v>1.5</v>
      </c>
      <c r="D30">
        <v>0.2</v>
      </c>
      <c r="E30" t="s">
        <v>3</v>
      </c>
    </row>
    <row r="31" spans="1:5" x14ac:dyDescent="0.25">
      <c r="A31">
        <v>5.2</v>
      </c>
      <c r="B31">
        <v>3.4</v>
      </c>
      <c r="C31">
        <v>1.4</v>
      </c>
      <c r="D31">
        <v>0.2</v>
      </c>
      <c r="E31" t="s">
        <v>3</v>
      </c>
    </row>
    <row r="32" spans="1:5" x14ac:dyDescent="0.25">
      <c r="A32">
        <v>4.7</v>
      </c>
      <c r="B32">
        <v>3.2</v>
      </c>
      <c r="C32">
        <v>1.6</v>
      </c>
      <c r="D32">
        <v>0.2</v>
      </c>
      <c r="E32" t="s">
        <v>3</v>
      </c>
    </row>
    <row r="33" spans="1:5" x14ac:dyDescent="0.25">
      <c r="A33">
        <v>4.8</v>
      </c>
      <c r="B33">
        <v>3.1</v>
      </c>
      <c r="C33">
        <v>1.6</v>
      </c>
      <c r="D33">
        <v>0.2</v>
      </c>
      <c r="E33" t="s">
        <v>3</v>
      </c>
    </row>
    <row r="34" spans="1:5" x14ac:dyDescent="0.25">
      <c r="A34">
        <v>5.4</v>
      </c>
      <c r="B34">
        <v>3.4</v>
      </c>
      <c r="C34">
        <v>1.5</v>
      </c>
      <c r="D34">
        <v>0.4</v>
      </c>
      <c r="E34" t="s">
        <v>3</v>
      </c>
    </row>
    <row r="35" spans="1:5" x14ac:dyDescent="0.25">
      <c r="A35">
        <v>5.2</v>
      </c>
      <c r="B35">
        <v>4.0999999999999996</v>
      </c>
      <c r="C35">
        <v>1.5</v>
      </c>
      <c r="D35">
        <v>0.1</v>
      </c>
      <c r="E35" t="s">
        <v>3</v>
      </c>
    </row>
    <row r="36" spans="1:5" x14ac:dyDescent="0.25">
      <c r="A36">
        <v>5.5</v>
      </c>
      <c r="B36">
        <v>4.2</v>
      </c>
      <c r="C36">
        <v>1.4</v>
      </c>
      <c r="D36">
        <v>0.2</v>
      </c>
      <c r="E36" t="s">
        <v>3</v>
      </c>
    </row>
    <row r="37" spans="1:5" x14ac:dyDescent="0.25">
      <c r="A37">
        <v>4.9000000000000004</v>
      </c>
      <c r="B37">
        <v>3.1</v>
      </c>
      <c r="C37">
        <v>1.5</v>
      </c>
      <c r="D37">
        <v>0.1</v>
      </c>
      <c r="E37" t="s">
        <v>3</v>
      </c>
    </row>
    <row r="38" spans="1:5" x14ac:dyDescent="0.25">
      <c r="A38">
        <v>5</v>
      </c>
      <c r="B38">
        <v>3.2</v>
      </c>
      <c r="C38">
        <v>1.2</v>
      </c>
      <c r="D38">
        <v>0.2</v>
      </c>
      <c r="E38" t="s">
        <v>3</v>
      </c>
    </row>
    <row r="39" spans="1:5" x14ac:dyDescent="0.25">
      <c r="A39">
        <v>5.5</v>
      </c>
      <c r="B39">
        <v>3.5</v>
      </c>
      <c r="C39">
        <v>1.3</v>
      </c>
      <c r="D39">
        <v>0.2</v>
      </c>
      <c r="E39" t="s">
        <v>3</v>
      </c>
    </row>
    <row r="40" spans="1:5" x14ac:dyDescent="0.25">
      <c r="A40">
        <v>4.9000000000000004</v>
      </c>
      <c r="B40">
        <v>3.1</v>
      </c>
      <c r="C40">
        <v>1.5</v>
      </c>
      <c r="D40">
        <v>0.1</v>
      </c>
      <c r="E40" t="s">
        <v>3</v>
      </c>
    </row>
    <row r="41" spans="1:5" x14ac:dyDescent="0.25">
      <c r="A41">
        <v>4.4000000000000004</v>
      </c>
      <c r="B41">
        <v>3</v>
      </c>
      <c r="C41">
        <v>1.3</v>
      </c>
      <c r="D41">
        <v>0.2</v>
      </c>
      <c r="E41" t="s">
        <v>3</v>
      </c>
    </row>
    <row r="42" spans="1:5" x14ac:dyDescent="0.25">
      <c r="A42">
        <v>5.0999999999999996</v>
      </c>
      <c r="B42">
        <v>3.4</v>
      </c>
      <c r="C42">
        <v>1.5</v>
      </c>
      <c r="D42">
        <v>0.2</v>
      </c>
      <c r="E42" t="s">
        <v>3</v>
      </c>
    </row>
    <row r="43" spans="1:5" x14ac:dyDescent="0.25">
      <c r="A43">
        <v>5</v>
      </c>
      <c r="B43">
        <v>3.5</v>
      </c>
      <c r="C43">
        <v>1.3</v>
      </c>
      <c r="D43">
        <v>0.3</v>
      </c>
      <c r="E43" t="s">
        <v>3</v>
      </c>
    </row>
    <row r="44" spans="1:5" x14ac:dyDescent="0.25">
      <c r="A44">
        <v>4.5</v>
      </c>
      <c r="B44">
        <v>2.2999999999999998</v>
      </c>
      <c r="C44">
        <v>1.3</v>
      </c>
      <c r="D44">
        <v>0.3</v>
      </c>
      <c r="E44" t="s">
        <v>3</v>
      </c>
    </row>
    <row r="45" spans="1:5" x14ac:dyDescent="0.25">
      <c r="A45">
        <v>4.4000000000000004</v>
      </c>
      <c r="B45">
        <v>3.2</v>
      </c>
      <c r="C45">
        <v>1.3</v>
      </c>
      <c r="D45">
        <v>0.2</v>
      </c>
      <c r="E45" t="s">
        <v>3</v>
      </c>
    </row>
    <row r="46" spans="1:5" x14ac:dyDescent="0.25">
      <c r="A46">
        <v>5</v>
      </c>
      <c r="B46">
        <v>3.5</v>
      </c>
      <c r="C46">
        <v>1.6</v>
      </c>
      <c r="D46">
        <v>0.6</v>
      </c>
      <c r="E46" t="s">
        <v>3</v>
      </c>
    </row>
    <row r="47" spans="1:5" x14ac:dyDescent="0.25">
      <c r="A47">
        <v>5.0999999999999996</v>
      </c>
      <c r="B47">
        <v>3.8</v>
      </c>
      <c r="C47">
        <v>1.9</v>
      </c>
      <c r="D47">
        <v>0.4</v>
      </c>
      <c r="E47" t="s">
        <v>3</v>
      </c>
    </row>
    <row r="48" spans="1:5" x14ac:dyDescent="0.25">
      <c r="A48">
        <v>4.8</v>
      </c>
      <c r="B48">
        <v>3</v>
      </c>
      <c r="C48">
        <v>1.4</v>
      </c>
      <c r="D48">
        <v>0.3</v>
      </c>
      <c r="E48" t="s">
        <v>3</v>
      </c>
    </row>
    <row r="49" spans="1:5" x14ac:dyDescent="0.25">
      <c r="A49">
        <v>5.0999999999999996</v>
      </c>
      <c r="B49">
        <v>3.8</v>
      </c>
      <c r="C49">
        <v>1.6</v>
      </c>
      <c r="D49">
        <v>0.2</v>
      </c>
      <c r="E49" t="s">
        <v>3</v>
      </c>
    </row>
    <row r="50" spans="1:5" x14ac:dyDescent="0.25">
      <c r="A50">
        <v>4.5999999999999996</v>
      </c>
      <c r="B50">
        <v>3.2</v>
      </c>
      <c r="C50">
        <v>1.4</v>
      </c>
      <c r="D50">
        <v>0.2</v>
      </c>
      <c r="E50" t="s">
        <v>3</v>
      </c>
    </row>
    <row r="51" spans="1:5" x14ac:dyDescent="0.25">
      <c r="A51">
        <v>5.3</v>
      </c>
      <c r="B51">
        <v>3.7</v>
      </c>
      <c r="C51">
        <v>1.5</v>
      </c>
      <c r="D51">
        <v>0.2</v>
      </c>
      <c r="E51" t="s">
        <v>3</v>
      </c>
    </row>
    <row r="52" spans="1:5" x14ac:dyDescent="0.25">
      <c r="A52">
        <v>5</v>
      </c>
      <c r="B52">
        <v>3.3</v>
      </c>
      <c r="C52">
        <v>1.4</v>
      </c>
      <c r="D52">
        <v>0.2</v>
      </c>
      <c r="E52" t="s">
        <v>3</v>
      </c>
    </row>
    <row r="53" spans="1:5" x14ac:dyDescent="0.25">
      <c r="A53">
        <v>7</v>
      </c>
      <c r="B53">
        <v>3.2</v>
      </c>
      <c r="C53">
        <v>4.7</v>
      </c>
      <c r="D53">
        <v>1.4</v>
      </c>
      <c r="E53" t="s">
        <v>2</v>
      </c>
    </row>
    <row r="54" spans="1:5" x14ac:dyDescent="0.25">
      <c r="A54">
        <v>6.4</v>
      </c>
      <c r="B54">
        <v>3.2</v>
      </c>
      <c r="C54">
        <v>4.5</v>
      </c>
      <c r="D54">
        <v>1.5</v>
      </c>
      <c r="E54" t="s">
        <v>2</v>
      </c>
    </row>
    <row r="55" spans="1:5" x14ac:dyDescent="0.25">
      <c r="A55">
        <v>6.9</v>
      </c>
      <c r="B55">
        <v>3.1</v>
      </c>
      <c r="C55">
        <v>4.9000000000000004</v>
      </c>
      <c r="D55">
        <v>1.5</v>
      </c>
      <c r="E55" t="s">
        <v>2</v>
      </c>
    </row>
    <row r="56" spans="1:5" x14ac:dyDescent="0.25">
      <c r="A56">
        <v>5.5</v>
      </c>
      <c r="B56">
        <v>2.2999999999999998</v>
      </c>
      <c r="C56">
        <v>4</v>
      </c>
      <c r="D56">
        <v>1.3</v>
      </c>
      <c r="E56" t="s">
        <v>2</v>
      </c>
    </row>
    <row r="57" spans="1:5" x14ac:dyDescent="0.25">
      <c r="A57">
        <v>6.5</v>
      </c>
      <c r="B57">
        <v>2.8</v>
      </c>
      <c r="C57">
        <v>4.5999999999999996</v>
      </c>
      <c r="D57">
        <v>1.5</v>
      </c>
      <c r="E57" t="s">
        <v>2</v>
      </c>
    </row>
    <row r="58" spans="1:5" x14ac:dyDescent="0.25">
      <c r="A58">
        <v>5.7</v>
      </c>
      <c r="B58">
        <v>2.8</v>
      </c>
      <c r="C58">
        <v>4.5</v>
      </c>
      <c r="D58">
        <v>1.3</v>
      </c>
      <c r="E58" t="s">
        <v>2</v>
      </c>
    </row>
    <row r="59" spans="1:5" x14ac:dyDescent="0.25">
      <c r="A59">
        <v>6.3</v>
      </c>
      <c r="B59">
        <v>3.3</v>
      </c>
      <c r="C59">
        <v>4.7</v>
      </c>
      <c r="D59">
        <v>1.6</v>
      </c>
      <c r="E59" t="s">
        <v>2</v>
      </c>
    </row>
    <row r="60" spans="1:5" x14ac:dyDescent="0.25">
      <c r="A60">
        <v>4.9000000000000004</v>
      </c>
      <c r="B60">
        <v>2.4</v>
      </c>
      <c r="C60">
        <v>3.3</v>
      </c>
      <c r="D60">
        <v>1</v>
      </c>
      <c r="E60" t="s">
        <v>2</v>
      </c>
    </row>
    <row r="61" spans="1:5" x14ac:dyDescent="0.25">
      <c r="A61">
        <v>6.6</v>
      </c>
      <c r="B61">
        <v>2.9</v>
      </c>
      <c r="C61">
        <v>4.5999999999999996</v>
      </c>
      <c r="D61">
        <v>1.3</v>
      </c>
      <c r="E61" t="s">
        <v>2</v>
      </c>
    </row>
    <row r="62" spans="1:5" x14ac:dyDescent="0.25">
      <c r="A62">
        <v>5.2</v>
      </c>
      <c r="B62">
        <v>2.7</v>
      </c>
      <c r="C62">
        <v>3.9</v>
      </c>
      <c r="D62">
        <v>1.4</v>
      </c>
      <c r="E62" t="s">
        <v>2</v>
      </c>
    </row>
    <row r="63" spans="1:5" x14ac:dyDescent="0.25">
      <c r="A63">
        <v>5</v>
      </c>
      <c r="B63">
        <v>2</v>
      </c>
      <c r="C63">
        <v>3.5</v>
      </c>
      <c r="D63">
        <v>1</v>
      </c>
      <c r="E63" t="s">
        <v>2</v>
      </c>
    </row>
    <row r="64" spans="1:5" x14ac:dyDescent="0.25">
      <c r="A64">
        <v>5.9</v>
      </c>
      <c r="B64">
        <v>3</v>
      </c>
      <c r="C64">
        <v>4.2</v>
      </c>
      <c r="D64">
        <v>1.5</v>
      </c>
      <c r="E64" t="s">
        <v>2</v>
      </c>
    </row>
    <row r="65" spans="1:5" x14ac:dyDescent="0.25">
      <c r="A65">
        <v>6</v>
      </c>
      <c r="B65">
        <v>2.2000000000000002</v>
      </c>
      <c r="C65">
        <v>4</v>
      </c>
      <c r="D65">
        <v>1</v>
      </c>
      <c r="E65" t="s">
        <v>2</v>
      </c>
    </row>
    <row r="66" spans="1:5" x14ac:dyDescent="0.25">
      <c r="A66">
        <v>6.1</v>
      </c>
      <c r="B66">
        <v>2.9</v>
      </c>
      <c r="C66">
        <v>4.7</v>
      </c>
      <c r="D66">
        <v>1.4</v>
      </c>
      <c r="E66" t="s">
        <v>2</v>
      </c>
    </row>
    <row r="67" spans="1:5" x14ac:dyDescent="0.25">
      <c r="A67">
        <v>5.6</v>
      </c>
      <c r="B67">
        <v>2.9</v>
      </c>
      <c r="C67">
        <v>3.6</v>
      </c>
      <c r="D67">
        <v>1.3</v>
      </c>
      <c r="E67" t="s">
        <v>2</v>
      </c>
    </row>
    <row r="68" spans="1:5" x14ac:dyDescent="0.25">
      <c r="A68">
        <v>6.7</v>
      </c>
      <c r="B68">
        <v>3.1</v>
      </c>
      <c r="C68">
        <v>4.4000000000000004</v>
      </c>
      <c r="D68">
        <v>1.4</v>
      </c>
      <c r="E68" t="s">
        <v>2</v>
      </c>
    </row>
    <row r="69" spans="1:5" x14ac:dyDescent="0.25">
      <c r="A69">
        <v>5.6</v>
      </c>
      <c r="B69">
        <v>3</v>
      </c>
      <c r="C69">
        <v>4.5</v>
      </c>
      <c r="D69">
        <v>1.5</v>
      </c>
      <c r="E69" t="s">
        <v>2</v>
      </c>
    </row>
    <row r="70" spans="1:5" x14ac:dyDescent="0.25">
      <c r="A70">
        <v>5.8</v>
      </c>
      <c r="B70">
        <v>2.7</v>
      </c>
      <c r="C70">
        <v>4.0999999999999996</v>
      </c>
      <c r="D70">
        <v>1</v>
      </c>
      <c r="E70" t="s">
        <v>2</v>
      </c>
    </row>
    <row r="71" spans="1:5" x14ac:dyDescent="0.25">
      <c r="A71">
        <v>6.2</v>
      </c>
      <c r="B71">
        <v>2.2000000000000002</v>
      </c>
      <c r="C71">
        <v>4.5</v>
      </c>
      <c r="D71">
        <v>1.5</v>
      </c>
      <c r="E71" t="s">
        <v>2</v>
      </c>
    </row>
    <row r="72" spans="1:5" x14ac:dyDescent="0.25">
      <c r="A72">
        <v>5.6</v>
      </c>
      <c r="B72">
        <v>2.5</v>
      </c>
      <c r="C72">
        <v>3.9</v>
      </c>
      <c r="D72">
        <v>1.1000000000000001</v>
      </c>
      <c r="E72" t="s">
        <v>2</v>
      </c>
    </row>
    <row r="73" spans="1:5" x14ac:dyDescent="0.25">
      <c r="A73">
        <v>5.9</v>
      </c>
      <c r="B73">
        <v>3.2</v>
      </c>
      <c r="C73">
        <v>4.8</v>
      </c>
      <c r="D73">
        <v>1.8</v>
      </c>
      <c r="E73" t="s">
        <v>2</v>
      </c>
    </row>
    <row r="74" spans="1:5" x14ac:dyDescent="0.25">
      <c r="A74">
        <v>6.1</v>
      </c>
      <c r="B74">
        <v>2.8</v>
      </c>
      <c r="C74">
        <v>4</v>
      </c>
      <c r="D74">
        <v>1.3</v>
      </c>
      <c r="E74" t="s">
        <v>2</v>
      </c>
    </row>
    <row r="75" spans="1:5" x14ac:dyDescent="0.25">
      <c r="A75">
        <v>6.3</v>
      </c>
      <c r="B75">
        <v>2.5</v>
      </c>
      <c r="C75">
        <v>4.9000000000000004</v>
      </c>
      <c r="D75">
        <v>1.5</v>
      </c>
      <c r="E75" t="s">
        <v>2</v>
      </c>
    </row>
    <row r="76" spans="1:5" x14ac:dyDescent="0.25">
      <c r="A76">
        <v>6.1</v>
      </c>
      <c r="B76">
        <v>2.8</v>
      </c>
      <c r="C76">
        <v>4.7</v>
      </c>
      <c r="D76">
        <v>1.2</v>
      </c>
      <c r="E76" t="s">
        <v>2</v>
      </c>
    </row>
    <row r="77" spans="1:5" x14ac:dyDescent="0.25">
      <c r="A77">
        <v>6.4</v>
      </c>
      <c r="B77">
        <v>2.9</v>
      </c>
      <c r="C77">
        <v>4.3</v>
      </c>
      <c r="D77">
        <v>1.3</v>
      </c>
      <c r="E77" t="s">
        <v>2</v>
      </c>
    </row>
    <row r="78" spans="1:5" x14ac:dyDescent="0.25">
      <c r="A78">
        <v>6.6</v>
      </c>
      <c r="B78">
        <v>3</v>
      </c>
      <c r="C78">
        <v>4.4000000000000004</v>
      </c>
      <c r="D78">
        <v>1.4</v>
      </c>
      <c r="E78" t="s">
        <v>2</v>
      </c>
    </row>
    <row r="79" spans="1:5" x14ac:dyDescent="0.25">
      <c r="A79">
        <v>6.8</v>
      </c>
      <c r="B79">
        <v>2.8</v>
      </c>
      <c r="C79">
        <v>4.8</v>
      </c>
      <c r="D79">
        <v>1.4</v>
      </c>
      <c r="E79" t="s">
        <v>2</v>
      </c>
    </row>
    <row r="80" spans="1:5" x14ac:dyDescent="0.25">
      <c r="A80">
        <v>6.7</v>
      </c>
      <c r="B80">
        <v>3</v>
      </c>
      <c r="C80">
        <v>5</v>
      </c>
      <c r="D80">
        <v>1.7</v>
      </c>
      <c r="E80" t="s">
        <v>2</v>
      </c>
    </row>
    <row r="81" spans="1:5" x14ac:dyDescent="0.25">
      <c r="A81">
        <v>6</v>
      </c>
      <c r="B81">
        <v>2.9</v>
      </c>
      <c r="C81">
        <v>4.5</v>
      </c>
      <c r="D81">
        <v>1.5</v>
      </c>
      <c r="E81" t="s">
        <v>2</v>
      </c>
    </row>
    <row r="82" spans="1:5" x14ac:dyDescent="0.25">
      <c r="A82">
        <v>5.7</v>
      </c>
      <c r="B82">
        <v>2.6</v>
      </c>
      <c r="C82">
        <v>3.5</v>
      </c>
      <c r="D82">
        <v>1</v>
      </c>
      <c r="E82" t="s">
        <v>2</v>
      </c>
    </row>
    <row r="83" spans="1:5" x14ac:dyDescent="0.25">
      <c r="A83">
        <v>5.5</v>
      </c>
      <c r="B83">
        <v>2.4</v>
      </c>
      <c r="C83">
        <v>3.8</v>
      </c>
      <c r="D83">
        <v>1.1000000000000001</v>
      </c>
      <c r="E83" t="s">
        <v>2</v>
      </c>
    </row>
    <row r="84" spans="1:5" x14ac:dyDescent="0.25">
      <c r="A84">
        <v>5.5</v>
      </c>
      <c r="B84">
        <v>2.4</v>
      </c>
      <c r="C84">
        <v>3.7</v>
      </c>
      <c r="D84">
        <v>1</v>
      </c>
      <c r="E84" t="s">
        <v>2</v>
      </c>
    </row>
    <row r="85" spans="1:5" x14ac:dyDescent="0.25">
      <c r="A85">
        <v>5.8</v>
      </c>
      <c r="B85">
        <v>2.7</v>
      </c>
      <c r="C85">
        <v>3.9</v>
      </c>
      <c r="D85">
        <v>1.2</v>
      </c>
      <c r="E85" t="s">
        <v>2</v>
      </c>
    </row>
    <row r="86" spans="1:5" x14ac:dyDescent="0.25">
      <c r="A86">
        <v>6</v>
      </c>
      <c r="B86">
        <v>2.7</v>
      </c>
      <c r="C86">
        <v>5.0999999999999996</v>
      </c>
      <c r="D86">
        <v>1.6</v>
      </c>
      <c r="E86" t="s">
        <v>2</v>
      </c>
    </row>
    <row r="87" spans="1:5" x14ac:dyDescent="0.25">
      <c r="A87">
        <v>5.4</v>
      </c>
      <c r="B87">
        <v>3</v>
      </c>
      <c r="C87">
        <v>4.5</v>
      </c>
      <c r="D87">
        <v>1.5</v>
      </c>
      <c r="E87" t="s">
        <v>2</v>
      </c>
    </row>
    <row r="88" spans="1:5" x14ac:dyDescent="0.25">
      <c r="A88">
        <v>6</v>
      </c>
      <c r="B88">
        <v>3.4</v>
      </c>
      <c r="C88">
        <v>4.5</v>
      </c>
      <c r="D88">
        <v>1.6</v>
      </c>
      <c r="E88" t="s">
        <v>2</v>
      </c>
    </row>
    <row r="89" spans="1:5" x14ac:dyDescent="0.25">
      <c r="A89">
        <v>6.7</v>
      </c>
      <c r="B89">
        <v>3.1</v>
      </c>
      <c r="C89">
        <v>4.7</v>
      </c>
      <c r="D89">
        <v>1.5</v>
      </c>
      <c r="E89" t="s">
        <v>2</v>
      </c>
    </row>
    <row r="90" spans="1:5" x14ac:dyDescent="0.25">
      <c r="A90">
        <v>6.3</v>
      </c>
      <c r="B90">
        <v>2.2999999999999998</v>
      </c>
      <c r="C90">
        <v>4.4000000000000004</v>
      </c>
      <c r="D90">
        <v>1.3</v>
      </c>
      <c r="E90" t="s">
        <v>2</v>
      </c>
    </row>
    <row r="91" spans="1:5" x14ac:dyDescent="0.25">
      <c r="A91">
        <v>5.6</v>
      </c>
      <c r="B91">
        <v>3</v>
      </c>
      <c r="C91">
        <v>4.0999999999999996</v>
      </c>
      <c r="D91">
        <v>1.3</v>
      </c>
      <c r="E91" t="s">
        <v>2</v>
      </c>
    </row>
    <row r="92" spans="1:5" x14ac:dyDescent="0.25">
      <c r="A92">
        <v>5.5</v>
      </c>
      <c r="B92">
        <v>2.5</v>
      </c>
      <c r="C92">
        <v>4</v>
      </c>
      <c r="D92">
        <v>1.3</v>
      </c>
      <c r="E92" t="s">
        <v>2</v>
      </c>
    </row>
    <row r="93" spans="1:5" x14ac:dyDescent="0.25">
      <c r="A93">
        <v>5.5</v>
      </c>
      <c r="B93">
        <v>2.6</v>
      </c>
      <c r="C93">
        <v>4.4000000000000004</v>
      </c>
      <c r="D93">
        <v>1.2</v>
      </c>
      <c r="E93" t="s">
        <v>2</v>
      </c>
    </row>
    <row r="94" spans="1:5" x14ac:dyDescent="0.25">
      <c r="A94">
        <v>6.1</v>
      </c>
      <c r="B94">
        <v>3</v>
      </c>
      <c r="C94">
        <v>4.5999999999999996</v>
      </c>
      <c r="D94">
        <v>1.4</v>
      </c>
      <c r="E94" t="s">
        <v>2</v>
      </c>
    </row>
    <row r="95" spans="1:5" x14ac:dyDescent="0.25">
      <c r="A95">
        <v>5.8</v>
      </c>
      <c r="B95">
        <v>2.6</v>
      </c>
      <c r="C95">
        <v>4</v>
      </c>
      <c r="D95">
        <v>1.2</v>
      </c>
      <c r="E95" t="s">
        <v>2</v>
      </c>
    </row>
    <row r="96" spans="1:5" x14ac:dyDescent="0.25">
      <c r="A96">
        <v>5</v>
      </c>
      <c r="B96">
        <v>2.2999999999999998</v>
      </c>
      <c r="C96">
        <v>3.3</v>
      </c>
      <c r="D96">
        <v>1</v>
      </c>
      <c r="E96" t="s">
        <v>2</v>
      </c>
    </row>
    <row r="97" spans="1:5" x14ac:dyDescent="0.25">
      <c r="A97">
        <v>5.6</v>
      </c>
      <c r="B97">
        <v>2.7</v>
      </c>
      <c r="C97">
        <v>4.2</v>
      </c>
      <c r="D97">
        <v>1.3</v>
      </c>
      <c r="E97" t="s">
        <v>2</v>
      </c>
    </row>
    <row r="98" spans="1:5" x14ac:dyDescent="0.25">
      <c r="A98">
        <v>5.7</v>
      </c>
      <c r="B98">
        <v>3</v>
      </c>
      <c r="C98">
        <v>4.2</v>
      </c>
      <c r="D98">
        <v>1.2</v>
      </c>
      <c r="E98" t="s">
        <v>2</v>
      </c>
    </row>
    <row r="99" spans="1:5" x14ac:dyDescent="0.25">
      <c r="A99">
        <v>5.7</v>
      </c>
      <c r="B99">
        <v>2.9</v>
      </c>
      <c r="C99">
        <v>4.2</v>
      </c>
      <c r="D99">
        <v>1.3</v>
      </c>
      <c r="E99" t="s">
        <v>2</v>
      </c>
    </row>
    <row r="100" spans="1:5" x14ac:dyDescent="0.25">
      <c r="A100">
        <v>6.2</v>
      </c>
      <c r="B100">
        <v>2.9</v>
      </c>
      <c r="C100">
        <v>4.3</v>
      </c>
      <c r="D100">
        <v>1.3</v>
      </c>
      <c r="E100" t="s">
        <v>2</v>
      </c>
    </row>
    <row r="101" spans="1:5" x14ac:dyDescent="0.25">
      <c r="A101">
        <v>5.0999999999999996</v>
      </c>
      <c r="B101">
        <v>2.5</v>
      </c>
      <c r="C101">
        <v>3</v>
      </c>
      <c r="D101">
        <v>1.1000000000000001</v>
      </c>
      <c r="E101" t="s">
        <v>2</v>
      </c>
    </row>
    <row r="102" spans="1:5" x14ac:dyDescent="0.25">
      <c r="A102">
        <v>5.7</v>
      </c>
      <c r="B102">
        <v>2.8</v>
      </c>
      <c r="C102">
        <v>4.0999999999999996</v>
      </c>
      <c r="D102">
        <v>1.3</v>
      </c>
      <c r="E102" t="s">
        <v>2</v>
      </c>
    </row>
    <row r="103" spans="1:5" x14ac:dyDescent="0.25">
      <c r="A103">
        <v>6.3</v>
      </c>
      <c r="B103">
        <v>3.3</v>
      </c>
      <c r="C103">
        <v>6</v>
      </c>
      <c r="D103">
        <v>2.5</v>
      </c>
      <c r="E103" t="s">
        <v>1</v>
      </c>
    </row>
    <row r="104" spans="1:5" x14ac:dyDescent="0.25">
      <c r="A104">
        <v>5.8</v>
      </c>
      <c r="B104">
        <v>2.7</v>
      </c>
      <c r="C104">
        <v>5.0999999999999996</v>
      </c>
      <c r="D104">
        <v>1.9</v>
      </c>
      <c r="E104" t="s">
        <v>1</v>
      </c>
    </row>
    <row r="105" spans="1:5" x14ac:dyDescent="0.25">
      <c r="A105">
        <v>7.1</v>
      </c>
      <c r="B105">
        <v>3</v>
      </c>
      <c r="C105">
        <v>5.9</v>
      </c>
      <c r="D105">
        <v>2.1</v>
      </c>
      <c r="E105" t="s">
        <v>1</v>
      </c>
    </row>
    <row r="106" spans="1:5" x14ac:dyDescent="0.25">
      <c r="A106">
        <v>6.3</v>
      </c>
      <c r="B106">
        <v>2.9</v>
      </c>
      <c r="C106">
        <v>5.6</v>
      </c>
      <c r="D106">
        <v>1.8</v>
      </c>
      <c r="E106" t="s">
        <v>1</v>
      </c>
    </row>
    <row r="107" spans="1:5" x14ac:dyDescent="0.25">
      <c r="A107">
        <v>6.5</v>
      </c>
      <c r="B107">
        <v>3</v>
      </c>
      <c r="C107">
        <v>5.8</v>
      </c>
      <c r="D107">
        <v>2.2000000000000002</v>
      </c>
      <c r="E107" t="s">
        <v>1</v>
      </c>
    </row>
    <row r="108" spans="1:5" x14ac:dyDescent="0.25">
      <c r="A108">
        <v>7.6</v>
      </c>
      <c r="B108">
        <v>3</v>
      </c>
      <c r="C108">
        <v>6.6</v>
      </c>
      <c r="D108">
        <v>2.1</v>
      </c>
      <c r="E108" t="s">
        <v>1</v>
      </c>
    </row>
    <row r="109" spans="1:5" x14ac:dyDescent="0.25">
      <c r="A109">
        <v>4.9000000000000004</v>
      </c>
      <c r="B109">
        <v>2.5</v>
      </c>
      <c r="C109">
        <v>4.5</v>
      </c>
      <c r="D109">
        <v>1.7</v>
      </c>
      <c r="E109" t="s">
        <v>1</v>
      </c>
    </row>
    <row r="110" spans="1:5" x14ac:dyDescent="0.25">
      <c r="A110">
        <v>7.3</v>
      </c>
      <c r="B110">
        <v>2.9</v>
      </c>
      <c r="C110">
        <v>6.3</v>
      </c>
      <c r="D110">
        <v>1.8</v>
      </c>
      <c r="E110" t="s">
        <v>1</v>
      </c>
    </row>
    <row r="111" spans="1:5" x14ac:dyDescent="0.25">
      <c r="A111">
        <v>6.7</v>
      </c>
      <c r="B111">
        <v>2.5</v>
      </c>
      <c r="C111">
        <v>5.8</v>
      </c>
      <c r="D111">
        <v>1.8</v>
      </c>
      <c r="E111" t="s">
        <v>1</v>
      </c>
    </row>
    <row r="112" spans="1:5" x14ac:dyDescent="0.25">
      <c r="A112">
        <v>7.2</v>
      </c>
      <c r="B112">
        <v>3.6</v>
      </c>
      <c r="C112">
        <v>6.1</v>
      </c>
      <c r="D112">
        <v>2.5</v>
      </c>
      <c r="E112" t="s">
        <v>1</v>
      </c>
    </row>
    <row r="113" spans="1:5" x14ac:dyDescent="0.25">
      <c r="A113">
        <v>6.5</v>
      </c>
      <c r="B113">
        <v>3.2</v>
      </c>
      <c r="C113">
        <v>5.0999999999999996</v>
      </c>
      <c r="D113">
        <v>2</v>
      </c>
      <c r="E113" t="s">
        <v>1</v>
      </c>
    </row>
    <row r="114" spans="1:5" x14ac:dyDescent="0.25">
      <c r="A114">
        <v>6.4</v>
      </c>
      <c r="B114">
        <v>2.7</v>
      </c>
      <c r="C114">
        <v>5.3</v>
      </c>
      <c r="D114">
        <v>1.9</v>
      </c>
      <c r="E114" t="s">
        <v>1</v>
      </c>
    </row>
    <row r="115" spans="1:5" x14ac:dyDescent="0.25">
      <c r="A115">
        <v>6.8</v>
      </c>
      <c r="B115">
        <v>3</v>
      </c>
      <c r="C115">
        <v>5.5</v>
      </c>
      <c r="D115">
        <v>2.1</v>
      </c>
      <c r="E115" t="s">
        <v>1</v>
      </c>
    </row>
    <row r="116" spans="1:5" x14ac:dyDescent="0.25">
      <c r="A116">
        <v>5.7</v>
      </c>
      <c r="B116">
        <v>2.5</v>
      </c>
      <c r="C116">
        <v>5</v>
      </c>
      <c r="D116">
        <v>2</v>
      </c>
      <c r="E116" t="s">
        <v>1</v>
      </c>
    </row>
    <row r="117" spans="1:5" x14ac:dyDescent="0.25">
      <c r="A117">
        <v>5.8</v>
      </c>
      <c r="B117">
        <v>2.8</v>
      </c>
      <c r="C117">
        <v>5.0999999999999996</v>
      </c>
      <c r="D117">
        <v>2.4</v>
      </c>
      <c r="E117" t="s">
        <v>1</v>
      </c>
    </row>
    <row r="118" spans="1:5" x14ac:dyDescent="0.25">
      <c r="A118">
        <v>6.4</v>
      </c>
      <c r="B118">
        <v>3.2</v>
      </c>
      <c r="C118">
        <v>5.3</v>
      </c>
      <c r="D118">
        <v>2.2999999999999998</v>
      </c>
      <c r="E118" t="s">
        <v>1</v>
      </c>
    </row>
    <row r="119" spans="1:5" x14ac:dyDescent="0.25">
      <c r="A119">
        <v>6.5</v>
      </c>
      <c r="B119">
        <v>3</v>
      </c>
      <c r="C119">
        <v>5.5</v>
      </c>
      <c r="D119">
        <v>1.8</v>
      </c>
      <c r="E119" t="s">
        <v>1</v>
      </c>
    </row>
    <row r="120" spans="1:5" x14ac:dyDescent="0.25">
      <c r="A120">
        <v>7.7</v>
      </c>
      <c r="B120">
        <v>3.8</v>
      </c>
      <c r="C120">
        <v>6.7</v>
      </c>
      <c r="D120">
        <v>2.2000000000000002</v>
      </c>
      <c r="E120" t="s">
        <v>1</v>
      </c>
    </row>
    <row r="121" spans="1:5" x14ac:dyDescent="0.25">
      <c r="A121">
        <v>7.7</v>
      </c>
      <c r="B121">
        <v>2.6</v>
      </c>
      <c r="C121">
        <v>6.9</v>
      </c>
      <c r="D121">
        <v>2.2999999999999998</v>
      </c>
      <c r="E121" t="s">
        <v>1</v>
      </c>
    </row>
    <row r="122" spans="1:5" x14ac:dyDescent="0.25">
      <c r="A122">
        <v>6</v>
      </c>
      <c r="B122">
        <v>2.2000000000000002</v>
      </c>
      <c r="C122">
        <v>5</v>
      </c>
      <c r="D122">
        <v>1.5</v>
      </c>
      <c r="E122" t="s">
        <v>1</v>
      </c>
    </row>
    <row r="123" spans="1:5" x14ac:dyDescent="0.25">
      <c r="A123">
        <v>6.9</v>
      </c>
      <c r="B123">
        <v>3.2</v>
      </c>
      <c r="C123">
        <v>5.7</v>
      </c>
      <c r="D123">
        <v>2.2999999999999998</v>
      </c>
      <c r="E123" t="s">
        <v>1</v>
      </c>
    </row>
    <row r="124" spans="1:5" x14ac:dyDescent="0.25">
      <c r="A124">
        <v>5.6</v>
      </c>
      <c r="B124">
        <v>2.8</v>
      </c>
      <c r="C124">
        <v>4.9000000000000004</v>
      </c>
      <c r="D124">
        <v>2</v>
      </c>
      <c r="E124" t="s">
        <v>1</v>
      </c>
    </row>
    <row r="125" spans="1:5" x14ac:dyDescent="0.25">
      <c r="A125">
        <v>7.7</v>
      </c>
      <c r="B125">
        <v>2.8</v>
      </c>
      <c r="C125">
        <v>6.7</v>
      </c>
      <c r="D125">
        <v>2</v>
      </c>
      <c r="E125" t="s">
        <v>1</v>
      </c>
    </row>
    <row r="126" spans="1:5" x14ac:dyDescent="0.25">
      <c r="A126">
        <v>6.3</v>
      </c>
      <c r="B126">
        <v>2.7</v>
      </c>
      <c r="C126">
        <v>4.9000000000000004</v>
      </c>
      <c r="D126">
        <v>1.8</v>
      </c>
      <c r="E126" t="s">
        <v>1</v>
      </c>
    </row>
    <row r="127" spans="1:5" x14ac:dyDescent="0.25">
      <c r="A127">
        <v>6.7</v>
      </c>
      <c r="B127">
        <v>3.3</v>
      </c>
      <c r="C127">
        <v>5.7</v>
      </c>
      <c r="D127">
        <v>2.1</v>
      </c>
      <c r="E127" t="s">
        <v>1</v>
      </c>
    </row>
    <row r="128" spans="1:5" x14ac:dyDescent="0.25">
      <c r="A128">
        <v>7.2</v>
      </c>
      <c r="B128">
        <v>3.2</v>
      </c>
      <c r="C128">
        <v>6</v>
      </c>
      <c r="D128">
        <v>1.8</v>
      </c>
      <c r="E128" t="s">
        <v>1</v>
      </c>
    </row>
    <row r="129" spans="1:5" x14ac:dyDescent="0.25">
      <c r="A129">
        <v>6.2</v>
      </c>
      <c r="B129">
        <v>2.8</v>
      </c>
      <c r="C129">
        <v>4.8</v>
      </c>
      <c r="D129">
        <v>1.8</v>
      </c>
      <c r="E129" t="s">
        <v>1</v>
      </c>
    </row>
    <row r="130" spans="1:5" x14ac:dyDescent="0.25">
      <c r="A130">
        <v>6.1</v>
      </c>
      <c r="B130">
        <v>3</v>
      </c>
      <c r="C130">
        <v>4.9000000000000004</v>
      </c>
      <c r="D130">
        <v>1.8</v>
      </c>
      <c r="E130" t="s">
        <v>1</v>
      </c>
    </row>
    <row r="131" spans="1:5" x14ac:dyDescent="0.25">
      <c r="A131">
        <v>6.4</v>
      </c>
      <c r="B131">
        <v>2.8</v>
      </c>
      <c r="C131">
        <v>5.6</v>
      </c>
      <c r="D131">
        <v>2.1</v>
      </c>
      <c r="E131" t="s">
        <v>1</v>
      </c>
    </row>
    <row r="132" spans="1:5" x14ac:dyDescent="0.25">
      <c r="A132">
        <v>7.2</v>
      </c>
      <c r="B132">
        <v>3</v>
      </c>
      <c r="C132">
        <v>5.8</v>
      </c>
      <c r="D132">
        <v>1.6</v>
      </c>
      <c r="E132" t="s">
        <v>1</v>
      </c>
    </row>
    <row r="133" spans="1:5" x14ac:dyDescent="0.25">
      <c r="A133">
        <v>7.4</v>
      </c>
      <c r="B133">
        <v>2.8</v>
      </c>
      <c r="C133">
        <v>6.1</v>
      </c>
      <c r="D133">
        <v>1.9</v>
      </c>
      <c r="E133" t="s">
        <v>1</v>
      </c>
    </row>
    <row r="134" spans="1:5" x14ac:dyDescent="0.25">
      <c r="A134">
        <v>7.9</v>
      </c>
      <c r="B134">
        <v>3.8</v>
      </c>
      <c r="C134">
        <v>6.4</v>
      </c>
      <c r="D134">
        <v>2</v>
      </c>
      <c r="E134" t="s">
        <v>1</v>
      </c>
    </row>
    <row r="135" spans="1:5" x14ac:dyDescent="0.25">
      <c r="A135">
        <v>6.4</v>
      </c>
      <c r="B135">
        <v>2.8</v>
      </c>
      <c r="C135">
        <v>5.6</v>
      </c>
      <c r="D135">
        <v>2.2000000000000002</v>
      </c>
      <c r="E135" t="s">
        <v>1</v>
      </c>
    </row>
    <row r="136" spans="1:5" x14ac:dyDescent="0.25">
      <c r="A136">
        <v>6.3</v>
      </c>
      <c r="B136">
        <v>2.8</v>
      </c>
      <c r="C136">
        <v>5.0999999999999996</v>
      </c>
      <c r="D136">
        <v>1.5</v>
      </c>
      <c r="E136" t="s">
        <v>1</v>
      </c>
    </row>
    <row r="137" spans="1:5" x14ac:dyDescent="0.25">
      <c r="A137">
        <v>6.1</v>
      </c>
      <c r="B137">
        <v>2.6</v>
      </c>
      <c r="C137">
        <v>5.6</v>
      </c>
      <c r="D137">
        <v>1.4</v>
      </c>
      <c r="E137" t="s">
        <v>1</v>
      </c>
    </row>
    <row r="138" spans="1:5" x14ac:dyDescent="0.25">
      <c r="A138">
        <v>7.7</v>
      </c>
      <c r="B138">
        <v>3</v>
      </c>
      <c r="C138">
        <v>6.1</v>
      </c>
      <c r="D138">
        <v>2.2999999999999998</v>
      </c>
      <c r="E138" t="s">
        <v>1</v>
      </c>
    </row>
    <row r="139" spans="1:5" x14ac:dyDescent="0.25">
      <c r="A139">
        <v>6.3</v>
      </c>
      <c r="B139">
        <v>3.4</v>
      </c>
      <c r="C139">
        <v>5.6</v>
      </c>
      <c r="D139">
        <v>2.4</v>
      </c>
      <c r="E139" t="s">
        <v>1</v>
      </c>
    </row>
    <row r="140" spans="1:5" x14ac:dyDescent="0.25">
      <c r="A140">
        <v>6.4</v>
      </c>
      <c r="B140">
        <v>3.1</v>
      </c>
      <c r="C140">
        <v>5.5</v>
      </c>
      <c r="D140">
        <v>1.8</v>
      </c>
      <c r="E140" t="s">
        <v>1</v>
      </c>
    </row>
    <row r="141" spans="1:5" x14ac:dyDescent="0.25">
      <c r="A141">
        <v>6</v>
      </c>
      <c r="B141">
        <v>3</v>
      </c>
      <c r="C141">
        <v>4.8</v>
      </c>
      <c r="D141">
        <v>1.8</v>
      </c>
      <c r="E141" t="s">
        <v>1</v>
      </c>
    </row>
    <row r="142" spans="1:5" x14ac:dyDescent="0.25">
      <c r="A142">
        <v>6.9</v>
      </c>
      <c r="B142">
        <v>3.1</v>
      </c>
      <c r="C142">
        <v>5.4</v>
      </c>
      <c r="D142">
        <v>2.1</v>
      </c>
      <c r="E142" t="s">
        <v>1</v>
      </c>
    </row>
    <row r="143" spans="1:5" x14ac:dyDescent="0.25">
      <c r="A143">
        <v>6.7</v>
      </c>
      <c r="B143">
        <v>3.1</v>
      </c>
      <c r="C143">
        <v>5.6</v>
      </c>
      <c r="D143">
        <v>2.4</v>
      </c>
      <c r="E143" t="s">
        <v>1</v>
      </c>
    </row>
    <row r="144" spans="1:5" x14ac:dyDescent="0.25">
      <c r="A144">
        <v>6.9</v>
      </c>
      <c r="B144">
        <v>3.1</v>
      </c>
      <c r="C144">
        <v>5.0999999999999996</v>
      </c>
      <c r="D144">
        <v>2.2999999999999998</v>
      </c>
      <c r="E144" t="s">
        <v>1</v>
      </c>
    </row>
    <row r="145" spans="1:5" x14ac:dyDescent="0.25">
      <c r="A145">
        <v>5.8</v>
      </c>
      <c r="B145">
        <v>2.7</v>
      </c>
      <c r="C145">
        <v>5.0999999999999996</v>
      </c>
      <c r="D145">
        <v>1.9</v>
      </c>
      <c r="E145" t="s">
        <v>1</v>
      </c>
    </row>
    <row r="146" spans="1:5" x14ac:dyDescent="0.25">
      <c r="A146">
        <v>6.8</v>
      </c>
      <c r="B146">
        <v>3.2</v>
      </c>
      <c r="C146">
        <v>5.9</v>
      </c>
      <c r="D146">
        <v>2.2999999999999998</v>
      </c>
      <c r="E146" t="s">
        <v>1</v>
      </c>
    </row>
    <row r="147" spans="1:5" x14ac:dyDescent="0.25">
      <c r="A147">
        <v>6.7</v>
      </c>
      <c r="B147">
        <v>3.3</v>
      </c>
      <c r="C147">
        <v>5.7</v>
      </c>
      <c r="D147">
        <v>2.5</v>
      </c>
      <c r="E147" t="s">
        <v>1</v>
      </c>
    </row>
    <row r="148" spans="1:5" x14ac:dyDescent="0.25">
      <c r="A148">
        <v>6.7</v>
      </c>
      <c r="B148">
        <v>3</v>
      </c>
      <c r="C148">
        <v>5.2</v>
      </c>
      <c r="D148">
        <v>2.2999999999999998</v>
      </c>
      <c r="E148" t="s">
        <v>1</v>
      </c>
    </row>
    <row r="149" spans="1:5" x14ac:dyDescent="0.25">
      <c r="A149">
        <v>6.3</v>
      </c>
      <c r="B149">
        <v>2.5</v>
      </c>
      <c r="C149">
        <v>5</v>
      </c>
      <c r="D149">
        <v>1.9</v>
      </c>
      <c r="E149" t="s">
        <v>1</v>
      </c>
    </row>
    <row r="150" spans="1:5" x14ac:dyDescent="0.25">
      <c r="A150">
        <v>6.5</v>
      </c>
      <c r="B150">
        <v>3</v>
      </c>
      <c r="C150">
        <v>5.2</v>
      </c>
      <c r="D150">
        <v>2</v>
      </c>
      <c r="E150" t="s">
        <v>1</v>
      </c>
    </row>
    <row r="151" spans="1:5" x14ac:dyDescent="0.25">
      <c r="A151">
        <v>6.2</v>
      </c>
      <c r="B151">
        <v>3.4</v>
      </c>
      <c r="C151">
        <v>5.4</v>
      </c>
      <c r="D151">
        <v>2.2999999999999998</v>
      </c>
      <c r="E151" t="s">
        <v>1</v>
      </c>
    </row>
    <row r="152" spans="1:5" x14ac:dyDescent="0.25">
      <c r="A152">
        <v>5.9</v>
      </c>
      <c r="B152">
        <v>3</v>
      </c>
      <c r="C152">
        <v>5.0999999999999996</v>
      </c>
      <c r="D152">
        <v>1.8</v>
      </c>
      <c r="E152" t="s">
        <v>1</v>
      </c>
    </row>
    <row r="154" spans="1:5" x14ac:dyDescent="0.25">
      <c r="A154" s="1" t="s">
        <v>0</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B2A79-9A67-41F7-9DE6-E84950AEA702}">
  <dimension ref="A1:K154"/>
  <sheetViews>
    <sheetView workbookViewId="0">
      <selection activeCell="G3" sqref="G3"/>
    </sheetView>
  </sheetViews>
  <sheetFormatPr defaultRowHeight="15" x14ac:dyDescent="0.25"/>
  <cols>
    <col min="1" max="11" width="14.5703125" customWidth="1"/>
  </cols>
  <sheetData>
    <row r="1" spans="1:11" x14ac:dyDescent="0.25">
      <c r="A1" s="3" t="s">
        <v>9</v>
      </c>
      <c r="E1" s="3"/>
    </row>
    <row r="2" spans="1:11" x14ac:dyDescent="0.25">
      <c r="A2" t="s">
        <v>8</v>
      </c>
      <c r="B2" t="s">
        <v>7</v>
      </c>
      <c r="C2" t="s">
        <v>6</v>
      </c>
      <c r="D2" t="s">
        <v>5</v>
      </c>
      <c r="E2" t="s">
        <v>4</v>
      </c>
      <c r="G2" s="2" t="s">
        <v>10</v>
      </c>
      <c r="H2" s="2"/>
    </row>
    <row r="3" spans="1:11" x14ac:dyDescent="0.25">
      <c r="A3">
        <v>5.0999999999999996</v>
      </c>
      <c r="B3">
        <v>3.5</v>
      </c>
      <c r="C3">
        <v>1.4</v>
      </c>
      <c r="D3">
        <v>0.2</v>
      </c>
      <c r="E3" t="s">
        <v>3</v>
      </c>
      <c r="G3" t="str" cm="1">
        <f t="array" ref="G3:K7">_xlfn._xlws.PY(4,0,IrisDataSet24[#All])</f>
        <v/>
      </c>
      <c r="H3" t="str">
        <v>sepal_length</v>
      </c>
      <c r="I3" t="str">
        <v>sepal_width</v>
      </c>
      <c r="J3" t="str">
        <v>petal_length</v>
      </c>
      <c r="K3" t="str">
        <v>petal_width</v>
      </c>
    </row>
    <row r="4" spans="1:11" x14ac:dyDescent="0.25">
      <c r="A4">
        <v>4.9000000000000004</v>
      </c>
      <c r="B4">
        <v>3</v>
      </c>
      <c r="C4">
        <v>1.4</v>
      </c>
      <c r="D4">
        <v>0.2</v>
      </c>
      <c r="E4" t="s">
        <v>3</v>
      </c>
      <c r="G4" t="str">
        <v>sepal_length</v>
      </c>
      <c r="H4">
        <v>1</v>
      </c>
      <c r="I4">
        <v>-0.10936924995064931</v>
      </c>
      <c r="J4">
        <v>0.8717541573048716</v>
      </c>
      <c r="K4">
        <v>0.81795363336916416</v>
      </c>
    </row>
    <row r="5" spans="1:11" x14ac:dyDescent="0.25">
      <c r="A5">
        <v>4.7</v>
      </c>
      <c r="B5">
        <v>3.2</v>
      </c>
      <c r="C5">
        <v>1.3</v>
      </c>
      <c r="D5">
        <v>0.2</v>
      </c>
      <c r="E5" t="s">
        <v>3</v>
      </c>
      <c r="G5" t="str">
        <v>sepal_width</v>
      </c>
      <c r="H5" s="2">
        <v>-0.10936924995064931</v>
      </c>
      <c r="I5">
        <v>1</v>
      </c>
      <c r="J5">
        <v>-0.42051609640115389</v>
      </c>
      <c r="K5">
        <v>-0.35654408961380507</v>
      </c>
    </row>
    <row r="6" spans="1:11" x14ac:dyDescent="0.25">
      <c r="A6">
        <v>4.5999999999999996</v>
      </c>
      <c r="B6">
        <v>3.1</v>
      </c>
      <c r="C6">
        <v>1.5</v>
      </c>
      <c r="D6">
        <v>0.2</v>
      </c>
      <c r="E6" t="s">
        <v>3</v>
      </c>
      <c r="G6" t="str">
        <v>petal_length</v>
      </c>
      <c r="H6">
        <v>0.8717541573048716</v>
      </c>
      <c r="I6">
        <v>-0.42051609640115389</v>
      </c>
      <c r="J6">
        <v>1</v>
      </c>
      <c r="K6">
        <v>0.96275709705096624</v>
      </c>
    </row>
    <row r="7" spans="1:11" x14ac:dyDescent="0.25">
      <c r="A7">
        <v>5</v>
      </c>
      <c r="B7">
        <v>3.6</v>
      </c>
      <c r="C7">
        <v>1.4</v>
      </c>
      <c r="D7">
        <v>0.2</v>
      </c>
      <c r="E7" t="s">
        <v>3</v>
      </c>
      <c r="G7" t="str">
        <v>petal_width</v>
      </c>
      <c r="H7">
        <v>0.81795363336916416</v>
      </c>
      <c r="I7">
        <v>-0.35654408961380507</v>
      </c>
      <c r="J7">
        <v>0.96275709705096624</v>
      </c>
      <c r="K7">
        <v>1</v>
      </c>
    </row>
    <row r="8" spans="1:11" x14ac:dyDescent="0.25">
      <c r="A8">
        <v>5.4</v>
      </c>
      <c r="B8">
        <v>3.9</v>
      </c>
      <c r="C8">
        <v>1.7</v>
      </c>
      <c r="D8">
        <v>0.4</v>
      </c>
      <c r="E8" t="s">
        <v>3</v>
      </c>
    </row>
    <row r="9" spans="1:11" x14ac:dyDescent="0.25">
      <c r="A9">
        <v>4.5999999999999996</v>
      </c>
      <c r="B9">
        <v>3.4</v>
      </c>
      <c r="C9">
        <v>1.4</v>
      </c>
      <c r="D9">
        <v>0.3</v>
      </c>
      <c r="E9" t="s">
        <v>3</v>
      </c>
    </row>
    <row r="10" spans="1:11" x14ac:dyDescent="0.25">
      <c r="A10">
        <v>5</v>
      </c>
      <c r="B10">
        <v>3.4</v>
      </c>
      <c r="C10">
        <v>1.5</v>
      </c>
      <c r="D10">
        <v>0.2</v>
      </c>
      <c r="E10" t="s">
        <v>3</v>
      </c>
    </row>
    <row r="11" spans="1:11" x14ac:dyDescent="0.25">
      <c r="A11">
        <v>4.4000000000000004</v>
      </c>
      <c r="B11">
        <v>2.9</v>
      </c>
      <c r="C11">
        <v>1.4</v>
      </c>
      <c r="D11">
        <v>0.2</v>
      </c>
      <c r="E11" t="s">
        <v>3</v>
      </c>
    </row>
    <row r="12" spans="1:11" x14ac:dyDescent="0.25">
      <c r="A12">
        <v>4.9000000000000004</v>
      </c>
      <c r="B12">
        <v>3.1</v>
      </c>
      <c r="C12">
        <v>1.5</v>
      </c>
      <c r="D12">
        <v>0.1</v>
      </c>
      <c r="E12" t="s">
        <v>3</v>
      </c>
    </row>
    <row r="13" spans="1:11" x14ac:dyDescent="0.25">
      <c r="A13">
        <v>5.4</v>
      </c>
      <c r="B13">
        <v>3.7</v>
      </c>
      <c r="C13">
        <v>1.5</v>
      </c>
      <c r="D13">
        <v>0.2</v>
      </c>
      <c r="E13" t="s">
        <v>3</v>
      </c>
    </row>
    <row r="14" spans="1:11" x14ac:dyDescent="0.25">
      <c r="A14">
        <v>4.8</v>
      </c>
      <c r="B14">
        <v>3.4</v>
      </c>
      <c r="C14">
        <v>1.6</v>
      </c>
      <c r="D14">
        <v>0.2</v>
      </c>
      <c r="E14" t="s">
        <v>3</v>
      </c>
    </row>
    <row r="15" spans="1:11" x14ac:dyDescent="0.25">
      <c r="A15">
        <v>4.8</v>
      </c>
      <c r="B15">
        <v>3</v>
      </c>
      <c r="C15">
        <v>1.4</v>
      </c>
      <c r="D15">
        <v>0.1</v>
      </c>
      <c r="E15" t="s">
        <v>3</v>
      </c>
    </row>
    <row r="16" spans="1:11" x14ac:dyDescent="0.25">
      <c r="A16">
        <v>4.3</v>
      </c>
      <c r="B16">
        <v>3</v>
      </c>
      <c r="C16">
        <v>1.1000000000000001</v>
      </c>
      <c r="D16">
        <v>0.1</v>
      </c>
      <c r="E16" t="s">
        <v>3</v>
      </c>
    </row>
    <row r="17" spans="1:5" x14ac:dyDescent="0.25">
      <c r="A17">
        <v>5.8</v>
      </c>
      <c r="B17">
        <v>4</v>
      </c>
      <c r="C17">
        <v>1.2</v>
      </c>
      <c r="D17">
        <v>0.2</v>
      </c>
      <c r="E17" t="s">
        <v>3</v>
      </c>
    </row>
    <row r="18" spans="1:5" x14ac:dyDescent="0.25">
      <c r="A18">
        <v>5.7</v>
      </c>
      <c r="B18">
        <v>4.4000000000000004</v>
      </c>
      <c r="C18">
        <v>1.5</v>
      </c>
      <c r="D18">
        <v>0.4</v>
      </c>
      <c r="E18" t="s">
        <v>3</v>
      </c>
    </row>
    <row r="19" spans="1:5" x14ac:dyDescent="0.25">
      <c r="A19">
        <v>5.4</v>
      </c>
      <c r="B19">
        <v>3.9</v>
      </c>
      <c r="C19">
        <v>1.3</v>
      </c>
      <c r="D19">
        <v>0.4</v>
      </c>
      <c r="E19" t="s">
        <v>3</v>
      </c>
    </row>
    <row r="20" spans="1:5" x14ac:dyDescent="0.25">
      <c r="A20">
        <v>5.0999999999999996</v>
      </c>
      <c r="B20">
        <v>3.5</v>
      </c>
      <c r="C20">
        <v>1.4</v>
      </c>
      <c r="D20">
        <v>0.3</v>
      </c>
      <c r="E20" t="s">
        <v>3</v>
      </c>
    </row>
    <row r="21" spans="1:5" x14ac:dyDescent="0.25">
      <c r="A21">
        <v>5.7</v>
      </c>
      <c r="B21">
        <v>3.8</v>
      </c>
      <c r="C21">
        <v>1.7</v>
      </c>
      <c r="D21">
        <v>0.3</v>
      </c>
      <c r="E21" t="s">
        <v>3</v>
      </c>
    </row>
    <row r="22" spans="1:5" x14ac:dyDescent="0.25">
      <c r="A22">
        <v>5.0999999999999996</v>
      </c>
      <c r="B22">
        <v>3.8</v>
      </c>
      <c r="C22">
        <v>1.5</v>
      </c>
      <c r="D22">
        <v>0.3</v>
      </c>
      <c r="E22" t="s">
        <v>3</v>
      </c>
    </row>
    <row r="23" spans="1:5" x14ac:dyDescent="0.25">
      <c r="A23">
        <v>5.4</v>
      </c>
      <c r="B23">
        <v>3.4</v>
      </c>
      <c r="C23">
        <v>1.7</v>
      </c>
      <c r="D23">
        <v>0.2</v>
      </c>
      <c r="E23" t="s">
        <v>3</v>
      </c>
    </row>
    <row r="24" spans="1:5" x14ac:dyDescent="0.25">
      <c r="A24">
        <v>5.0999999999999996</v>
      </c>
      <c r="B24">
        <v>3.7</v>
      </c>
      <c r="C24">
        <v>1.5</v>
      </c>
      <c r="D24">
        <v>0.4</v>
      </c>
      <c r="E24" t="s">
        <v>3</v>
      </c>
    </row>
    <row r="25" spans="1:5" x14ac:dyDescent="0.25">
      <c r="A25">
        <v>4.5999999999999996</v>
      </c>
      <c r="B25">
        <v>3.6</v>
      </c>
      <c r="C25">
        <v>1</v>
      </c>
      <c r="D25">
        <v>0.2</v>
      </c>
      <c r="E25" t="s">
        <v>3</v>
      </c>
    </row>
    <row r="26" spans="1:5" x14ac:dyDescent="0.25">
      <c r="A26">
        <v>5.0999999999999996</v>
      </c>
      <c r="B26">
        <v>3.3</v>
      </c>
      <c r="C26">
        <v>1.7</v>
      </c>
      <c r="D26">
        <v>0.5</v>
      </c>
      <c r="E26" t="s">
        <v>3</v>
      </c>
    </row>
    <row r="27" spans="1:5" x14ac:dyDescent="0.25">
      <c r="A27">
        <v>4.8</v>
      </c>
      <c r="B27">
        <v>3.4</v>
      </c>
      <c r="C27">
        <v>1.9</v>
      </c>
      <c r="D27">
        <v>0.2</v>
      </c>
      <c r="E27" t="s">
        <v>3</v>
      </c>
    </row>
    <row r="28" spans="1:5" x14ac:dyDescent="0.25">
      <c r="A28">
        <v>5</v>
      </c>
      <c r="B28">
        <v>3</v>
      </c>
      <c r="C28">
        <v>1.6</v>
      </c>
      <c r="D28">
        <v>0.2</v>
      </c>
      <c r="E28" t="s">
        <v>3</v>
      </c>
    </row>
    <row r="29" spans="1:5" x14ac:dyDescent="0.25">
      <c r="A29">
        <v>5</v>
      </c>
      <c r="B29">
        <v>3.4</v>
      </c>
      <c r="C29">
        <v>1.6</v>
      </c>
      <c r="D29">
        <v>0.4</v>
      </c>
      <c r="E29" t="s">
        <v>3</v>
      </c>
    </row>
    <row r="30" spans="1:5" x14ac:dyDescent="0.25">
      <c r="A30">
        <v>5.2</v>
      </c>
      <c r="B30">
        <v>3.5</v>
      </c>
      <c r="C30">
        <v>1.5</v>
      </c>
      <c r="D30">
        <v>0.2</v>
      </c>
      <c r="E30" t="s">
        <v>3</v>
      </c>
    </row>
    <row r="31" spans="1:5" x14ac:dyDescent="0.25">
      <c r="A31">
        <v>5.2</v>
      </c>
      <c r="B31">
        <v>3.4</v>
      </c>
      <c r="C31">
        <v>1.4</v>
      </c>
      <c r="D31">
        <v>0.2</v>
      </c>
      <c r="E31" t="s">
        <v>3</v>
      </c>
    </row>
    <row r="32" spans="1:5" x14ac:dyDescent="0.25">
      <c r="A32">
        <v>4.7</v>
      </c>
      <c r="B32">
        <v>3.2</v>
      </c>
      <c r="C32">
        <v>1.6</v>
      </c>
      <c r="D32">
        <v>0.2</v>
      </c>
      <c r="E32" t="s">
        <v>3</v>
      </c>
    </row>
    <row r="33" spans="1:5" x14ac:dyDescent="0.25">
      <c r="A33">
        <v>4.8</v>
      </c>
      <c r="B33">
        <v>3.1</v>
      </c>
      <c r="C33">
        <v>1.6</v>
      </c>
      <c r="D33">
        <v>0.2</v>
      </c>
      <c r="E33" t="s">
        <v>3</v>
      </c>
    </row>
    <row r="34" spans="1:5" x14ac:dyDescent="0.25">
      <c r="A34">
        <v>5.4</v>
      </c>
      <c r="B34">
        <v>3.4</v>
      </c>
      <c r="C34">
        <v>1.5</v>
      </c>
      <c r="D34">
        <v>0.4</v>
      </c>
      <c r="E34" t="s">
        <v>3</v>
      </c>
    </row>
    <row r="35" spans="1:5" x14ac:dyDescent="0.25">
      <c r="A35">
        <v>5.2</v>
      </c>
      <c r="B35">
        <v>4.0999999999999996</v>
      </c>
      <c r="C35">
        <v>1.5</v>
      </c>
      <c r="D35">
        <v>0.1</v>
      </c>
      <c r="E35" t="s">
        <v>3</v>
      </c>
    </row>
    <row r="36" spans="1:5" x14ac:dyDescent="0.25">
      <c r="A36">
        <v>5.5</v>
      </c>
      <c r="B36">
        <v>4.2</v>
      </c>
      <c r="C36">
        <v>1.4</v>
      </c>
      <c r="D36">
        <v>0.2</v>
      </c>
      <c r="E36" t="s">
        <v>3</v>
      </c>
    </row>
    <row r="37" spans="1:5" x14ac:dyDescent="0.25">
      <c r="A37">
        <v>4.9000000000000004</v>
      </c>
      <c r="B37">
        <v>3.1</v>
      </c>
      <c r="C37">
        <v>1.5</v>
      </c>
      <c r="D37">
        <v>0.1</v>
      </c>
      <c r="E37" t="s">
        <v>3</v>
      </c>
    </row>
    <row r="38" spans="1:5" x14ac:dyDescent="0.25">
      <c r="A38">
        <v>5</v>
      </c>
      <c r="B38">
        <v>3.2</v>
      </c>
      <c r="C38">
        <v>1.2</v>
      </c>
      <c r="D38">
        <v>0.2</v>
      </c>
      <c r="E38" t="s">
        <v>3</v>
      </c>
    </row>
    <row r="39" spans="1:5" x14ac:dyDescent="0.25">
      <c r="A39">
        <v>5.5</v>
      </c>
      <c r="B39">
        <v>3.5</v>
      </c>
      <c r="C39">
        <v>1.3</v>
      </c>
      <c r="D39">
        <v>0.2</v>
      </c>
      <c r="E39" t="s">
        <v>3</v>
      </c>
    </row>
    <row r="40" spans="1:5" x14ac:dyDescent="0.25">
      <c r="A40">
        <v>4.9000000000000004</v>
      </c>
      <c r="B40">
        <v>3.1</v>
      </c>
      <c r="C40">
        <v>1.5</v>
      </c>
      <c r="D40">
        <v>0.1</v>
      </c>
      <c r="E40" t="s">
        <v>3</v>
      </c>
    </row>
    <row r="41" spans="1:5" x14ac:dyDescent="0.25">
      <c r="A41">
        <v>4.4000000000000004</v>
      </c>
      <c r="B41">
        <v>3</v>
      </c>
      <c r="C41">
        <v>1.3</v>
      </c>
      <c r="D41">
        <v>0.2</v>
      </c>
      <c r="E41" t="s">
        <v>3</v>
      </c>
    </row>
    <row r="42" spans="1:5" x14ac:dyDescent="0.25">
      <c r="A42">
        <v>5.0999999999999996</v>
      </c>
      <c r="B42">
        <v>3.4</v>
      </c>
      <c r="C42">
        <v>1.5</v>
      </c>
      <c r="D42">
        <v>0.2</v>
      </c>
      <c r="E42" t="s">
        <v>3</v>
      </c>
    </row>
    <row r="43" spans="1:5" x14ac:dyDescent="0.25">
      <c r="A43">
        <v>5</v>
      </c>
      <c r="B43">
        <v>3.5</v>
      </c>
      <c r="C43">
        <v>1.3</v>
      </c>
      <c r="D43">
        <v>0.3</v>
      </c>
      <c r="E43" t="s">
        <v>3</v>
      </c>
    </row>
    <row r="44" spans="1:5" x14ac:dyDescent="0.25">
      <c r="A44">
        <v>4.5</v>
      </c>
      <c r="B44">
        <v>2.2999999999999998</v>
      </c>
      <c r="C44">
        <v>1.3</v>
      </c>
      <c r="D44">
        <v>0.3</v>
      </c>
      <c r="E44" t="s">
        <v>3</v>
      </c>
    </row>
    <row r="45" spans="1:5" x14ac:dyDescent="0.25">
      <c r="A45">
        <v>4.4000000000000004</v>
      </c>
      <c r="B45">
        <v>3.2</v>
      </c>
      <c r="C45">
        <v>1.3</v>
      </c>
      <c r="D45">
        <v>0.2</v>
      </c>
      <c r="E45" t="s">
        <v>3</v>
      </c>
    </row>
    <row r="46" spans="1:5" x14ac:dyDescent="0.25">
      <c r="A46">
        <v>5</v>
      </c>
      <c r="B46">
        <v>3.5</v>
      </c>
      <c r="C46">
        <v>1.6</v>
      </c>
      <c r="D46">
        <v>0.6</v>
      </c>
      <c r="E46" t="s">
        <v>3</v>
      </c>
    </row>
    <row r="47" spans="1:5" x14ac:dyDescent="0.25">
      <c r="A47">
        <v>5.0999999999999996</v>
      </c>
      <c r="B47">
        <v>3.8</v>
      </c>
      <c r="C47">
        <v>1.9</v>
      </c>
      <c r="D47">
        <v>0.4</v>
      </c>
      <c r="E47" t="s">
        <v>3</v>
      </c>
    </row>
    <row r="48" spans="1:5" x14ac:dyDescent="0.25">
      <c r="A48">
        <v>4.8</v>
      </c>
      <c r="B48">
        <v>3</v>
      </c>
      <c r="C48">
        <v>1.4</v>
      </c>
      <c r="D48">
        <v>0.3</v>
      </c>
      <c r="E48" t="s">
        <v>3</v>
      </c>
    </row>
    <row r="49" spans="1:5" x14ac:dyDescent="0.25">
      <c r="A49">
        <v>5.0999999999999996</v>
      </c>
      <c r="B49">
        <v>3.8</v>
      </c>
      <c r="C49">
        <v>1.6</v>
      </c>
      <c r="D49">
        <v>0.2</v>
      </c>
      <c r="E49" t="s">
        <v>3</v>
      </c>
    </row>
    <row r="50" spans="1:5" x14ac:dyDescent="0.25">
      <c r="A50">
        <v>4.5999999999999996</v>
      </c>
      <c r="B50">
        <v>3.2</v>
      </c>
      <c r="C50">
        <v>1.4</v>
      </c>
      <c r="D50">
        <v>0.2</v>
      </c>
      <c r="E50" t="s">
        <v>3</v>
      </c>
    </row>
    <row r="51" spans="1:5" x14ac:dyDescent="0.25">
      <c r="A51">
        <v>5.3</v>
      </c>
      <c r="B51">
        <v>3.7</v>
      </c>
      <c r="C51">
        <v>1.5</v>
      </c>
      <c r="D51">
        <v>0.2</v>
      </c>
      <c r="E51" t="s">
        <v>3</v>
      </c>
    </row>
    <row r="52" spans="1:5" x14ac:dyDescent="0.25">
      <c r="A52">
        <v>5</v>
      </c>
      <c r="B52">
        <v>3.3</v>
      </c>
      <c r="C52">
        <v>1.4</v>
      </c>
      <c r="D52">
        <v>0.2</v>
      </c>
      <c r="E52" t="s">
        <v>3</v>
      </c>
    </row>
    <row r="53" spans="1:5" x14ac:dyDescent="0.25">
      <c r="A53">
        <v>7</v>
      </c>
      <c r="B53">
        <v>3.2</v>
      </c>
      <c r="C53">
        <v>4.7</v>
      </c>
      <c r="D53">
        <v>1.4</v>
      </c>
      <c r="E53" t="s">
        <v>2</v>
      </c>
    </row>
    <row r="54" spans="1:5" x14ac:dyDescent="0.25">
      <c r="A54">
        <v>6.4</v>
      </c>
      <c r="B54">
        <v>3.2</v>
      </c>
      <c r="C54">
        <v>4.5</v>
      </c>
      <c r="D54">
        <v>1.5</v>
      </c>
      <c r="E54" t="s">
        <v>2</v>
      </c>
    </row>
    <row r="55" spans="1:5" x14ac:dyDescent="0.25">
      <c r="A55">
        <v>6.9</v>
      </c>
      <c r="B55">
        <v>3.1</v>
      </c>
      <c r="C55">
        <v>4.9000000000000004</v>
      </c>
      <c r="D55">
        <v>1.5</v>
      </c>
      <c r="E55" t="s">
        <v>2</v>
      </c>
    </row>
    <row r="56" spans="1:5" x14ac:dyDescent="0.25">
      <c r="A56">
        <v>5.5</v>
      </c>
      <c r="B56">
        <v>2.2999999999999998</v>
      </c>
      <c r="C56">
        <v>4</v>
      </c>
      <c r="D56">
        <v>1.3</v>
      </c>
      <c r="E56" t="s">
        <v>2</v>
      </c>
    </row>
    <row r="57" spans="1:5" x14ac:dyDescent="0.25">
      <c r="A57">
        <v>6.5</v>
      </c>
      <c r="B57">
        <v>2.8</v>
      </c>
      <c r="C57">
        <v>4.5999999999999996</v>
      </c>
      <c r="D57">
        <v>1.5</v>
      </c>
      <c r="E57" t="s">
        <v>2</v>
      </c>
    </row>
    <row r="58" spans="1:5" x14ac:dyDescent="0.25">
      <c r="A58">
        <v>5.7</v>
      </c>
      <c r="B58">
        <v>2.8</v>
      </c>
      <c r="C58">
        <v>4.5</v>
      </c>
      <c r="D58">
        <v>1.3</v>
      </c>
      <c r="E58" t="s">
        <v>2</v>
      </c>
    </row>
    <row r="59" spans="1:5" x14ac:dyDescent="0.25">
      <c r="A59">
        <v>6.3</v>
      </c>
      <c r="B59">
        <v>3.3</v>
      </c>
      <c r="C59">
        <v>4.7</v>
      </c>
      <c r="D59">
        <v>1.6</v>
      </c>
      <c r="E59" t="s">
        <v>2</v>
      </c>
    </row>
    <row r="60" spans="1:5" x14ac:dyDescent="0.25">
      <c r="A60">
        <v>4.9000000000000004</v>
      </c>
      <c r="B60">
        <v>2.4</v>
      </c>
      <c r="C60">
        <v>3.3</v>
      </c>
      <c r="D60">
        <v>1</v>
      </c>
      <c r="E60" t="s">
        <v>2</v>
      </c>
    </row>
    <row r="61" spans="1:5" x14ac:dyDescent="0.25">
      <c r="A61">
        <v>6.6</v>
      </c>
      <c r="B61">
        <v>2.9</v>
      </c>
      <c r="C61">
        <v>4.5999999999999996</v>
      </c>
      <c r="D61">
        <v>1.3</v>
      </c>
      <c r="E61" t="s">
        <v>2</v>
      </c>
    </row>
    <row r="62" spans="1:5" x14ac:dyDescent="0.25">
      <c r="A62">
        <v>5.2</v>
      </c>
      <c r="B62">
        <v>2.7</v>
      </c>
      <c r="C62">
        <v>3.9</v>
      </c>
      <c r="D62">
        <v>1.4</v>
      </c>
      <c r="E62" t="s">
        <v>2</v>
      </c>
    </row>
    <row r="63" spans="1:5" x14ac:dyDescent="0.25">
      <c r="A63">
        <v>5</v>
      </c>
      <c r="B63">
        <v>2</v>
      </c>
      <c r="C63">
        <v>3.5</v>
      </c>
      <c r="D63">
        <v>1</v>
      </c>
      <c r="E63" t="s">
        <v>2</v>
      </c>
    </row>
    <row r="64" spans="1:5" x14ac:dyDescent="0.25">
      <c r="A64">
        <v>5.9</v>
      </c>
      <c r="B64">
        <v>3</v>
      </c>
      <c r="C64">
        <v>4.2</v>
      </c>
      <c r="D64">
        <v>1.5</v>
      </c>
      <c r="E64" t="s">
        <v>2</v>
      </c>
    </row>
    <row r="65" spans="1:5" x14ac:dyDescent="0.25">
      <c r="A65">
        <v>6</v>
      </c>
      <c r="B65">
        <v>2.2000000000000002</v>
      </c>
      <c r="C65">
        <v>4</v>
      </c>
      <c r="D65">
        <v>1</v>
      </c>
      <c r="E65" t="s">
        <v>2</v>
      </c>
    </row>
    <row r="66" spans="1:5" x14ac:dyDescent="0.25">
      <c r="A66">
        <v>6.1</v>
      </c>
      <c r="B66">
        <v>2.9</v>
      </c>
      <c r="C66">
        <v>4.7</v>
      </c>
      <c r="D66">
        <v>1.4</v>
      </c>
      <c r="E66" t="s">
        <v>2</v>
      </c>
    </row>
    <row r="67" spans="1:5" x14ac:dyDescent="0.25">
      <c r="A67">
        <v>5.6</v>
      </c>
      <c r="B67">
        <v>2.9</v>
      </c>
      <c r="C67">
        <v>3.6</v>
      </c>
      <c r="D67">
        <v>1.3</v>
      </c>
      <c r="E67" t="s">
        <v>2</v>
      </c>
    </row>
    <row r="68" spans="1:5" x14ac:dyDescent="0.25">
      <c r="A68">
        <v>6.7</v>
      </c>
      <c r="B68">
        <v>3.1</v>
      </c>
      <c r="C68">
        <v>4.4000000000000004</v>
      </c>
      <c r="D68">
        <v>1.4</v>
      </c>
      <c r="E68" t="s">
        <v>2</v>
      </c>
    </row>
    <row r="69" spans="1:5" x14ac:dyDescent="0.25">
      <c r="A69">
        <v>5.6</v>
      </c>
      <c r="B69">
        <v>3</v>
      </c>
      <c r="C69">
        <v>4.5</v>
      </c>
      <c r="D69">
        <v>1.5</v>
      </c>
      <c r="E69" t="s">
        <v>2</v>
      </c>
    </row>
    <row r="70" spans="1:5" x14ac:dyDescent="0.25">
      <c r="A70">
        <v>5.8</v>
      </c>
      <c r="B70">
        <v>2.7</v>
      </c>
      <c r="C70">
        <v>4.0999999999999996</v>
      </c>
      <c r="D70">
        <v>1</v>
      </c>
      <c r="E70" t="s">
        <v>2</v>
      </c>
    </row>
    <row r="71" spans="1:5" x14ac:dyDescent="0.25">
      <c r="A71">
        <v>6.2</v>
      </c>
      <c r="B71">
        <v>2.2000000000000002</v>
      </c>
      <c r="C71">
        <v>4.5</v>
      </c>
      <c r="D71">
        <v>1.5</v>
      </c>
      <c r="E71" t="s">
        <v>2</v>
      </c>
    </row>
    <row r="72" spans="1:5" x14ac:dyDescent="0.25">
      <c r="A72">
        <v>5.6</v>
      </c>
      <c r="B72">
        <v>2.5</v>
      </c>
      <c r="C72">
        <v>3.9</v>
      </c>
      <c r="D72">
        <v>1.1000000000000001</v>
      </c>
      <c r="E72" t="s">
        <v>2</v>
      </c>
    </row>
    <row r="73" spans="1:5" x14ac:dyDescent="0.25">
      <c r="A73">
        <v>5.9</v>
      </c>
      <c r="B73">
        <v>3.2</v>
      </c>
      <c r="C73">
        <v>4.8</v>
      </c>
      <c r="D73">
        <v>1.8</v>
      </c>
      <c r="E73" t="s">
        <v>2</v>
      </c>
    </row>
    <row r="74" spans="1:5" x14ac:dyDescent="0.25">
      <c r="A74">
        <v>6.1</v>
      </c>
      <c r="B74">
        <v>2.8</v>
      </c>
      <c r="C74">
        <v>4</v>
      </c>
      <c r="D74">
        <v>1.3</v>
      </c>
      <c r="E74" t="s">
        <v>2</v>
      </c>
    </row>
    <row r="75" spans="1:5" x14ac:dyDescent="0.25">
      <c r="A75">
        <v>6.3</v>
      </c>
      <c r="B75">
        <v>2.5</v>
      </c>
      <c r="C75">
        <v>4.9000000000000004</v>
      </c>
      <c r="D75">
        <v>1.5</v>
      </c>
      <c r="E75" t="s">
        <v>2</v>
      </c>
    </row>
    <row r="76" spans="1:5" x14ac:dyDescent="0.25">
      <c r="A76">
        <v>6.1</v>
      </c>
      <c r="B76">
        <v>2.8</v>
      </c>
      <c r="C76">
        <v>4.7</v>
      </c>
      <c r="D76">
        <v>1.2</v>
      </c>
      <c r="E76" t="s">
        <v>2</v>
      </c>
    </row>
    <row r="77" spans="1:5" x14ac:dyDescent="0.25">
      <c r="A77">
        <v>6.4</v>
      </c>
      <c r="B77">
        <v>2.9</v>
      </c>
      <c r="C77">
        <v>4.3</v>
      </c>
      <c r="D77">
        <v>1.3</v>
      </c>
      <c r="E77" t="s">
        <v>2</v>
      </c>
    </row>
    <row r="78" spans="1:5" x14ac:dyDescent="0.25">
      <c r="A78">
        <v>6.6</v>
      </c>
      <c r="B78">
        <v>3</v>
      </c>
      <c r="C78">
        <v>4.4000000000000004</v>
      </c>
      <c r="D78">
        <v>1.4</v>
      </c>
      <c r="E78" t="s">
        <v>2</v>
      </c>
    </row>
    <row r="79" spans="1:5" x14ac:dyDescent="0.25">
      <c r="A79">
        <v>6.8</v>
      </c>
      <c r="B79">
        <v>2.8</v>
      </c>
      <c r="C79">
        <v>4.8</v>
      </c>
      <c r="D79">
        <v>1.4</v>
      </c>
      <c r="E79" t="s">
        <v>2</v>
      </c>
    </row>
    <row r="80" spans="1:5" x14ac:dyDescent="0.25">
      <c r="A80">
        <v>6.7</v>
      </c>
      <c r="B80">
        <v>3</v>
      </c>
      <c r="C80">
        <v>5</v>
      </c>
      <c r="D80">
        <v>1.7</v>
      </c>
      <c r="E80" t="s">
        <v>2</v>
      </c>
    </row>
    <row r="81" spans="1:5" x14ac:dyDescent="0.25">
      <c r="A81">
        <v>6</v>
      </c>
      <c r="B81">
        <v>2.9</v>
      </c>
      <c r="C81">
        <v>4.5</v>
      </c>
      <c r="D81">
        <v>1.5</v>
      </c>
      <c r="E81" t="s">
        <v>2</v>
      </c>
    </row>
    <row r="82" spans="1:5" x14ac:dyDescent="0.25">
      <c r="A82">
        <v>5.7</v>
      </c>
      <c r="B82">
        <v>2.6</v>
      </c>
      <c r="C82">
        <v>3.5</v>
      </c>
      <c r="D82">
        <v>1</v>
      </c>
      <c r="E82" t="s">
        <v>2</v>
      </c>
    </row>
    <row r="83" spans="1:5" x14ac:dyDescent="0.25">
      <c r="A83">
        <v>5.5</v>
      </c>
      <c r="B83">
        <v>2.4</v>
      </c>
      <c r="C83">
        <v>3.8</v>
      </c>
      <c r="D83">
        <v>1.1000000000000001</v>
      </c>
      <c r="E83" t="s">
        <v>2</v>
      </c>
    </row>
    <row r="84" spans="1:5" x14ac:dyDescent="0.25">
      <c r="A84">
        <v>5.5</v>
      </c>
      <c r="B84">
        <v>2.4</v>
      </c>
      <c r="C84">
        <v>3.7</v>
      </c>
      <c r="D84">
        <v>1</v>
      </c>
      <c r="E84" t="s">
        <v>2</v>
      </c>
    </row>
    <row r="85" spans="1:5" x14ac:dyDescent="0.25">
      <c r="A85">
        <v>5.8</v>
      </c>
      <c r="B85">
        <v>2.7</v>
      </c>
      <c r="C85">
        <v>3.9</v>
      </c>
      <c r="D85">
        <v>1.2</v>
      </c>
      <c r="E85" t="s">
        <v>2</v>
      </c>
    </row>
    <row r="86" spans="1:5" x14ac:dyDescent="0.25">
      <c r="A86">
        <v>6</v>
      </c>
      <c r="B86">
        <v>2.7</v>
      </c>
      <c r="C86">
        <v>5.0999999999999996</v>
      </c>
      <c r="D86">
        <v>1.6</v>
      </c>
      <c r="E86" t="s">
        <v>2</v>
      </c>
    </row>
    <row r="87" spans="1:5" x14ac:dyDescent="0.25">
      <c r="A87">
        <v>5.4</v>
      </c>
      <c r="B87">
        <v>3</v>
      </c>
      <c r="C87">
        <v>4.5</v>
      </c>
      <c r="D87">
        <v>1.5</v>
      </c>
      <c r="E87" t="s">
        <v>2</v>
      </c>
    </row>
    <row r="88" spans="1:5" x14ac:dyDescent="0.25">
      <c r="A88">
        <v>6</v>
      </c>
      <c r="B88">
        <v>3.4</v>
      </c>
      <c r="C88">
        <v>4.5</v>
      </c>
      <c r="D88">
        <v>1.6</v>
      </c>
      <c r="E88" t="s">
        <v>2</v>
      </c>
    </row>
    <row r="89" spans="1:5" x14ac:dyDescent="0.25">
      <c r="A89">
        <v>6.7</v>
      </c>
      <c r="B89">
        <v>3.1</v>
      </c>
      <c r="C89">
        <v>4.7</v>
      </c>
      <c r="D89">
        <v>1.5</v>
      </c>
      <c r="E89" t="s">
        <v>2</v>
      </c>
    </row>
    <row r="90" spans="1:5" x14ac:dyDescent="0.25">
      <c r="A90">
        <v>6.3</v>
      </c>
      <c r="B90">
        <v>2.2999999999999998</v>
      </c>
      <c r="C90">
        <v>4.4000000000000004</v>
      </c>
      <c r="D90">
        <v>1.3</v>
      </c>
      <c r="E90" t="s">
        <v>2</v>
      </c>
    </row>
    <row r="91" spans="1:5" x14ac:dyDescent="0.25">
      <c r="A91">
        <v>5.6</v>
      </c>
      <c r="B91">
        <v>3</v>
      </c>
      <c r="C91">
        <v>4.0999999999999996</v>
      </c>
      <c r="D91">
        <v>1.3</v>
      </c>
      <c r="E91" t="s">
        <v>2</v>
      </c>
    </row>
    <row r="92" spans="1:5" x14ac:dyDescent="0.25">
      <c r="A92">
        <v>5.5</v>
      </c>
      <c r="B92">
        <v>2.5</v>
      </c>
      <c r="C92">
        <v>4</v>
      </c>
      <c r="D92">
        <v>1.3</v>
      </c>
      <c r="E92" t="s">
        <v>2</v>
      </c>
    </row>
    <row r="93" spans="1:5" x14ac:dyDescent="0.25">
      <c r="A93">
        <v>5.5</v>
      </c>
      <c r="B93">
        <v>2.6</v>
      </c>
      <c r="C93">
        <v>4.4000000000000004</v>
      </c>
      <c r="D93">
        <v>1.2</v>
      </c>
      <c r="E93" t="s">
        <v>2</v>
      </c>
    </row>
    <row r="94" spans="1:5" x14ac:dyDescent="0.25">
      <c r="A94">
        <v>6.1</v>
      </c>
      <c r="B94">
        <v>3</v>
      </c>
      <c r="C94">
        <v>4.5999999999999996</v>
      </c>
      <c r="D94">
        <v>1.4</v>
      </c>
      <c r="E94" t="s">
        <v>2</v>
      </c>
    </row>
    <row r="95" spans="1:5" x14ac:dyDescent="0.25">
      <c r="A95">
        <v>5.8</v>
      </c>
      <c r="B95">
        <v>2.6</v>
      </c>
      <c r="C95">
        <v>4</v>
      </c>
      <c r="D95">
        <v>1.2</v>
      </c>
      <c r="E95" t="s">
        <v>2</v>
      </c>
    </row>
    <row r="96" spans="1:5" x14ac:dyDescent="0.25">
      <c r="A96">
        <v>5</v>
      </c>
      <c r="B96">
        <v>2.2999999999999998</v>
      </c>
      <c r="C96">
        <v>3.3</v>
      </c>
      <c r="D96">
        <v>1</v>
      </c>
      <c r="E96" t="s">
        <v>2</v>
      </c>
    </row>
    <row r="97" spans="1:5" x14ac:dyDescent="0.25">
      <c r="A97">
        <v>5.6</v>
      </c>
      <c r="B97">
        <v>2.7</v>
      </c>
      <c r="C97">
        <v>4.2</v>
      </c>
      <c r="D97">
        <v>1.3</v>
      </c>
      <c r="E97" t="s">
        <v>2</v>
      </c>
    </row>
    <row r="98" spans="1:5" x14ac:dyDescent="0.25">
      <c r="A98">
        <v>5.7</v>
      </c>
      <c r="B98">
        <v>3</v>
      </c>
      <c r="C98">
        <v>4.2</v>
      </c>
      <c r="D98">
        <v>1.2</v>
      </c>
      <c r="E98" t="s">
        <v>2</v>
      </c>
    </row>
    <row r="99" spans="1:5" x14ac:dyDescent="0.25">
      <c r="A99">
        <v>5.7</v>
      </c>
      <c r="B99">
        <v>2.9</v>
      </c>
      <c r="C99">
        <v>4.2</v>
      </c>
      <c r="D99">
        <v>1.3</v>
      </c>
      <c r="E99" t="s">
        <v>2</v>
      </c>
    </row>
    <row r="100" spans="1:5" x14ac:dyDescent="0.25">
      <c r="A100">
        <v>6.2</v>
      </c>
      <c r="B100">
        <v>2.9</v>
      </c>
      <c r="C100">
        <v>4.3</v>
      </c>
      <c r="D100">
        <v>1.3</v>
      </c>
      <c r="E100" t="s">
        <v>2</v>
      </c>
    </row>
    <row r="101" spans="1:5" x14ac:dyDescent="0.25">
      <c r="A101">
        <v>5.0999999999999996</v>
      </c>
      <c r="B101">
        <v>2.5</v>
      </c>
      <c r="C101">
        <v>3</v>
      </c>
      <c r="D101">
        <v>1.1000000000000001</v>
      </c>
      <c r="E101" t="s">
        <v>2</v>
      </c>
    </row>
    <row r="102" spans="1:5" x14ac:dyDescent="0.25">
      <c r="A102">
        <v>5.7</v>
      </c>
      <c r="B102">
        <v>2.8</v>
      </c>
      <c r="C102">
        <v>4.0999999999999996</v>
      </c>
      <c r="D102">
        <v>1.3</v>
      </c>
      <c r="E102" t="s">
        <v>2</v>
      </c>
    </row>
    <row r="103" spans="1:5" x14ac:dyDescent="0.25">
      <c r="A103">
        <v>6.3</v>
      </c>
      <c r="B103">
        <v>3.3</v>
      </c>
      <c r="C103">
        <v>6</v>
      </c>
      <c r="D103">
        <v>2.5</v>
      </c>
      <c r="E103" t="s">
        <v>1</v>
      </c>
    </row>
    <row r="104" spans="1:5" x14ac:dyDescent="0.25">
      <c r="A104">
        <v>5.8</v>
      </c>
      <c r="B104">
        <v>2.7</v>
      </c>
      <c r="C104">
        <v>5.0999999999999996</v>
      </c>
      <c r="D104">
        <v>1.9</v>
      </c>
      <c r="E104" t="s">
        <v>1</v>
      </c>
    </row>
    <row r="105" spans="1:5" x14ac:dyDescent="0.25">
      <c r="A105">
        <v>7.1</v>
      </c>
      <c r="B105">
        <v>3</v>
      </c>
      <c r="C105">
        <v>5.9</v>
      </c>
      <c r="D105">
        <v>2.1</v>
      </c>
      <c r="E105" t="s">
        <v>1</v>
      </c>
    </row>
    <row r="106" spans="1:5" x14ac:dyDescent="0.25">
      <c r="A106">
        <v>6.3</v>
      </c>
      <c r="B106">
        <v>2.9</v>
      </c>
      <c r="C106">
        <v>5.6</v>
      </c>
      <c r="D106">
        <v>1.8</v>
      </c>
      <c r="E106" t="s">
        <v>1</v>
      </c>
    </row>
    <row r="107" spans="1:5" x14ac:dyDescent="0.25">
      <c r="A107">
        <v>6.5</v>
      </c>
      <c r="B107">
        <v>3</v>
      </c>
      <c r="C107">
        <v>5.8</v>
      </c>
      <c r="D107">
        <v>2.2000000000000002</v>
      </c>
      <c r="E107" t="s">
        <v>1</v>
      </c>
    </row>
    <row r="108" spans="1:5" x14ac:dyDescent="0.25">
      <c r="A108">
        <v>7.6</v>
      </c>
      <c r="B108">
        <v>3</v>
      </c>
      <c r="C108">
        <v>6.6</v>
      </c>
      <c r="D108">
        <v>2.1</v>
      </c>
      <c r="E108" t="s">
        <v>1</v>
      </c>
    </row>
    <row r="109" spans="1:5" x14ac:dyDescent="0.25">
      <c r="A109">
        <v>4.9000000000000004</v>
      </c>
      <c r="B109">
        <v>2.5</v>
      </c>
      <c r="C109">
        <v>4.5</v>
      </c>
      <c r="D109">
        <v>1.7</v>
      </c>
      <c r="E109" t="s">
        <v>1</v>
      </c>
    </row>
    <row r="110" spans="1:5" x14ac:dyDescent="0.25">
      <c r="A110">
        <v>7.3</v>
      </c>
      <c r="B110">
        <v>2.9</v>
      </c>
      <c r="C110">
        <v>6.3</v>
      </c>
      <c r="D110">
        <v>1.8</v>
      </c>
      <c r="E110" t="s">
        <v>1</v>
      </c>
    </row>
    <row r="111" spans="1:5" x14ac:dyDescent="0.25">
      <c r="A111">
        <v>6.7</v>
      </c>
      <c r="B111">
        <v>2.5</v>
      </c>
      <c r="C111">
        <v>5.8</v>
      </c>
      <c r="D111">
        <v>1.8</v>
      </c>
      <c r="E111" t="s">
        <v>1</v>
      </c>
    </row>
    <row r="112" spans="1:5" x14ac:dyDescent="0.25">
      <c r="A112">
        <v>7.2</v>
      </c>
      <c r="B112">
        <v>3.6</v>
      </c>
      <c r="C112">
        <v>6.1</v>
      </c>
      <c r="D112">
        <v>2.5</v>
      </c>
      <c r="E112" t="s">
        <v>1</v>
      </c>
    </row>
    <row r="113" spans="1:5" x14ac:dyDescent="0.25">
      <c r="A113">
        <v>6.5</v>
      </c>
      <c r="B113">
        <v>3.2</v>
      </c>
      <c r="C113">
        <v>5.0999999999999996</v>
      </c>
      <c r="D113">
        <v>2</v>
      </c>
      <c r="E113" t="s">
        <v>1</v>
      </c>
    </row>
    <row r="114" spans="1:5" x14ac:dyDescent="0.25">
      <c r="A114">
        <v>6.4</v>
      </c>
      <c r="B114">
        <v>2.7</v>
      </c>
      <c r="C114">
        <v>5.3</v>
      </c>
      <c r="D114">
        <v>1.9</v>
      </c>
      <c r="E114" t="s">
        <v>1</v>
      </c>
    </row>
    <row r="115" spans="1:5" x14ac:dyDescent="0.25">
      <c r="A115">
        <v>6.8</v>
      </c>
      <c r="B115">
        <v>3</v>
      </c>
      <c r="C115">
        <v>5.5</v>
      </c>
      <c r="D115">
        <v>2.1</v>
      </c>
      <c r="E115" t="s">
        <v>1</v>
      </c>
    </row>
    <row r="116" spans="1:5" x14ac:dyDescent="0.25">
      <c r="A116">
        <v>5.7</v>
      </c>
      <c r="B116">
        <v>2.5</v>
      </c>
      <c r="C116">
        <v>5</v>
      </c>
      <c r="D116">
        <v>2</v>
      </c>
      <c r="E116" t="s">
        <v>1</v>
      </c>
    </row>
    <row r="117" spans="1:5" x14ac:dyDescent="0.25">
      <c r="A117">
        <v>5.8</v>
      </c>
      <c r="B117">
        <v>2.8</v>
      </c>
      <c r="C117">
        <v>5.0999999999999996</v>
      </c>
      <c r="D117">
        <v>2.4</v>
      </c>
      <c r="E117" t="s">
        <v>1</v>
      </c>
    </row>
    <row r="118" spans="1:5" x14ac:dyDescent="0.25">
      <c r="A118">
        <v>6.4</v>
      </c>
      <c r="B118">
        <v>3.2</v>
      </c>
      <c r="C118">
        <v>5.3</v>
      </c>
      <c r="D118">
        <v>2.2999999999999998</v>
      </c>
      <c r="E118" t="s">
        <v>1</v>
      </c>
    </row>
    <row r="119" spans="1:5" x14ac:dyDescent="0.25">
      <c r="A119">
        <v>6.5</v>
      </c>
      <c r="B119">
        <v>3</v>
      </c>
      <c r="C119">
        <v>5.5</v>
      </c>
      <c r="D119">
        <v>1.8</v>
      </c>
      <c r="E119" t="s">
        <v>1</v>
      </c>
    </row>
    <row r="120" spans="1:5" x14ac:dyDescent="0.25">
      <c r="A120">
        <v>7.7</v>
      </c>
      <c r="B120">
        <v>3.8</v>
      </c>
      <c r="C120">
        <v>6.7</v>
      </c>
      <c r="D120">
        <v>2.2000000000000002</v>
      </c>
      <c r="E120" t="s">
        <v>1</v>
      </c>
    </row>
    <row r="121" spans="1:5" x14ac:dyDescent="0.25">
      <c r="A121">
        <v>7.7</v>
      </c>
      <c r="B121">
        <v>2.6</v>
      </c>
      <c r="C121">
        <v>6.9</v>
      </c>
      <c r="D121">
        <v>2.2999999999999998</v>
      </c>
      <c r="E121" t="s">
        <v>1</v>
      </c>
    </row>
    <row r="122" spans="1:5" x14ac:dyDescent="0.25">
      <c r="A122">
        <v>6</v>
      </c>
      <c r="B122">
        <v>2.2000000000000002</v>
      </c>
      <c r="C122">
        <v>5</v>
      </c>
      <c r="D122">
        <v>1.5</v>
      </c>
      <c r="E122" t="s">
        <v>1</v>
      </c>
    </row>
    <row r="123" spans="1:5" x14ac:dyDescent="0.25">
      <c r="A123">
        <v>6.9</v>
      </c>
      <c r="B123">
        <v>3.2</v>
      </c>
      <c r="C123">
        <v>5.7</v>
      </c>
      <c r="D123">
        <v>2.2999999999999998</v>
      </c>
      <c r="E123" t="s">
        <v>1</v>
      </c>
    </row>
    <row r="124" spans="1:5" x14ac:dyDescent="0.25">
      <c r="A124">
        <v>5.6</v>
      </c>
      <c r="B124">
        <v>2.8</v>
      </c>
      <c r="C124">
        <v>4.9000000000000004</v>
      </c>
      <c r="D124">
        <v>2</v>
      </c>
      <c r="E124" t="s">
        <v>1</v>
      </c>
    </row>
    <row r="125" spans="1:5" x14ac:dyDescent="0.25">
      <c r="A125">
        <v>7.7</v>
      </c>
      <c r="B125">
        <v>2.8</v>
      </c>
      <c r="C125">
        <v>6.7</v>
      </c>
      <c r="D125">
        <v>2</v>
      </c>
      <c r="E125" t="s">
        <v>1</v>
      </c>
    </row>
    <row r="126" spans="1:5" x14ac:dyDescent="0.25">
      <c r="A126">
        <v>6.3</v>
      </c>
      <c r="B126">
        <v>2.7</v>
      </c>
      <c r="C126">
        <v>4.9000000000000004</v>
      </c>
      <c r="D126">
        <v>1.8</v>
      </c>
      <c r="E126" t="s">
        <v>1</v>
      </c>
    </row>
    <row r="127" spans="1:5" x14ac:dyDescent="0.25">
      <c r="A127">
        <v>6.7</v>
      </c>
      <c r="B127">
        <v>3.3</v>
      </c>
      <c r="C127">
        <v>5.7</v>
      </c>
      <c r="D127">
        <v>2.1</v>
      </c>
      <c r="E127" t="s">
        <v>1</v>
      </c>
    </row>
    <row r="128" spans="1:5" x14ac:dyDescent="0.25">
      <c r="A128">
        <v>7.2</v>
      </c>
      <c r="B128">
        <v>3.2</v>
      </c>
      <c r="C128">
        <v>6</v>
      </c>
      <c r="D128">
        <v>1.8</v>
      </c>
      <c r="E128" t="s">
        <v>1</v>
      </c>
    </row>
    <row r="129" spans="1:5" x14ac:dyDescent="0.25">
      <c r="A129">
        <v>6.2</v>
      </c>
      <c r="B129">
        <v>2.8</v>
      </c>
      <c r="C129">
        <v>4.8</v>
      </c>
      <c r="D129">
        <v>1.8</v>
      </c>
      <c r="E129" t="s">
        <v>1</v>
      </c>
    </row>
    <row r="130" spans="1:5" x14ac:dyDescent="0.25">
      <c r="A130">
        <v>6.1</v>
      </c>
      <c r="B130">
        <v>3</v>
      </c>
      <c r="C130">
        <v>4.9000000000000004</v>
      </c>
      <c r="D130">
        <v>1.8</v>
      </c>
      <c r="E130" t="s">
        <v>1</v>
      </c>
    </row>
    <row r="131" spans="1:5" x14ac:dyDescent="0.25">
      <c r="A131">
        <v>6.4</v>
      </c>
      <c r="B131">
        <v>2.8</v>
      </c>
      <c r="C131">
        <v>5.6</v>
      </c>
      <c r="D131">
        <v>2.1</v>
      </c>
      <c r="E131" t="s">
        <v>1</v>
      </c>
    </row>
    <row r="132" spans="1:5" x14ac:dyDescent="0.25">
      <c r="A132">
        <v>7.2</v>
      </c>
      <c r="B132">
        <v>3</v>
      </c>
      <c r="C132">
        <v>5.8</v>
      </c>
      <c r="D132">
        <v>1.6</v>
      </c>
      <c r="E132" t="s">
        <v>1</v>
      </c>
    </row>
    <row r="133" spans="1:5" x14ac:dyDescent="0.25">
      <c r="A133">
        <v>7.4</v>
      </c>
      <c r="B133">
        <v>2.8</v>
      </c>
      <c r="C133">
        <v>6.1</v>
      </c>
      <c r="D133">
        <v>1.9</v>
      </c>
      <c r="E133" t="s">
        <v>1</v>
      </c>
    </row>
    <row r="134" spans="1:5" x14ac:dyDescent="0.25">
      <c r="A134">
        <v>7.9</v>
      </c>
      <c r="B134">
        <v>3.8</v>
      </c>
      <c r="C134">
        <v>6.4</v>
      </c>
      <c r="D134">
        <v>2</v>
      </c>
      <c r="E134" t="s">
        <v>1</v>
      </c>
    </row>
    <row r="135" spans="1:5" x14ac:dyDescent="0.25">
      <c r="A135">
        <v>6.4</v>
      </c>
      <c r="B135">
        <v>2.8</v>
      </c>
      <c r="C135">
        <v>5.6</v>
      </c>
      <c r="D135">
        <v>2.2000000000000002</v>
      </c>
      <c r="E135" t="s">
        <v>1</v>
      </c>
    </row>
    <row r="136" spans="1:5" x14ac:dyDescent="0.25">
      <c r="A136">
        <v>6.3</v>
      </c>
      <c r="B136">
        <v>2.8</v>
      </c>
      <c r="C136">
        <v>5.0999999999999996</v>
      </c>
      <c r="D136">
        <v>1.5</v>
      </c>
      <c r="E136" t="s">
        <v>1</v>
      </c>
    </row>
    <row r="137" spans="1:5" x14ac:dyDescent="0.25">
      <c r="A137">
        <v>6.1</v>
      </c>
      <c r="B137">
        <v>2.6</v>
      </c>
      <c r="C137">
        <v>5.6</v>
      </c>
      <c r="D137">
        <v>1.4</v>
      </c>
      <c r="E137" t="s">
        <v>1</v>
      </c>
    </row>
    <row r="138" spans="1:5" x14ac:dyDescent="0.25">
      <c r="A138">
        <v>7.7</v>
      </c>
      <c r="B138">
        <v>3</v>
      </c>
      <c r="C138">
        <v>6.1</v>
      </c>
      <c r="D138">
        <v>2.2999999999999998</v>
      </c>
      <c r="E138" t="s">
        <v>1</v>
      </c>
    </row>
    <row r="139" spans="1:5" x14ac:dyDescent="0.25">
      <c r="A139">
        <v>6.3</v>
      </c>
      <c r="B139">
        <v>3.4</v>
      </c>
      <c r="C139">
        <v>5.6</v>
      </c>
      <c r="D139">
        <v>2.4</v>
      </c>
      <c r="E139" t="s">
        <v>1</v>
      </c>
    </row>
    <row r="140" spans="1:5" x14ac:dyDescent="0.25">
      <c r="A140">
        <v>6.4</v>
      </c>
      <c r="B140">
        <v>3.1</v>
      </c>
      <c r="C140">
        <v>5.5</v>
      </c>
      <c r="D140">
        <v>1.8</v>
      </c>
      <c r="E140" t="s">
        <v>1</v>
      </c>
    </row>
    <row r="141" spans="1:5" x14ac:dyDescent="0.25">
      <c r="A141">
        <v>6</v>
      </c>
      <c r="B141">
        <v>3</v>
      </c>
      <c r="C141">
        <v>4.8</v>
      </c>
      <c r="D141">
        <v>1.8</v>
      </c>
      <c r="E141" t="s">
        <v>1</v>
      </c>
    </row>
    <row r="142" spans="1:5" x14ac:dyDescent="0.25">
      <c r="A142">
        <v>6.9</v>
      </c>
      <c r="B142">
        <v>3.1</v>
      </c>
      <c r="C142">
        <v>5.4</v>
      </c>
      <c r="D142">
        <v>2.1</v>
      </c>
      <c r="E142" t="s">
        <v>1</v>
      </c>
    </row>
    <row r="143" spans="1:5" x14ac:dyDescent="0.25">
      <c r="A143">
        <v>6.7</v>
      </c>
      <c r="B143">
        <v>3.1</v>
      </c>
      <c r="C143">
        <v>5.6</v>
      </c>
      <c r="D143">
        <v>2.4</v>
      </c>
      <c r="E143" t="s">
        <v>1</v>
      </c>
    </row>
    <row r="144" spans="1:5" x14ac:dyDescent="0.25">
      <c r="A144">
        <v>6.9</v>
      </c>
      <c r="B144">
        <v>3.1</v>
      </c>
      <c r="C144">
        <v>5.0999999999999996</v>
      </c>
      <c r="D144">
        <v>2.2999999999999998</v>
      </c>
      <c r="E144" t="s">
        <v>1</v>
      </c>
    </row>
    <row r="145" spans="1:5" x14ac:dyDescent="0.25">
      <c r="A145">
        <v>5.8</v>
      </c>
      <c r="B145">
        <v>2.7</v>
      </c>
      <c r="C145">
        <v>5.0999999999999996</v>
      </c>
      <c r="D145">
        <v>1.9</v>
      </c>
      <c r="E145" t="s">
        <v>1</v>
      </c>
    </row>
    <row r="146" spans="1:5" x14ac:dyDescent="0.25">
      <c r="A146">
        <v>6.8</v>
      </c>
      <c r="B146">
        <v>3.2</v>
      </c>
      <c r="C146">
        <v>5.9</v>
      </c>
      <c r="D146">
        <v>2.2999999999999998</v>
      </c>
      <c r="E146" t="s">
        <v>1</v>
      </c>
    </row>
    <row r="147" spans="1:5" x14ac:dyDescent="0.25">
      <c r="A147">
        <v>6.7</v>
      </c>
      <c r="B147">
        <v>3.3</v>
      </c>
      <c r="C147">
        <v>5.7</v>
      </c>
      <c r="D147">
        <v>2.5</v>
      </c>
      <c r="E147" t="s">
        <v>1</v>
      </c>
    </row>
    <row r="148" spans="1:5" x14ac:dyDescent="0.25">
      <c r="A148">
        <v>6.7</v>
      </c>
      <c r="B148">
        <v>3</v>
      </c>
      <c r="C148">
        <v>5.2</v>
      </c>
      <c r="D148">
        <v>2.2999999999999998</v>
      </c>
      <c r="E148" t="s">
        <v>1</v>
      </c>
    </row>
    <row r="149" spans="1:5" x14ac:dyDescent="0.25">
      <c r="A149">
        <v>6.3</v>
      </c>
      <c r="B149">
        <v>2.5</v>
      </c>
      <c r="C149">
        <v>5</v>
      </c>
      <c r="D149">
        <v>1.9</v>
      </c>
      <c r="E149" t="s">
        <v>1</v>
      </c>
    </row>
    <row r="150" spans="1:5" x14ac:dyDescent="0.25">
      <c r="A150">
        <v>6.5</v>
      </c>
      <c r="B150">
        <v>3</v>
      </c>
      <c r="C150">
        <v>5.2</v>
      </c>
      <c r="D150">
        <v>2</v>
      </c>
      <c r="E150" t="s">
        <v>1</v>
      </c>
    </row>
    <row r="151" spans="1:5" x14ac:dyDescent="0.25">
      <c r="A151">
        <v>6.2</v>
      </c>
      <c r="B151">
        <v>3.4</v>
      </c>
      <c r="C151">
        <v>5.4</v>
      </c>
      <c r="D151">
        <v>2.2999999999999998</v>
      </c>
      <c r="E151" t="s">
        <v>1</v>
      </c>
    </row>
    <row r="152" spans="1:5" x14ac:dyDescent="0.25">
      <c r="A152">
        <v>5.9</v>
      </c>
      <c r="B152">
        <v>3</v>
      </c>
      <c r="C152">
        <v>5.0999999999999996</v>
      </c>
      <c r="D152">
        <v>1.8</v>
      </c>
      <c r="E152" t="s">
        <v>1</v>
      </c>
    </row>
    <row r="154" spans="1:5" x14ac:dyDescent="0.25">
      <c r="A154" s="1" t="s">
        <v>0</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F19D1-87E3-48CA-8EC2-83A8EB69FAD7}">
  <dimension ref="A1:H154"/>
  <sheetViews>
    <sheetView tabSelected="1" workbookViewId="0">
      <selection activeCell="G3" sqref="G3"/>
    </sheetView>
  </sheetViews>
  <sheetFormatPr defaultRowHeight="15" x14ac:dyDescent="0.25"/>
  <cols>
    <col min="1" max="11" width="14.5703125" customWidth="1"/>
  </cols>
  <sheetData>
    <row r="1" spans="1:8" x14ac:dyDescent="0.25">
      <c r="A1" s="3" t="s">
        <v>9</v>
      </c>
      <c r="E1" s="3"/>
    </row>
    <row r="2" spans="1:8" x14ac:dyDescent="0.25">
      <c r="A2" t="s">
        <v>8</v>
      </c>
      <c r="B2" t="s">
        <v>7</v>
      </c>
      <c r="C2" t="s">
        <v>6</v>
      </c>
      <c r="D2" t="s">
        <v>5</v>
      </c>
      <c r="E2" t="s">
        <v>4</v>
      </c>
      <c r="G2" s="2" t="s">
        <v>10</v>
      </c>
      <c r="H2" s="2"/>
    </row>
    <row r="3" spans="1:8" x14ac:dyDescent="0.25">
      <c r="A3">
        <v>5.0999999999999996</v>
      </c>
      <c r="B3">
        <v>3.5</v>
      </c>
      <c r="C3">
        <v>1.4</v>
      </c>
      <c r="D3">
        <v>0.2</v>
      </c>
      <c r="E3" t="s">
        <v>3</v>
      </c>
      <c r="G3" t="e" cm="1" vm="3">
        <f t="array" ref="G3">_xlfn._xlws.PY(5,0,IrisDataSet25[#All])</f>
        <v>#VALUE!</v>
      </c>
    </row>
    <row r="4" spans="1:8" x14ac:dyDescent="0.25">
      <c r="A4">
        <v>4.9000000000000004</v>
      </c>
      <c r="B4">
        <v>3</v>
      </c>
      <c r="C4">
        <v>1.4</v>
      </c>
      <c r="D4">
        <v>0.2</v>
      </c>
      <c r="E4" t="s">
        <v>3</v>
      </c>
    </row>
    <row r="5" spans="1:8" x14ac:dyDescent="0.25">
      <c r="A5">
        <v>4.7</v>
      </c>
      <c r="B5">
        <v>3.2</v>
      </c>
      <c r="C5">
        <v>1.3</v>
      </c>
      <c r="D5">
        <v>0.2</v>
      </c>
      <c r="E5" t="s">
        <v>3</v>
      </c>
      <c r="H5" s="2"/>
    </row>
    <row r="6" spans="1:8" x14ac:dyDescent="0.25">
      <c r="A6">
        <v>4.5999999999999996</v>
      </c>
      <c r="B6">
        <v>3.1</v>
      </c>
      <c r="C6">
        <v>1.5</v>
      </c>
      <c r="D6">
        <v>0.2</v>
      </c>
      <c r="E6" t="s">
        <v>3</v>
      </c>
    </row>
    <row r="7" spans="1:8" x14ac:dyDescent="0.25">
      <c r="A7">
        <v>5</v>
      </c>
      <c r="B7">
        <v>3.6</v>
      </c>
      <c r="C7">
        <v>1.4</v>
      </c>
      <c r="D7">
        <v>0.2</v>
      </c>
      <c r="E7" t="s">
        <v>3</v>
      </c>
    </row>
    <row r="8" spans="1:8" x14ac:dyDescent="0.25">
      <c r="A8">
        <v>5.4</v>
      </c>
      <c r="B8">
        <v>3.9</v>
      </c>
      <c r="C8">
        <v>1.7</v>
      </c>
      <c r="D8">
        <v>0.4</v>
      </c>
      <c r="E8" t="s">
        <v>3</v>
      </c>
    </row>
    <row r="9" spans="1:8" x14ac:dyDescent="0.25">
      <c r="A9">
        <v>4.5999999999999996</v>
      </c>
      <c r="B9">
        <v>3.4</v>
      </c>
      <c r="C9">
        <v>1.4</v>
      </c>
      <c r="D9">
        <v>0.3</v>
      </c>
      <c r="E9" t="s">
        <v>3</v>
      </c>
    </row>
    <row r="10" spans="1:8" x14ac:dyDescent="0.25">
      <c r="A10">
        <v>5</v>
      </c>
      <c r="B10">
        <v>3.4</v>
      </c>
      <c r="C10">
        <v>1.5</v>
      </c>
      <c r="D10">
        <v>0.2</v>
      </c>
      <c r="E10" t="s">
        <v>3</v>
      </c>
    </row>
    <row r="11" spans="1:8" x14ac:dyDescent="0.25">
      <c r="A11">
        <v>4.4000000000000004</v>
      </c>
      <c r="B11">
        <v>2.9</v>
      </c>
      <c r="C11">
        <v>1.4</v>
      </c>
      <c r="D11">
        <v>0.2</v>
      </c>
      <c r="E11" t="s">
        <v>3</v>
      </c>
    </row>
    <row r="12" spans="1:8" x14ac:dyDescent="0.25">
      <c r="A12">
        <v>4.9000000000000004</v>
      </c>
      <c r="B12">
        <v>3.1</v>
      </c>
      <c r="C12">
        <v>1.5</v>
      </c>
      <c r="D12">
        <v>0.1</v>
      </c>
      <c r="E12" t="s">
        <v>3</v>
      </c>
    </row>
    <row r="13" spans="1:8" x14ac:dyDescent="0.25">
      <c r="A13">
        <v>5.4</v>
      </c>
      <c r="B13">
        <v>3.7</v>
      </c>
      <c r="C13">
        <v>1.5</v>
      </c>
      <c r="D13">
        <v>0.2</v>
      </c>
      <c r="E13" t="s">
        <v>3</v>
      </c>
    </row>
    <row r="14" spans="1:8" x14ac:dyDescent="0.25">
      <c r="A14">
        <v>4.8</v>
      </c>
      <c r="B14">
        <v>3.4</v>
      </c>
      <c r="C14">
        <v>1.6</v>
      </c>
      <c r="D14">
        <v>0.2</v>
      </c>
      <c r="E14" t="s">
        <v>3</v>
      </c>
    </row>
    <row r="15" spans="1:8" x14ac:dyDescent="0.25">
      <c r="A15">
        <v>4.8</v>
      </c>
      <c r="B15">
        <v>3</v>
      </c>
      <c r="C15">
        <v>1.4</v>
      </c>
      <c r="D15">
        <v>0.1</v>
      </c>
      <c r="E15" t="s">
        <v>3</v>
      </c>
    </row>
    <row r="16" spans="1:8" x14ac:dyDescent="0.25">
      <c r="A16">
        <v>4.3</v>
      </c>
      <c r="B16">
        <v>3</v>
      </c>
      <c r="C16">
        <v>1.1000000000000001</v>
      </c>
      <c r="D16">
        <v>0.1</v>
      </c>
      <c r="E16" t="s">
        <v>3</v>
      </c>
    </row>
    <row r="17" spans="1:5" x14ac:dyDescent="0.25">
      <c r="A17">
        <v>5.8</v>
      </c>
      <c r="B17">
        <v>4</v>
      </c>
      <c r="C17">
        <v>1.2</v>
      </c>
      <c r="D17">
        <v>0.2</v>
      </c>
      <c r="E17" t="s">
        <v>3</v>
      </c>
    </row>
    <row r="18" spans="1:5" x14ac:dyDescent="0.25">
      <c r="A18">
        <v>5.7</v>
      </c>
      <c r="B18">
        <v>4.4000000000000004</v>
      </c>
      <c r="C18">
        <v>1.5</v>
      </c>
      <c r="D18">
        <v>0.4</v>
      </c>
      <c r="E18" t="s">
        <v>3</v>
      </c>
    </row>
    <row r="19" spans="1:5" x14ac:dyDescent="0.25">
      <c r="A19">
        <v>5.4</v>
      </c>
      <c r="B19">
        <v>3.9</v>
      </c>
      <c r="C19">
        <v>1.3</v>
      </c>
      <c r="D19">
        <v>0.4</v>
      </c>
      <c r="E19" t="s">
        <v>3</v>
      </c>
    </row>
    <row r="20" spans="1:5" x14ac:dyDescent="0.25">
      <c r="A20">
        <v>5.0999999999999996</v>
      </c>
      <c r="B20">
        <v>3.5</v>
      </c>
      <c r="C20">
        <v>1.4</v>
      </c>
      <c r="D20">
        <v>0.3</v>
      </c>
      <c r="E20" t="s">
        <v>3</v>
      </c>
    </row>
    <row r="21" spans="1:5" x14ac:dyDescent="0.25">
      <c r="A21">
        <v>5.7</v>
      </c>
      <c r="B21">
        <v>3.8</v>
      </c>
      <c r="C21">
        <v>1.7</v>
      </c>
      <c r="D21">
        <v>0.3</v>
      </c>
      <c r="E21" t="s">
        <v>3</v>
      </c>
    </row>
    <row r="22" spans="1:5" x14ac:dyDescent="0.25">
      <c r="A22">
        <v>5.0999999999999996</v>
      </c>
      <c r="B22">
        <v>3.8</v>
      </c>
      <c r="C22">
        <v>1.5</v>
      </c>
      <c r="D22">
        <v>0.3</v>
      </c>
      <c r="E22" t="s">
        <v>3</v>
      </c>
    </row>
    <row r="23" spans="1:5" x14ac:dyDescent="0.25">
      <c r="A23">
        <v>5.4</v>
      </c>
      <c r="B23">
        <v>3.4</v>
      </c>
      <c r="C23">
        <v>1.7</v>
      </c>
      <c r="D23">
        <v>0.2</v>
      </c>
      <c r="E23" t="s">
        <v>3</v>
      </c>
    </row>
    <row r="24" spans="1:5" x14ac:dyDescent="0.25">
      <c r="A24">
        <v>5.0999999999999996</v>
      </c>
      <c r="B24">
        <v>3.7</v>
      </c>
      <c r="C24">
        <v>1.5</v>
      </c>
      <c r="D24">
        <v>0.4</v>
      </c>
      <c r="E24" t="s">
        <v>3</v>
      </c>
    </row>
    <row r="25" spans="1:5" x14ac:dyDescent="0.25">
      <c r="A25">
        <v>4.5999999999999996</v>
      </c>
      <c r="B25">
        <v>3.6</v>
      </c>
      <c r="C25">
        <v>1</v>
      </c>
      <c r="D25">
        <v>0.2</v>
      </c>
      <c r="E25" t="s">
        <v>3</v>
      </c>
    </row>
    <row r="26" spans="1:5" x14ac:dyDescent="0.25">
      <c r="A26">
        <v>5.0999999999999996</v>
      </c>
      <c r="B26">
        <v>3.3</v>
      </c>
      <c r="C26">
        <v>1.7</v>
      </c>
      <c r="D26">
        <v>0.5</v>
      </c>
      <c r="E26" t="s">
        <v>3</v>
      </c>
    </row>
    <row r="27" spans="1:5" x14ac:dyDescent="0.25">
      <c r="A27">
        <v>4.8</v>
      </c>
      <c r="B27">
        <v>3.4</v>
      </c>
      <c r="C27">
        <v>1.9</v>
      </c>
      <c r="D27">
        <v>0.2</v>
      </c>
      <c r="E27" t="s">
        <v>3</v>
      </c>
    </row>
    <row r="28" spans="1:5" x14ac:dyDescent="0.25">
      <c r="A28">
        <v>5</v>
      </c>
      <c r="B28">
        <v>3</v>
      </c>
      <c r="C28">
        <v>1.6</v>
      </c>
      <c r="D28">
        <v>0.2</v>
      </c>
      <c r="E28" t="s">
        <v>3</v>
      </c>
    </row>
    <row r="29" spans="1:5" x14ac:dyDescent="0.25">
      <c r="A29">
        <v>5</v>
      </c>
      <c r="B29">
        <v>3.4</v>
      </c>
      <c r="C29">
        <v>1.6</v>
      </c>
      <c r="D29">
        <v>0.4</v>
      </c>
      <c r="E29" t="s">
        <v>3</v>
      </c>
    </row>
    <row r="30" spans="1:5" x14ac:dyDescent="0.25">
      <c r="A30">
        <v>5.2</v>
      </c>
      <c r="B30">
        <v>3.5</v>
      </c>
      <c r="C30">
        <v>1.5</v>
      </c>
      <c r="D30">
        <v>0.2</v>
      </c>
      <c r="E30" t="s">
        <v>3</v>
      </c>
    </row>
    <row r="31" spans="1:5" x14ac:dyDescent="0.25">
      <c r="A31">
        <v>5.2</v>
      </c>
      <c r="B31">
        <v>3.4</v>
      </c>
      <c r="C31">
        <v>1.4</v>
      </c>
      <c r="D31">
        <v>0.2</v>
      </c>
      <c r="E31" t="s">
        <v>3</v>
      </c>
    </row>
    <row r="32" spans="1:5" x14ac:dyDescent="0.25">
      <c r="A32">
        <v>4.7</v>
      </c>
      <c r="B32">
        <v>3.2</v>
      </c>
      <c r="C32">
        <v>1.6</v>
      </c>
      <c r="D32">
        <v>0.2</v>
      </c>
      <c r="E32" t="s">
        <v>3</v>
      </c>
    </row>
    <row r="33" spans="1:5" x14ac:dyDescent="0.25">
      <c r="A33">
        <v>4.8</v>
      </c>
      <c r="B33">
        <v>3.1</v>
      </c>
      <c r="C33">
        <v>1.6</v>
      </c>
      <c r="D33">
        <v>0.2</v>
      </c>
      <c r="E33" t="s">
        <v>3</v>
      </c>
    </row>
    <row r="34" spans="1:5" x14ac:dyDescent="0.25">
      <c r="A34">
        <v>5.4</v>
      </c>
      <c r="B34">
        <v>3.4</v>
      </c>
      <c r="C34">
        <v>1.5</v>
      </c>
      <c r="D34">
        <v>0.4</v>
      </c>
      <c r="E34" t="s">
        <v>3</v>
      </c>
    </row>
    <row r="35" spans="1:5" x14ac:dyDescent="0.25">
      <c r="A35">
        <v>5.2</v>
      </c>
      <c r="B35">
        <v>4.0999999999999996</v>
      </c>
      <c r="C35">
        <v>1.5</v>
      </c>
      <c r="D35">
        <v>0.1</v>
      </c>
      <c r="E35" t="s">
        <v>3</v>
      </c>
    </row>
    <row r="36" spans="1:5" x14ac:dyDescent="0.25">
      <c r="A36">
        <v>5.5</v>
      </c>
      <c r="B36">
        <v>4.2</v>
      </c>
      <c r="C36">
        <v>1.4</v>
      </c>
      <c r="D36">
        <v>0.2</v>
      </c>
      <c r="E36" t="s">
        <v>3</v>
      </c>
    </row>
    <row r="37" spans="1:5" x14ac:dyDescent="0.25">
      <c r="A37">
        <v>4.9000000000000004</v>
      </c>
      <c r="B37">
        <v>3.1</v>
      </c>
      <c r="C37">
        <v>1.5</v>
      </c>
      <c r="D37">
        <v>0.1</v>
      </c>
      <c r="E37" t="s">
        <v>3</v>
      </c>
    </row>
    <row r="38" spans="1:5" x14ac:dyDescent="0.25">
      <c r="A38">
        <v>5</v>
      </c>
      <c r="B38">
        <v>3.2</v>
      </c>
      <c r="C38">
        <v>1.2</v>
      </c>
      <c r="D38">
        <v>0.2</v>
      </c>
      <c r="E38" t="s">
        <v>3</v>
      </c>
    </row>
    <row r="39" spans="1:5" x14ac:dyDescent="0.25">
      <c r="A39">
        <v>5.5</v>
      </c>
      <c r="B39">
        <v>3.5</v>
      </c>
      <c r="C39">
        <v>1.3</v>
      </c>
      <c r="D39">
        <v>0.2</v>
      </c>
      <c r="E39" t="s">
        <v>3</v>
      </c>
    </row>
    <row r="40" spans="1:5" x14ac:dyDescent="0.25">
      <c r="A40">
        <v>4.9000000000000004</v>
      </c>
      <c r="B40">
        <v>3.1</v>
      </c>
      <c r="C40">
        <v>1.5</v>
      </c>
      <c r="D40">
        <v>0.1</v>
      </c>
      <c r="E40" t="s">
        <v>3</v>
      </c>
    </row>
    <row r="41" spans="1:5" x14ac:dyDescent="0.25">
      <c r="A41">
        <v>4.4000000000000004</v>
      </c>
      <c r="B41">
        <v>3</v>
      </c>
      <c r="C41">
        <v>1.3</v>
      </c>
      <c r="D41">
        <v>0.2</v>
      </c>
      <c r="E41" t="s">
        <v>3</v>
      </c>
    </row>
    <row r="42" spans="1:5" x14ac:dyDescent="0.25">
      <c r="A42">
        <v>5.0999999999999996</v>
      </c>
      <c r="B42">
        <v>3.4</v>
      </c>
      <c r="C42">
        <v>1.5</v>
      </c>
      <c r="D42">
        <v>0.2</v>
      </c>
      <c r="E42" t="s">
        <v>3</v>
      </c>
    </row>
    <row r="43" spans="1:5" x14ac:dyDescent="0.25">
      <c r="A43">
        <v>5</v>
      </c>
      <c r="B43">
        <v>3.5</v>
      </c>
      <c r="C43">
        <v>1.3</v>
      </c>
      <c r="D43">
        <v>0.3</v>
      </c>
      <c r="E43" t="s">
        <v>3</v>
      </c>
    </row>
    <row r="44" spans="1:5" x14ac:dyDescent="0.25">
      <c r="A44">
        <v>4.5</v>
      </c>
      <c r="B44">
        <v>2.2999999999999998</v>
      </c>
      <c r="C44">
        <v>1.3</v>
      </c>
      <c r="D44">
        <v>0.3</v>
      </c>
      <c r="E44" t="s">
        <v>3</v>
      </c>
    </row>
    <row r="45" spans="1:5" x14ac:dyDescent="0.25">
      <c r="A45">
        <v>4.4000000000000004</v>
      </c>
      <c r="B45">
        <v>3.2</v>
      </c>
      <c r="C45">
        <v>1.3</v>
      </c>
      <c r="D45">
        <v>0.2</v>
      </c>
      <c r="E45" t="s">
        <v>3</v>
      </c>
    </row>
    <row r="46" spans="1:5" x14ac:dyDescent="0.25">
      <c r="A46">
        <v>5</v>
      </c>
      <c r="B46">
        <v>3.5</v>
      </c>
      <c r="C46">
        <v>1.6</v>
      </c>
      <c r="D46">
        <v>0.6</v>
      </c>
      <c r="E46" t="s">
        <v>3</v>
      </c>
    </row>
    <row r="47" spans="1:5" x14ac:dyDescent="0.25">
      <c r="A47">
        <v>5.0999999999999996</v>
      </c>
      <c r="B47">
        <v>3.8</v>
      </c>
      <c r="C47">
        <v>1.9</v>
      </c>
      <c r="D47">
        <v>0.4</v>
      </c>
      <c r="E47" t="s">
        <v>3</v>
      </c>
    </row>
    <row r="48" spans="1:5" x14ac:dyDescent="0.25">
      <c r="A48">
        <v>4.8</v>
      </c>
      <c r="B48">
        <v>3</v>
      </c>
      <c r="C48">
        <v>1.4</v>
      </c>
      <c r="D48">
        <v>0.3</v>
      </c>
      <c r="E48" t="s">
        <v>3</v>
      </c>
    </row>
    <row r="49" spans="1:5" x14ac:dyDescent="0.25">
      <c r="A49">
        <v>5.0999999999999996</v>
      </c>
      <c r="B49">
        <v>3.8</v>
      </c>
      <c r="C49">
        <v>1.6</v>
      </c>
      <c r="D49">
        <v>0.2</v>
      </c>
      <c r="E49" t="s">
        <v>3</v>
      </c>
    </row>
    <row r="50" spans="1:5" x14ac:dyDescent="0.25">
      <c r="A50">
        <v>4.5999999999999996</v>
      </c>
      <c r="B50">
        <v>3.2</v>
      </c>
      <c r="C50">
        <v>1.4</v>
      </c>
      <c r="D50">
        <v>0.2</v>
      </c>
      <c r="E50" t="s">
        <v>3</v>
      </c>
    </row>
    <row r="51" spans="1:5" x14ac:dyDescent="0.25">
      <c r="A51">
        <v>5.3</v>
      </c>
      <c r="B51">
        <v>3.7</v>
      </c>
      <c r="C51">
        <v>1.5</v>
      </c>
      <c r="D51">
        <v>0.2</v>
      </c>
      <c r="E51" t="s">
        <v>3</v>
      </c>
    </row>
    <row r="52" spans="1:5" x14ac:dyDescent="0.25">
      <c r="A52">
        <v>5</v>
      </c>
      <c r="B52">
        <v>3.3</v>
      </c>
      <c r="C52">
        <v>1.4</v>
      </c>
      <c r="D52">
        <v>0.2</v>
      </c>
      <c r="E52" t="s">
        <v>3</v>
      </c>
    </row>
    <row r="53" spans="1:5" x14ac:dyDescent="0.25">
      <c r="A53">
        <v>7</v>
      </c>
      <c r="B53">
        <v>3.2</v>
      </c>
      <c r="C53">
        <v>4.7</v>
      </c>
      <c r="D53">
        <v>1.4</v>
      </c>
      <c r="E53" t="s">
        <v>2</v>
      </c>
    </row>
    <row r="54" spans="1:5" x14ac:dyDescent="0.25">
      <c r="A54">
        <v>6.4</v>
      </c>
      <c r="B54">
        <v>3.2</v>
      </c>
      <c r="C54">
        <v>4.5</v>
      </c>
      <c r="D54">
        <v>1.5</v>
      </c>
      <c r="E54" t="s">
        <v>2</v>
      </c>
    </row>
    <row r="55" spans="1:5" x14ac:dyDescent="0.25">
      <c r="A55">
        <v>6.9</v>
      </c>
      <c r="B55">
        <v>3.1</v>
      </c>
      <c r="C55">
        <v>4.9000000000000004</v>
      </c>
      <c r="D55">
        <v>1.5</v>
      </c>
      <c r="E55" t="s">
        <v>2</v>
      </c>
    </row>
    <row r="56" spans="1:5" x14ac:dyDescent="0.25">
      <c r="A56">
        <v>5.5</v>
      </c>
      <c r="B56">
        <v>2.2999999999999998</v>
      </c>
      <c r="C56">
        <v>4</v>
      </c>
      <c r="D56">
        <v>1.3</v>
      </c>
      <c r="E56" t="s">
        <v>2</v>
      </c>
    </row>
    <row r="57" spans="1:5" x14ac:dyDescent="0.25">
      <c r="A57">
        <v>6.5</v>
      </c>
      <c r="B57">
        <v>2.8</v>
      </c>
      <c r="C57">
        <v>4.5999999999999996</v>
      </c>
      <c r="D57">
        <v>1.5</v>
      </c>
      <c r="E57" t="s">
        <v>2</v>
      </c>
    </row>
    <row r="58" spans="1:5" x14ac:dyDescent="0.25">
      <c r="A58">
        <v>5.7</v>
      </c>
      <c r="B58">
        <v>2.8</v>
      </c>
      <c r="C58">
        <v>4.5</v>
      </c>
      <c r="D58">
        <v>1.3</v>
      </c>
      <c r="E58" t="s">
        <v>2</v>
      </c>
    </row>
    <row r="59" spans="1:5" x14ac:dyDescent="0.25">
      <c r="A59">
        <v>6.3</v>
      </c>
      <c r="B59">
        <v>3.3</v>
      </c>
      <c r="C59">
        <v>4.7</v>
      </c>
      <c r="D59">
        <v>1.6</v>
      </c>
      <c r="E59" t="s">
        <v>2</v>
      </c>
    </row>
    <row r="60" spans="1:5" x14ac:dyDescent="0.25">
      <c r="A60">
        <v>4.9000000000000004</v>
      </c>
      <c r="B60">
        <v>2.4</v>
      </c>
      <c r="C60">
        <v>3.3</v>
      </c>
      <c r="D60">
        <v>1</v>
      </c>
      <c r="E60" t="s">
        <v>2</v>
      </c>
    </row>
    <row r="61" spans="1:5" x14ac:dyDescent="0.25">
      <c r="A61">
        <v>6.6</v>
      </c>
      <c r="B61">
        <v>2.9</v>
      </c>
      <c r="C61">
        <v>4.5999999999999996</v>
      </c>
      <c r="D61">
        <v>1.3</v>
      </c>
      <c r="E61" t="s">
        <v>2</v>
      </c>
    </row>
    <row r="62" spans="1:5" x14ac:dyDescent="0.25">
      <c r="A62">
        <v>5.2</v>
      </c>
      <c r="B62">
        <v>2.7</v>
      </c>
      <c r="C62">
        <v>3.9</v>
      </c>
      <c r="D62">
        <v>1.4</v>
      </c>
      <c r="E62" t="s">
        <v>2</v>
      </c>
    </row>
    <row r="63" spans="1:5" x14ac:dyDescent="0.25">
      <c r="A63">
        <v>5</v>
      </c>
      <c r="B63">
        <v>2</v>
      </c>
      <c r="C63">
        <v>3.5</v>
      </c>
      <c r="D63">
        <v>1</v>
      </c>
      <c r="E63" t="s">
        <v>2</v>
      </c>
    </row>
    <row r="64" spans="1:5" x14ac:dyDescent="0.25">
      <c r="A64">
        <v>5.9</v>
      </c>
      <c r="B64">
        <v>3</v>
      </c>
      <c r="C64">
        <v>4.2</v>
      </c>
      <c r="D64">
        <v>1.5</v>
      </c>
      <c r="E64" t="s">
        <v>2</v>
      </c>
    </row>
    <row r="65" spans="1:5" x14ac:dyDescent="0.25">
      <c r="A65">
        <v>6</v>
      </c>
      <c r="B65">
        <v>2.2000000000000002</v>
      </c>
      <c r="C65">
        <v>4</v>
      </c>
      <c r="D65">
        <v>1</v>
      </c>
      <c r="E65" t="s">
        <v>2</v>
      </c>
    </row>
    <row r="66" spans="1:5" x14ac:dyDescent="0.25">
      <c r="A66">
        <v>6.1</v>
      </c>
      <c r="B66">
        <v>2.9</v>
      </c>
      <c r="C66">
        <v>4.7</v>
      </c>
      <c r="D66">
        <v>1.4</v>
      </c>
      <c r="E66" t="s">
        <v>2</v>
      </c>
    </row>
    <row r="67" spans="1:5" x14ac:dyDescent="0.25">
      <c r="A67">
        <v>5.6</v>
      </c>
      <c r="B67">
        <v>2.9</v>
      </c>
      <c r="C67">
        <v>3.6</v>
      </c>
      <c r="D67">
        <v>1.3</v>
      </c>
      <c r="E67" t="s">
        <v>2</v>
      </c>
    </row>
    <row r="68" spans="1:5" x14ac:dyDescent="0.25">
      <c r="A68">
        <v>6.7</v>
      </c>
      <c r="B68">
        <v>3.1</v>
      </c>
      <c r="C68">
        <v>4.4000000000000004</v>
      </c>
      <c r="D68">
        <v>1.4</v>
      </c>
      <c r="E68" t="s">
        <v>2</v>
      </c>
    </row>
    <row r="69" spans="1:5" x14ac:dyDescent="0.25">
      <c r="A69">
        <v>5.6</v>
      </c>
      <c r="B69">
        <v>3</v>
      </c>
      <c r="C69">
        <v>4.5</v>
      </c>
      <c r="D69">
        <v>1.5</v>
      </c>
      <c r="E69" t="s">
        <v>2</v>
      </c>
    </row>
    <row r="70" spans="1:5" x14ac:dyDescent="0.25">
      <c r="A70">
        <v>5.8</v>
      </c>
      <c r="B70">
        <v>2.7</v>
      </c>
      <c r="C70">
        <v>4.0999999999999996</v>
      </c>
      <c r="D70">
        <v>1</v>
      </c>
      <c r="E70" t="s">
        <v>2</v>
      </c>
    </row>
    <row r="71" spans="1:5" x14ac:dyDescent="0.25">
      <c r="A71">
        <v>6.2</v>
      </c>
      <c r="B71">
        <v>2.2000000000000002</v>
      </c>
      <c r="C71">
        <v>4.5</v>
      </c>
      <c r="D71">
        <v>1.5</v>
      </c>
      <c r="E71" t="s">
        <v>2</v>
      </c>
    </row>
    <row r="72" spans="1:5" x14ac:dyDescent="0.25">
      <c r="A72">
        <v>5.6</v>
      </c>
      <c r="B72">
        <v>2.5</v>
      </c>
      <c r="C72">
        <v>3.9</v>
      </c>
      <c r="D72">
        <v>1.1000000000000001</v>
      </c>
      <c r="E72" t="s">
        <v>2</v>
      </c>
    </row>
    <row r="73" spans="1:5" x14ac:dyDescent="0.25">
      <c r="A73">
        <v>5.9</v>
      </c>
      <c r="B73">
        <v>3.2</v>
      </c>
      <c r="C73">
        <v>4.8</v>
      </c>
      <c r="D73">
        <v>1.8</v>
      </c>
      <c r="E73" t="s">
        <v>2</v>
      </c>
    </row>
    <row r="74" spans="1:5" x14ac:dyDescent="0.25">
      <c r="A74">
        <v>6.1</v>
      </c>
      <c r="B74">
        <v>2.8</v>
      </c>
      <c r="C74">
        <v>4</v>
      </c>
      <c r="D74">
        <v>1.3</v>
      </c>
      <c r="E74" t="s">
        <v>2</v>
      </c>
    </row>
    <row r="75" spans="1:5" x14ac:dyDescent="0.25">
      <c r="A75">
        <v>6.3</v>
      </c>
      <c r="B75">
        <v>2.5</v>
      </c>
      <c r="C75">
        <v>4.9000000000000004</v>
      </c>
      <c r="D75">
        <v>1.5</v>
      </c>
      <c r="E75" t="s">
        <v>2</v>
      </c>
    </row>
    <row r="76" spans="1:5" x14ac:dyDescent="0.25">
      <c r="A76">
        <v>6.1</v>
      </c>
      <c r="B76">
        <v>2.8</v>
      </c>
      <c r="C76">
        <v>4.7</v>
      </c>
      <c r="D76">
        <v>1.2</v>
      </c>
      <c r="E76" t="s">
        <v>2</v>
      </c>
    </row>
    <row r="77" spans="1:5" x14ac:dyDescent="0.25">
      <c r="A77">
        <v>6.4</v>
      </c>
      <c r="B77">
        <v>2.9</v>
      </c>
      <c r="C77">
        <v>4.3</v>
      </c>
      <c r="D77">
        <v>1.3</v>
      </c>
      <c r="E77" t="s">
        <v>2</v>
      </c>
    </row>
    <row r="78" spans="1:5" x14ac:dyDescent="0.25">
      <c r="A78">
        <v>6.6</v>
      </c>
      <c r="B78">
        <v>3</v>
      </c>
      <c r="C78">
        <v>4.4000000000000004</v>
      </c>
      <c r="D78">
        <v>1.4</v>
      </c>
      <c r="E78" t="s">
        <v>2</v>
      </c>
    </row>
    <row r="79" spans="1:5" x14ac:dyDescent="0.25">
      <c r="A79">
        <v>6.8</v>
      </c>
      <c r="B79">
        <v>2.8</v>
      </c>
      <c r="C79">
        <v>4.8</v>
      </c>
      <c r="D79">
        <v>1.4</v>
      </c>
      <c r="E79" t="s">
        <v>2</v>
      </c>
    </row>
    <row r="80" spans="1:5" x14ac:dyDescent="0.25">
      <c r="A80">
        <v>6.7</v>
      </c>
      <c r="B80">
        <v>3</v>
      </c>
      <c r="C80">
        <v>5</v>
      </c>
      <c r="D80">
        <v>1.7</v>
      </c>
      <c r="E80" t="s">
        <v>2</v>
      </c>
    </row>
    <row r="81" spans="1:5" x14ac:dyDescent="0.25">
      <c r="A81">
        <v>6</v>
      </c>
      <c r="B81">
        <v>2.9</v>
      </c>
      <c r="C81">
        <v>4.5</v>
      </c>
      <c r="D81">
        <v>1.5</v>
      </c>
      <c r="E81" t="s">
        <v>2</v>
      </c>
    </row>
    <row r="82" spans="1:5" x14ac:dyDescent="0.25">
      <c r="A82">
        <v>5.7</v>
      </c>
      <c r="B82">
        <v>2.6</v>
      </c>
      <c r="C82">
        <v>3.5</v>
      </c>
      <c r="D82">
        <v>1</v>
      </c>
      <c r="E82" t="s">
        <v>2</v>
      </c>
    </row>
    <row r="83" spans="1:5" x14ac:dyDescent="0.25">
      <c r="A83">
        <v>5.5</v>
      </c>
      <c r="B83">
        <v>2.4</v>
      </c>
      <c r="C83">
        <v>3.8</v>
      </c>
      <c r="D83">
        <v>1.1000000000000001</v>
      </c>
      <c r="E83" t="s">
        <v>2</v>
      </c>
    </row>
    <row r="84" spans="1:5" x14ac:dyDescent="0.25">
      <c r="A84">
        <v>5.5</v>
      </c>
      <c r="B84">
        <v>2.4</v>
      </c>
      <c r="C84">
        <v>3.7</v>
      </c>
      <c r="D84">
        <v>1</v>
      </c>
      <c r="E84" t="s">
        <v>2</v>
      </c>
    </row>
    <row r="85" spans="1:5" x14ac:dyDescent="0.25">
      <c r="A85">
        <v>5.8</v>
      </c>
      <c r="B85">
        <v>2.7</v>
      </c>
      <c r="C85">
        <v>3.9</v>
      </c>
      <c r="D85">
        <v>1.2</v>
      </c>
      <c r="E85" t="s">
        <v>2</v>
      </c>
    </row>
    <row r="86" spans="1:5" x14ac:dyDescent="0.25">
      <c r="A86">
        <v>6</v>
      </c>
      <c r="B86">
        <v>2.7</v>
      </c>
      <c r="C86">
        <v>5.0999999999999996</v>
      </c>
      <c r="D86">
        <v>1.6</v>
      </c>
      <c r="E86" t="s">
        <v>2</v>
      </c>
    </row>
    <row r="87" spans="1:5" x14ac:dyDescent="0.25">
      <c r="A87">
        <v>5.4</v>
      </c>
      <c r="B87">
        <v>3</v>
      </c>
      <c r="C87">
        <v>4.5</v>
      </c>
      <c r="D87">
        <v>1.5</v>
      </c>
      <c r="E87" t="s">
        <v>2</v>
      </c>
    </row>
    <row r="88" spans="1:5" x14ac:dyDescent="0.25">
      <c r="A88">
        <v>6</v>
      </c>
      <c r="B88">
        <v>3.4</v>
      </c>
      <c r="C88">
        <v>4.5</v>
      </c>
      <c r="D88">
        <v>1.6</v>
      </c>
      <c r="E88" t="s">
        <v>2</v>
      </c>
    </row>
    <row r="89" spans="1:5" x14ac:dyDescent="0.25">
      <c r="A89">
        <v>6.7</v>
      </c>
      <c r="B89">
        <v>3.1</v>
      </c>
      <c r="C89">
        <v>4.7</v>
      </c>
      <c r="D89">
        <v>1.5</v>
      </c>
      <c r="E89" t="s">
        <v>2</v>
      </c>
    </row>
    <row r="90" spans="1:5" x14ac:dyDescent="0.25">
      <c r="A90">
        <v>6.3</v>
      </c>
      <c r="B90">
        <v>2.2999999999999998</v>
      </c>
      <c r="C90">
        <v>4.4000000000000004</v>
      </c>
      <c r="D90">
        <v>1.3</v>
      </c>
      <c r="E90" t="s">
        <v>2</v>
      </c>
    </row>
    <row r="91" spans="1:5" x14ac:dyDescent="0.25">
      <c r="A91">
        <v>5.6</v>
      </c>
      <c r="B91">
        <v>3</v>
      </c>
      <c r="C91">
        <v>4.0999999999999996</v>
      </c>
      <c r="D91">
        <v>1.3</v>
      </c>
      <c r="E91" t="s">
        <v>2</v>
      </c>
    </row>
    <row r="92" spans="1:5" x14ac:dyDescent="0.25">
      <c r="A92">
        <v>5.5</v>
      </c>
      <c r="B92">
        <v>2.5</v>
      </c>
      <c r="C92">
        <v>4</v>
      </c>
      <c r="D92">
        <v>1.3</v>
      </c>
      <c r="E92" t="s">
        <v>2</v>
      </c>
    </row>
    <row r="93" spans="1:5" x14ac:dyDescent="0.25">
      <c r="A93">
        <v>5.5</v>
      </c>
      <c r="B93">
        <v>2.6</v>
      </c>
      <c r="C93">
        <v>4.4000000000000004</v>
      </c>
      <c r="D93">
        <v>1.2</v>
      </c>
      <c r="E93" t="s">
        <v>2</v>
      </c>
    </row>
    <row r="94" spans="1:5" x14ac:dyDescent="0.25">
      <c r="A94">
        <v>6.1</v>
      </c>
      <c r="B94">
        <v>3</v>
      </c>
      <c r="C94">
        <v>4.5999999999999996</v>
      </c>
      <c r="D94">
        <v>1.4</v>
      </c>
      <c r="E94" t="s">
        <v>2</v>
      </c>
    </row>
    <row r="95" spans="1:5" x14ac:dyDescent="0.25">
      <c r="A95">
        <v>5.8</v>
      </c>
      <c r="B95">
        <v>2.6</v>
      </c>
      <c r="C95">
        <v>4</v>
      </c>
      <c r="D95">
        <v>1.2</v>
      </c>
      <c r="E95" t="s">
        <v>2</v>
      </c>
    </row>
    <row r="96" spans="1:5" x14ac:dyDescent="0.25">
      <c r="A96">
        <v>5</v>
      </c>
      <c r="B96">
        <v>2.2999999999999998</v>
      </c>
      <c r="C96">
        <v>3.3</v>
      </c>
      <c r="D96">
        <v>1</v>
      </c>
      <c r="E96" t="s">
        <v>2</v>
      </c>
    </row>
    <row r="97" spans="1:5" x14ac:dyDescent="0.25">
      <c r="A97">
        <v>5.6</v>
      </c>
      <c r="B97">
        <v>2.7</v>
      </c>
      <c r="C97">
        <v>4.2</v>
      </c>
      <c r="D97">
        <v>1.3</v>
      </c>
      <c r="E97" t="s">
        <v>2</v>
      </c>
    </row>
    <row r="98" spans="1:5" x14ac:dyDescent="0.25">
      <c r="A98">
        <v>5.7</v>
      </c>
      <c r="B98">
        <v>3</v>
      </c>
      <c r="C98">
        <v>4.2</v>
      </c>
      <c r="D98">
        <v>1.2</v>
      </c>
      <c r="E98" t="s">
        <v>2</v>
      </c>
    </row>
    <row r="99" spans="1:5" x14ac:dyDescent="0.25">
      <c r="A99">
        <v>5.7</v>
      </c>
      <c r="B99">
        <v>2.9</v>
      </c>
      <c r="C99">
        <v>4.2</v>
      </c>
      <c r="D99">
        <v>1.3</v>
      </c>
      <c r="E99" t="s">
        <v>2</v>
      </c>
    </row>
    <row r="100" spans="1:5" x14ac:dyDescent="0.25">
      <c r="A100">
        <v>6.2</v>
      </c>
      <c r="B100">
        <v>2.9</v>
      </c>
      <c r="C100">
        <v>4.3</v>
      </c>
      <c r="D100">
        <v>1.3</v>
      </c>
      <c r="E100" t="s">
        <v>2</v>
      </c>
    </row>
    <row r="101" spans="1:5" x14ac:dyDescent="0.25">
      <c r="A101">
        <v>5.0999999999999996</v>
      </c>
      <c r="B101">
        <v>2.5</v>
      </c>
      <c r="C101">
        <v>3</v>
      </c>
      <c r="D101">
        <v>1.1000000000000001</v>
      </c>
      <c r="E101" t="s">
        <v>2</v>
      </c>
    </row>
    <row r="102" spans="1:5" x14ac:dyDescent="0.25">
      <c r="A102">
        <v>5.7</v>
      </c>
      <c r="B102">
        <v>2.8</v>
      </c>
      <c r="C102">
        <v>4.0999999999999996</v>
      </c>
      <c r="D102">
        <v>1.3</v>
      </c>
      <c r="E102" t="s">
        <v>2</v>
      </c>
    </row>
    <row r="103" spans="1:5" x14ac:dyDescent="0.25">
      <c r="A103">
        <v>6.3</v>
      </c>
      <c r="B103">
        <v>3.3</v>
      </c>
      <c r="C103">
        <v>6</v>
      </c>
      <c r="D103">
        <v>2.5</v>
      </c>
      <c r="E103" t="s">
        <v>1</v>
      </c>
    </row>
    <row r="104" spans="1:5" x14ac:dyDescent="0.25">
      <c r="A104">
        <v>5.8</v>
      </c>
      <c r="B104">
        <v>2.7</v>
      </c>
      <c r="C104">
        <v>5.0999999999999996</v>
      </c>
      <c r="D104">
        <v>1.9</v>
      </c>
      <c r="E104" t="s">
        <v>1</v>
      </c>
    </row>
    <row r="105" spans="1:5" x14ac:dyDescent="0.25">
      <c r="A105">
        <v>7.1</v>
      </c>
      <c r="B105">
        <v>3</v>
      </c>
      <c r="C105">
        <v>5.9</v>
      </c>
      <c r="D105">
        <v>2.1</v>
      </c>
      <c r="E105" t="s">
        <v>1</v>
      </c>
    </row>
    <row r="106" spans="1:5" x14ac:dyDescent="0.25">
      <c r="A106">
        <v>6.3</v>
      </c>
      <c r="B106">
        <v>2.9</v>
      </c>
      <c r="C106">
        <v>5.6</v>
      </c>
      <c r="D106">
        <v>1.8</v>
      </c>
      <c r="E106" t="s">
        <v>1</v>
      </c>
    </row>
    <row r="107" spans="1:5" x14ac:dyDescent="0.25">
      <c r="A107">
        <v>6.5</v>
      </c>
      <c r="B107">
        <v>3</v>
      </c>
      <c r="C107">
        <v>5.8</v>
      </c>
      <c r="D107">
        <v>2.2000000000000002</v>
      </c>
      <c r="E107" t="s">
        <v>1</v>
      </c>
    </row>
    <row r="108" spans="1:5" x14ac:dyDescent="0.25">
      <c r="A108">
        <v>7.6</v>
      </c>
      <c r="B108">
        <v>3</v>
      </c>
      <c r="C108">
        <v>6.6</v>
      </c>
      <c r="D108">
        <v>2.1</v>
      </c>
      <c r="E108" t="s">
        <v>1</v>
      </c>
    </row>
    <row r="109" spans="1:5" x14ac:dyDescent="0.25">
      <c r="A109">
        <v>4.9000000000000004</v>
      </c>
      <c r="B109">
        <v>2.5</v>
      </c>
      <c r="C109">
        <v>4.5</v>
      </c>
      <c r="D109">
        <v>1.7</v>
      </c>
      <c r="E109" t="s">
        <v>1</v>
      </c>
    </row>
    <row r="110" spans="1:5" x14ac:dyDescent="0.25">
      <c r="A110">
        <v>7.3</v>
      </c>
      <c r="B110">
        <v>2.9</v>
      </c>
      <c r="C110">
        <v>6.3</v>
      </c>
      <c r="D110">
        <v>1.8</v>
      </c>
      <c r="E110" t="s">
        <v>1</v>
      </c>
    </row>
    <row r="111" spans="1:5" x14ac:dyDescent="0.25">
      <c r="A111">
        <v>6.7</v>
      </c>
      <c r="B111">
        <v>2.5</v>
      </c>
      <c r="C111">
        <v>5.8</v>
      </c>
      <c r="D111">
        <v>1.8</v>
      </c>
      <c r="E111" t="s">
        <v>1</v>
      </c>
    </row>
    <row r="112" spans="1:5" x14ac:dyDescent="0.25">
      <c r="A112">
        <v>7.2</v>
      </c>
      <c r="B112">
        <v>3.6</v>
      </c>
      <c r="C112">
        <v>6.1</v>
      </c>
      <c r="D112">
        <v>2.5</v>
      </c>
      <c r="E112" t="s">
        <v>1</v>
      </c>
    </row>
    <row r="113" spans="1:5" x14ac:dyDescent="0.25">
      <c r="A113">
        <v>6.5</v>
      </c>
      <c r="B113">
        <v>3.2</v>
      </c>
      <c r="C113">
        <v>5.0999999999999996</v>
      </c>
      <c r="D113">
        <v>2</v>
      </c>
      <c r="E113" t="s">
        <v>1</v>
      </c>
    </row>
    <row r="114" spans="1:5" x14ac:dyDescent="0.25">
      <c r="A114">
        <v>6.4</v>
      </c>
      <c r="B114">
        <v>2.7</v>
      </c>
      <c r="C114">
        <v>5.3</v>
      </c>
      <c r="D114">
        <v>1.9</v>
      </c>
      <c r="E114" t="s">
        <v>1</v>
      </c>
    </row>
    <row r="115" spans="1:5" x14ac:dyDescent="0.25">
      <c r="A115">
        <v>6.8</v>
      </c>
      <c r="B115">
        <v>3</v>
      </c>
      <c r="C115">
        <v>5.5</v>
      </c>
      <c r="D115">
        <v>2.1</v>
      </c>
      <c r="E115" t="s">
        <v>1</v>
      </c>
    </row>
    <row r="116" spans="1:5" x14ac:dyDescent="0.25">
      <c r="A116">
        <v>5.7</v>
      </c>
      <c r="B116">
        <v>2.5</v>
      </c>
      <c r="C116">
        <v>5</v>
      </c>
      <c r="D116">
        <v>2</v>
      </c>
      <c r="E116" t="s">
        <v>1</v>
      </c>
    </row>
    <row r="117" spans="1:5" x14ac:dyDescent="0.25">
      <c r="A117">
        <v>5.8</v>
      </c>
      <c r="B117">
        <v>2.8</v>
      </c>
      <c r="C117">
        <v>5.0999999999999996</v>
      </c>
      <c r="D117">
        <v>2.4</v>
      </c>
      <c r="E117" t="s">
        <v>1</v>
      </c>
    </row>
    <row r="118" spans="1:5" x14ac:dyDescent="0.25">
      <c r="A118">
        <v>6.4</v>
      </c>
      <c r="B118">
        <v>3.2</v>
      </c>
      <c r="C118">
        <v>5.3</v>
      </c>
      <c r="D118">
        <v>2.2999999999999998</v>
      </c>
      <c r="E118" t="s">
        <v>1</v>
      </c>
    </row>
    <row r="119" spans="1:5" x14ac:dyDescent="0.25">
      <c r="A119">
        <v>6.5</v>
      </c>
      <c r="B119">
        <v>3</v>
      </c>
      <c r="C119">
        <v>5.5</v>
      </c>
      <c r="D119">
        <v>1.8</v>
      </c>
      <c r="E119" t="s">
        <v>1</v>
      </c>
    </row>
    <row r="120" spans="1:5" x14ac:dyDescent="0.25">
      <c r="A120">
        <v>7.7</v>
      </c>
      <c r="B120">
        <v>3.8</v>
      </c>
      <c r="C120">
        <v>6.7</v>
      </c>
      <c r="D120">
        <v>2.2000000000000002</v>
      </c>
      <c r="E120" t="s">
        <v>1</v>
      </c>
    </row>
    <row r="121" spans="1:5" x14ac:dyDescent="0.25">
      <c r="A121">
        <v>7.7</v>
      </c>
      <c r="B121">
        <v>2.6</v>
      </c>
      <c r="C121">
        <v>6.9</v>
      </c>
      <c r="D121">
        <v>2.2999999999999998</v>
      </c>
      <c r="E121" t="s">
        <v>1</v>
      </c>
    </row>
    <row r="122" spans="1:5" x14ac:dyDescent="0.25">
      <c r="A122">
        <v>6</v>
      </c>
      <c r="B122">
        <v>2.2000000000000002</v>
      </c>
      <c r="C122">
        <v>5</v>
      </c>
      <c r="D122">
        <v>1.5</v>
      </c>
      <c r="E122" t="s">
        <v>1</v>
      </c>
    </row>
    <row r="123" spans="1:5" x14ac:dyDescent="0.25">
      <c r="A123">
        <v>6.9</v>
      </c>
      <c r="B123">
        <v>3.2</v>
      </c>
      <c r="C123">
        <v>5.7</v>
      </c>
      <c r="D123">
        <v>2.2999999999999998</v>
      </c>
      <c r="E123" t="s">
        <v>1</v>
      </c>
    </row>
    <row r="124" spans="1:5" x14ac:dyDescent="0.25">
      <c r="A124">
        <v>5.6</v>
      </c>
      <c r="B124">
        <v>2.8</v>
      </c>
      <c r="C124">
        <v>4.9000000000000004</v>
      </c>
      <c r="D124">
        <v>2</v>
      </c>
      <c r="E124" t="s">
        <v>1</v>
      </c>
    </row>
    <row r="125" spans="1:5" x14ac:dyDescent="0.25">
      <c r="A125">
        <v>7.7</v>
      </c>
      <c r="B125">
        <v>2.8</v>
      </c>
      <c r="C125">
        <v>6.7</v>
      </c>
      <c r="D125">
        <v>2</v>
      </c>
      <c r="E125" t="s">
        <v>1</v>
      </c>
    </row>
    <row r="126" spans="1:5" x14ac:dyDescent="0.25">
      <c r="A126">
        <v>6.3</v>
      </c>
      <c r="B126">
        <v>2.7</v>
      </c>
      <c r="C126">
        <v>4.9000000000000004</v>
      </c>
      <c r="D126">
        <v>1.8</v>
      </c>
      <c r="E126" t="s">
        <v>1</v>
      </c>
    </row>
    <row r="127" spans="1:5" x14ac:dyDescent="0.25">
      <c r="A127">
        <v>6.7</v>
      </c>
      <c r="B127">
        <v>3.3</v>
      </c>
      <c r="C127">
        <v>5.7</v>
      </c>
      <c r="D127">
        <v>2.1</v>
      </c>
      <c r="E127" t="s">
        <v>1</v>
      </c>
    </row>
    <row r="128" spans="1:5" x14ac:dyDescent="0.25">
      <c r="A128">
        <v>7.2</v>
      </c>
      <c r="B128">
        <v>3.2</v>
      </c>
      <c r="C128">
        <v>6</v>
      </c>
      <c r="D128">
        <v>1.8</v>
      </c>
      <c r="E128" t="s">
        <v>1</v>
      </c>
    </row>
    <row r="129" spans="1:5" x14ac:dyDescent="0.25">
      <c r="A129">
        <v>6.2</v>
      </c>
      <c r="B129">
        <v>2.8</v>
      </c>
      <c r="C129">
        <v>4.8</v>
      </c>
      <c r="D129">
        <v>1.8</v>
      </c>
      <c r="E129" t="s">
        <v>1</v>
      </c>
    </row>
    <row r="130" spans="1:5" x14ac:dyDescent="0.25">
      <c r="A130">
        <v>6.1</v>
      </c>
      <c r="B130">
        <v>3</v>
      </c>
      <c r="C130">
        <v>4.9000000000000004</v>
      </c>
      <c r="D130">
        <v>1.8</v>
      </c>
      <c r="E130" t="s">
        <v>1</v>
      </c>
    </row>
    <row r="131" spans="1:5" x14ac:dyDescent="0.25">
      <c r="A131">
        <v>6.4</v>
      </c>
      <c r="B131">
        <v>2.8</v>
      </c>
      <c r="C131">
        <v>5.6</v>
      </c>
      <c r="D131">
        <v>2.1</v>
      </c>
      <c r="E131" t="s">
        <v>1</v>
      </c>
    </row>
    <row r="132" spans="1:5" x14ac:dyDescent="0.25">
      <c r="A132">
        <v>7.2</v>
      </c>
      <c r="B132">
        <v>3</v>
      </c>
      <c r="C132">
        <v>5.8</v>
      </c>
      <c r="D132">
        <v>1.6</v>
      </c>
      <c r="E132" t="s">
        <v>1</v>
      </c>
    </row>
    <row r="133" spans="1:5" x14ac:dyDescent="0.25">
      <c r="A133">
        <v>7.4</v>
      </c>
      <c r="B133">
        <v>2.8</v>
      </c>
      <c r="C133">
        <v>6.1</v>
      </c>
      <c r="D133">
        <v>1.9</v>
      </c>
      <c r="E133" t="s">
        <v>1</v>
      </c>
    </row>
    <row r="134" spans="1:5" x14ac:dyDescent="0.25">
      <c r="A134">
        <v>7.9</v>
      </c>
      <c r="B134">
        <v>3.8</v>
      </c>
      <c r="C134">
        <v>6.4</v>
      </c>
      <c r="D134">
        <v>2</v>
      </c>
      <c r="E134" t="s">
        <v>1</v>
      </c>
    </row>
    <row r="135" spans="1:5" x14ac:dyDescent="0.25">
      <c r="A135">
        <v>6.4</v>
      </c>
      <c r="B135">
        <v>2.8</v>
      </c>
      <c r="C135">
        <v>5.6</v>
      </c>
      <c r="D135">
        <v>2.2000000000000002</v>
      </c>
      <c r="E135" t="s">
        <v>1</v>
      </c>
    </row>
    <row r="136" spans="1:5" x14ac:dyDescent="0.25">
      <c r="A136">
        <v>6.3</v>
      </c>
      <c r="B136">
        <v>2.8</v>
      </c>
      <c r="C136">
        <v>5.0999999999999996</v>
      </c>
      <c r="D136">
        <v>1.5</v>
      </c>
      <c r="E136" t="s">
        <v>1</v>
      </c>
    </row>
    <row r="137" spans="1:5" x14ac:dyDescent="0.25">
      <c r="A137">
        <v>6.1</v>
      </c>
      <c r="B137">
        <v>2.6</v>
      </c>
      <c r="C137">
        <v>5.6</v>
      </c>
      <c r="D137">
        <v>1.4</v>
      </c>
      <c r="E137" t="s">
        <v>1</v>
      </c>
    </row>
    <row r="138" spans="1:5" x14ac:dyDescent="0.25">
      <c r="A138">
        <v>7.7</v>
      </c>
      <c r="B138">
        <v>3</v>
      </c>
      <c r="C138">
        <v>6.1</v>
      </c>
      <c r="D138">
        <v>2.2999999999999998</v>
      </c>
      <c r="E138" t="s">
        <v>1</v>
      </c>
    </row>
    <row r="139" spans="1:5" x14ac:dyDescent="0.25">
      <c r="A139">
        <v>6.3</v>
      </c>
      <c r="B139">
        <v>3.4</v>
      </c>
      <c r="C139">
        <v>5.6</v>
      </c>
      <c r="D139">
        <v>2.4</v>
      </c>
      <c r="E139" t="s">
        <v>1</v>
      </c>
    </row>
    <row r="140" spans="1:5" x14ac:dyDescent="0.25">
      <c r="A140">
        <v>6.4</v>
      </c>
      <c r="B140">
        <v>3.1</v>
      </c>
      <c r="C140">
        <v>5.5</v>
      </c>
      <c r="D140">
        <v>1.8</v>
      </c>
      <c r="E140" t="s">
        <v>1</v>
      </c>
    </row>
    <row r="141" spans="1:5" x14ac:dyDescent="0.25">
      <c r="A141">
        <v>6</v>
      </c>
      <c r="B141">
        <v>3</v>
      </c>
      <c r="C141">
        <v>4.8</v>
      </c>
      <c r="D141">
        <v>1.8</v>
      </c>
      <c r="E141" t="s">
        <v>1</v>
      </c>
    </row>
    <row r="142" spans="1:5" x14ac:dyDescent="0.25">
      <c r="A142">
        <v>6.9</v>
      </c>
      <c r="B142">
        <v>3.1</v>
      </c>
      <c r="C142">
        <v>5.4</v>
      </c>
      <c r="D142">
        <v>2.1</v>
      </c>
      <c r="E142" t="s">
        <v>1</v>
      </c>
    </row>
    <row r="143" spans="1:5" x14ac:dyDescent="0.25">
      <c r="A143">
        <v>6.7</v>
      </c>
      <c r="B143">
        <v>3.1</v>
      </c>
      <c r="C143">
        <v>5.6</v>
      </c>
      <c r="D143">
        <v>2.4</v>
      </c>
      <c r="E143" t="s">
        <v>1</v>
      </c>
    </row>
    <row r="144" spans="1:5" x14ac:dyDescent="0.25">
      <c r="A144">
        <v>6.9</v>
      </c>
      <c r="B144">
        <v>3.1</v>
      </c>
      <c r="C144">
        <v>5.0999999999999996</v>
      </c>
      <c r="D144">
        <v>2.2999999999999998</v>
      </c>
      <c r="E144" t="s">
        <v>1</v>
      </c>
    </row>
    <row r="145" spans="1:5" x14ac:dyDescent="0.25">
      <c r="A145">
        <v>5.8</v>
      </c>
      <c r="B145">
        <v>2.7</v>
      </c>
      <c r="C145">
        <v>5.0999999999999996</v>
      </c>
      <c r="D145">
        <v>1.9</v>
      </c>
      <c r="E145" t="s">
        <v>1</v>
      </c>
    </row>
    <row r="146" spans="1:5" x14ac:dyDescent="0.25">
      <c r="A146">
        <v>6.8</v>
      </c>
      <c r="B146">
        <v>3.2</v>
      </c>
      <c r="C146">
        <v>5.9</v>
      </c>
      <c r="D146">
        <v>2.2999999999999998</v>
      </c>
      <c r="E146" t="s">
        <v>1</v>
      </c>
    </row>
    <row r="147" spans="1:5" x14ac:dyDescent="0.25">
      <c r="A147">
        <v>6.7</v>
      </c>
      <c r="B147">
        <v>3.3</v>
      </c>
      <c r="C147">
        <v>5.7</v>
      </c>
      <c r="D147">
        <v>2.5</v>
      </c>
      <c r="E147" t="s">
        <v>1</v>
      </c>
    </row>
    <row r="148" spans="1:5" x14ac:dyDescent="0.25">
      <c r="A148">
        <v>6.7</v>
      </c>
      <c r="B148">
        <v>3</v>
      </c>
      <c r="C148">
        <v>5.2</v>
      </c>
      <c r="D148">
        <v>2.2999999999999998</v>
      </c>
      <c r="E148" t="s">
        <v>1</v>
      </c>
    </row>
    <row r="149" spans="1:5" x14ac:dyDescent="0.25">
      <c r="A149">
        <v>6.3</v>
      </c>
      <c r="B149">
        <v>2.5</v>
      </c>
      <c r="C149">
        <v>5</v>
      </c>
      <c r="D149">
        <v>1.9</v>
      </c>
      <c r="E149" t="s">
        <v>1</v>
      </c>
    </row>
    <row r="150" spans="1:5" x14ac:dyDescent="0.25">
      <c r="A150">
        <v>6.5</v>
      </c>
      <c r="B150">
        <v>3</v>
      </c>
      <c r="C150">
        <v>5.2</v>
      </c>
      <c r="D150">
        <v>2</v>
      </c>
      <c r="E150" t="s">
        <v>1</v>
      </c>
    </row>
    <row r="151" spans="1:5" x14ac:dyDescent="0.25">
      <c r="A151">
        <v>6.2</v>
      </c>
      <c r="B151">
        <v>3.4</v>
      </c>
      <c r="C151">
        <v>5.4</v>
      </c>
      <c r="D151">
        <v>2.2999999999999998</v>
      </c>
      <c r="E151" t="s">
        <v>1</v>
      </c>
    </row>
    <row r="152" spans="1:5" x14ac:dyDescent="0.25">
      <c r="A152">
        <v>5.9</v>
      </c>
      <c r="B152">
        <v>3</v>
      </c>
      <c r="C152">
        <v>5.0999999999999996</v>
      </c>
      <c r="D152">
        <v>1.8</v>
      </c>
      <c r="E152" t="s">
        <v>1</v>
      </c>
    </row>
    <row r="154" spans="1:5" x14ac:dyDescent="0.25">
      <c r="A154" s="1" t="s">
        <v>0</v>
      </c>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45960-0998-49E1-92CF-DC8AB878F6FC}">
  <dimension ref="A1:H154"/>
  <sheetViews>
    <sheetView workbookViewId="0">
      <selection activeCell="G3" sqref="G3"/>
    </sheetView>
  </sheetViews>
  <sheetFormatPr defaultRowHeight="15" x14ac:dyDescent="0.25"/>
  <cols>
    <col min="1" max="11" width="14.5703125" customWidth="1"/>
  </cols>
  <sheetData>
    <row r="1" spans="1:8" x14ac:dyDescent="0.25">
      <c r="A1" s="3" t="s">
        <v>9</v>
      </c>
      <c r="E1" s="3"/>
    </row>
    <row r="2" spans="1:8" x14ac:dyDescent="0.25">
      <c r="A2" t="s">
        <v>8</v>
      </c>
      <c r="B2" t="s">
        <v>7</v>
      </c>
      <c r="C2" t="s">
        <v>6</v>
      </c>
      <c r="D2" t="s">
        <v>5</v>
      </c>
      <c r="E2" t="s">
        <v>4</v>
      </c>
      <c r="G2" s="2" t="s">
        <v>10</v>
      </c>
      <c r="H2" s="2"/>
    </row>
    <row r="3" spans="1:8" x14ac:dyDescent="0.25">
      <c r="A3">
        <v>5.0999999999999996</v>
      </c>
      <c r="B3">
        <v>3.5</v>
      </c>
      <c r="C3">
        <v>1.4</v>
      </c>
      <c r="D3">
        <v>0.2</v>
      </c>
      <c r="E3" t="s">
        <v>3</v>
      </c>
      <c r="G3" t="e" cm="1" vm="4">
        <f t="array" ref="G3">_xlfn._xlws.PY(6,1,IrisDataSet26[#All])</f>
        <v>#VALUE!</v>
      </c>
    </row>
    <row r="4" spans="1:8" x14ac:dyDescent="0.25">
      <c r="A4">
        <v>4.9000000000000004</v>
      </c>
      <c r="B4">
        <v>3</v>
      </c>
      <c r="C4">
        <v>1.4</v>
      </c>
      <c r="D4">
        <v>0.2</v>
      </c>
      <c r="E4" t="s">
        <v>3</v>
      </c>
    </row>
    <row r="5" spans="1:8" x14ac:dyDescent="0.25">
      <c r="A5">
        <v>4.7</v>
      </c>
      <c r="B5">
        <v>3.2</v>
      </c>
      <c r="C5">
        <v>1.3</v>
      </c>
      <c r="D5">
        <v>0.2</v>
      </c>
      <c r="E5" t="s">
        <v>3</v>
      </c>
      <c r="H5" s="2"/>
    </row>
    <row r="6" spans="1:8" x14ac:dyDescent="0.25">
      <c r="A6">
        <v>4.5999999999999996</v>
      </c>
      <c r="B6">
        <v>3.1</v>
      </c>
      <c r="C6">
        <v>1.5</v>
      </c>
      <c r="D6">
        <v>0.2</v>
      </c>
      <c r="E6" t="s">
        <v>3</v>
      </c>
    </row>
    <row r="7" spans="1:8" x14ac:dyDescent="0.25">
      <c r="A7">
        <v>5</v>
      </c>
      <c r="B7">
        <v>3.6</v>
      </c>
      <c r="C7">
        <v>1.4</v>
      </c>
      <c r="D7">
        <v>0.2</v>
      </c>
      <c r="E7" t="s">
        <v>3</v>
      </c>
    </row>
    <row r="8" spans="1:8" x14ac:dyDescent="0.25">
      <c r="A8">
        <v>5.4</v>
      </c>
      <c r="B8">
        <v>3.9</v>
      </c>
      <c r="C8">
        <v>1.7</v>
      </c>
      <c r="D8">
        <v>0.4</v>
      </c>
      <c r="E8" t="s">
        <v>3</v>
      </c>
    </row>
    <row r="9" spans="1:8" x14ac:dyDescent="0.25">
      <c r="A9">
        <v>4.5999999999999996</v>
      </c>
      <c r="B9">
        <v>3.4</v>
      </c>
      <c r="C9">
        <v>1.4</v>
      </c>
      <c r="D9">
        <v>0.3</v>
      </c>
      <c r="E9" t="s">
        <v>3</v>
      </c>
    </row>
    <row r="10" spans="1:8" x14ac:dyDescent="0.25">
      <c r="A10">
        <v>5</v>
      </c>
      <c r="B10">
        <v>3.4</v>
      </c>
      <c r="C10">
        <v>1.5</v>
      </c>
      <c r="D10">
        <v>0.2</v>
      </c>
      <c r="E10" t="s">
        <v>3</v>
      </c>
    </row>
    <row r="11" spans="1:8" x14ac:dyDescent="0.25">
      <c r="A11">
        <v>4.4000000000000004</v>
      </c>
      <c r="B11">
        <v>2.9</v>
      </c>
      <c r="C11">
        <v>1.4</v>
      </c>
      <c r="D11">
        <v>0.2</v>
      </c>
      <c r="E11" t="s">
        <v>3</v>
      </c>
    </row>
    <row r="12" spans="1:8" x14ac:dyDescent="0.25">
      <c r="A12">
        <v>4.9000000000000004</v>
      </c>
      <c r="B12">
        <v>3.1</v>
      </c>
      <c r="C12">
        <v>1.5</v>
      </c>
      <c r="D12">
        <v>0.1</v>
      </c>
      <c r="E12" t="s">
        <v>3</v>
      </c>
    </row>
    <row r="13" spans="1:8" x14ac:dyDescent="0.25">
      <c r="A13">
        <v>5.4</v>
      </c>
      <c r="B13">
        <v>3.7</v>
      </c>
      <c r="C13">
        <v>1.5</v>
      </c>
      <c r="D13">
        <v>0.2</v>
      </c>
      <c r="E13" t="s">
        <v>3</v>
      </c>
    </row>
    <row r="14" spans="1:8" x14ac:dyDescent="0.25">
      <c r="A14">
        <v>4.8</v>
      </c>
      <c r="B14">
        <v>3.4</v>
      </c>
      <c r="C14">
        <v>1.6</v>
      </c>
      <c r="D14">
        <v>0.2</v>
      </c>
      <c r="E14" t="s">
        <v>3</v>
      </c>
    </row>
    <row r="15" spans="1:8" x14ac:dyDescent="0.25">
      <c r="A15">
        <v>4.8</v>
      </c>
      <c r="B15">
        <v>3</v>
      </c>
      <c r="C15">
        <v>1.4</v>
      </c>
      <c r="D15">
        <v>0.1</v>
      </c>
      <c r="E15" t="s">
        <v>3</v>
      </c>
    </row>
    <row r="16" spans="1:8" x14ac:dyDescent="0.25">
      <c r="A16">
        <v>4.3</v>
      </c>
      <c r="B16">
        <v>3</v>
      </c>
      <c r="C16">
        <v>1.1000000000000001</v>
      </c>
      <c r="D16">
        <v>0.1</v>
      </c>
      <c r="E16" t="s">
        <v>3</v>
      </c>
    </row>
    <row r="17" spans="1:5" x14ac:dyDescent="0.25">
      <c r="A17">
        <v>5.8</v>
      </c>
      <c r="B17">
        <v>4</v>
      </c>
      <c r="C17">
        <v>1.2</v>
      </c>
      <c r="D17">
        <v>0.2</v>
      </c>
      <c r="E17" t="s">
        <v>3</v>
      </c>
    </row>
    <row r="18" spans="1:5" x14ac:dyDescent="0.25">
      <c r="A18">
        <v>5.7</v>
      </c>
      <c r="B18">
        <v>4.4000000000000004</v>
      </c>
      <c r="C18">
        <v>1.5</v>
      </c>
      <c r="D18">
        <v>0.4</v>
      </c>
      <c r="E18" t="s">
        <v>3</v>
      </c>
    </row>
    <row r="19" spans="1:5" x14ac:dyDescent="0.25">
      <c r="A19">
        <v>5.4</v>
      </c>
      <c r="B19">
        <v>3.9</v>
      </c>
      <c r="C19">
        <v>1.3</v>
      </c>
      <c r="D19">
        <v>0.4</v>
      </c>
      <c r="E19" t="s">
        <v>3</v>
      </c>
    </row>
    <row r="20" spans="1:5" x14ac:dyDescent="0.25">
      <c r="A20">
        <v>5.0999999999999996</v>
      </c>
      <c r="B20">
        <v>3.5</v>
      </c>
      <c r="C20">
        <v>1.4</v>
      </c>
      <c r="D20">
        <v>0.3</v>
      </c>
      <c r="E20" t="s">
        <v>3</v>
      </c>
    </row>
    <row r="21" spans="1:5" x14ac:dyDescent="0.25">
      <c r="A21">
        <v>5.7</v>
      </c>
      <c r="B21">
        <v>3.8</v>
      </c>
      <c r="C21">
        <v>1.7</v>
      </c>
      <c r="D21">
        <v>0.3</v>
      </c>
      <c r="E21" t="s">
        <v>3</v>
      </c>
    </row>
    <row r="22" spans="1:5" x14ac:dyDescent="0.25">
      <c r="A22">
        <v>5.0999999999999996</v>
      </c>
      <c r="B22">
        <v>3.8</v>
      </c>
      <c r="C22">
        <v>1.5</v>
      </c>
      <c r="D22">
        <v>0.3</v>
      </c>
      <c r="E22" t="s">
        <v>3</v>
      </c>
    </row>
    <row r="23" spans="1:5" x14ac:dyDescent="0.25">
      <c r="A23">
        <v>5.4</v>
      </c>
      <c r="B23">
        <v>3.4</v>
      </c>
      <c r="C23">
        <v>1.7</v>
      </c>
      <c r="D23">
        <v>0.2</v>
      </c>
      <c r="E23" t="s">
        <v>3</v>
      </c>
    </row>
    <row r="24" spans="1:5" x14ac:dyDescent="0.25">
      <c r="A24">
        <v>5.0999999999999996</v>
      </c>
      <c r="B24">
        <v>3.7</v>
      </c>
      <c r="C24">
        <v>1.5</v>
      </c>
      <c r="D24">
        <v>0.4</v>
      </c>
      <c r="E24" t="s">
        <v>3</v>
      </c>
    </row>
    <row r="25" spans="1:5" x14ac:dyDescent="0.25">
      <c r="A25">
        <v>4.5999999999999996</v>
      </c>
      <c r="B25">
        <v>3.6</v>
      </c>
      <c r="C25">
        <v>1</v>
      </c>
      <c r="D25">
        <v>0.2</v>
      </c>
      <c r="E25" t="s">
        <v>3</v>
      </c>
    </row>
    <row r="26" spans="1:5" x14ac:dyDescent="0.25">
      <c r="A26">
        <v>5.0999999999999996</v>
      </c>
      <c r="B26">
        <v>3.3</v>
      </c>
      <c r="C26">
        <v>1.7</v>
      </c>
      <c r="D26">
        <v>0.5</v>
      </c>
      <c r="E26" t="s">
        <v>3</v>
      </c>
    </row>
    <row r="27" spans="1:5" x14ac:dyDescent="0.25">
      <c r="A27">
        <v>4.8</v>
      </c>
      <c r="B27">
        <v>3.4</v>
      </c>
      <c r="C27">
        <v>1.9</v>
      </c>
      <c r="D27">
        <v>0.2</v>
      </c>
      <c r="E27" t="s">
        <v>3</v>
      </c>
    </row>
    <row r="28" spans="1:5" x14ac:dyDescent="0.25">
      <c r="A28">
        <v>5</v>
      </c>
      <c r="B28">
        <v>3</v>
      </c>
      <c r="C28">
        <v>1.6</v>
      </c>
      <c r="D28">
        <v>0.2</v>
      </c>
      <c r="E28" t="s">
        <v>3</v>
      </c>
    </row>
    <row r="29" spans="1:5" x14ac:dyDescent="0.25">
      <c r="A29">
        <v>5</v>
      </c>
      <c r="B29">
        <v>3.4</v>
      </c>
      <c r="C29">
        <v>1.6</v>
      </c>
      <c r="D29">
        <v>0.4</v>
      </c>
      <c r="E29" t="s">
        <v>3</v>
      </c>
    </row>
    <row r="30" spans="1:5" x14ac:dyDescent="0.25">
      <c r="A30">
        <v>5.2</v>
      </c>
      <c r="B30">
        <v>3.5</v>
      </c>
      <c r="C30">
        <v>1.5</v>
      </c>
      <c r="D30">
        <v>0.2</v>
      </c>
      <c r="E30" t="s">
        <v>3</v>
      </c>
    </row>
    <row r="31" spans="1:5" x14ac:dyDescent="0.25">
      <c r="A31">
        <v>5.2</v>
      </c>
      <c r="B31">
        <v>3.4</v>
      </c>
      <c r="C31">
        <v>1.4</v>
      </c>
      <c r="D31">
        <v>0.2</v>
      </c>
      <c r="E31" t="s">
        <v>3</v>
      </c>
    </row>
    <row r="32" spans="1:5" x14ac:dyDescent="0.25">
      <c r="A32">
        <v>4.7</v>
      </c>
      <c r="B32">
        <v>3.2</v>
      </c>
      <c r="C32">
        <v>1.6</v>
      </c>
      <c r="D32">
        <v>0.2</v>
      </c>
      <c r="E32" t="s">
        <v>3</v>
      </c>
    </row>
    <row r="33" spans="1:5" x14ac:dyDescent="0.25">
      <c r="A33">
        <v>4.8</v>
      </c>
      <c r="B33">
        <v>3.1</v>
      </c>
      <c r="C33">
        <v>1.6</v>
      </c>
      <c r="D33">
        <v>0.2</v>
      </c>
      <c r="E33" t="s">
        <v>3</v>
      </c>
    </row>
    <row r="34" spans="1:5" x14ac:dyDescent="0.25">
      <c r="A34">
        <v>5.4</v>
      </c>
      <c r="B34">
        <v>3.4</v>
      </c>
      <c r="C34">
        <v>1.5</v>
      </c>
      <c r="D34">
        <v>0.4</v>
      </c>
      <c r="E34" t="s">
        <v>3</v>
      </c>
    </row>
    <row r="35" spans="1:5" x14ac:dyDescent="0.25">
      <c r="A35">
        <v>5.2</v>
      </c>
      <c r="B35">
        <v>4.0999999999999996</v>
      </c>
      <c r="C35">
        <v>1.5</v>
      </c>
      <c r="D35">
        <v>0.1</v>
      </c>
      <c r="E35" t="s">
        <v>3</v>
      </c>
    </row>
    <row r="36" spans="1:5" x14ac:dyDescent="0.25">
      <c r="A36">
        <v>5.5</v>
      </c>
      <c r="B36">
        <v>4.2</v>
      </c>
      <c r="C36">
        <v>1.4</v>
      </c>
      <c r="D36">
        <v>0.2</v>
      </c>
      <c r="E36" t="s">
        <v>3</v>
      </c>
    </row>
    <row r="37" spans="1:5" x14ac:dyDescent="0.25">
      <c r="A37">
        <v>4.9000000000000004</v>
      </c>
      <c r="B37">
        <v>3.1</v>
      </c>
      <c r="C37">
        <v>1.5</v>
      </c>
      <c r="D37">
        <v>0.1</v>
      </c>
      <c r="E37" t="s">
        <v>3</v>
      </c>
    </row>
    <row r="38" spans="1:5" x14ac:dyDescent="0.25">
      <c r="A38">
        <v>5</v>
      </c>
      <c r="B38">
        <v>3.2</v>
      </c>
      <c r="C38">
        <v>1.2</v>
      </c>
      <c r="D38">
        <v>0.2</v>
      </c>
      <c r="E38" t="s">
        <v>3</v>
      </c>
    </row>
    <row r="39" spans="1:5" x14ac:dyDescent="0.25">
      <c r="A39">
        <v>5.5</v>
      </c>
      <c r="B39">
        <v>3.5</v>
      </c>
      <c r="C39">
        <v>1.3</v>
      </c>
      <c r="D39">
        <v>0.2</v>
      </c>
      <c r="E39" t="s">
        <v>3</v>
      </c>
    </row>
    <row r="40" spans="1:5" x14ac:dyDescent="0.25">
      <c r="A40">
        <v>4.9000000000000004</v>
      </c>
      <c r="B40">
        <v>3.1</v>
      </c>
      <c r="C40">
        <v>1.5</v>
      </c>
      <c r="D40">
        <v>0.1</v>
      </c>
      <c r="E40" t="s">
        <v>3</v>
      </c>
    </row>
    <row r="41" spans="1:5" x14ac:dyDescent="0.25">
      <c r="A41">
        <v>4.4000000000000004</v>
      </c>
      <c r="B41">
        <v>3</v>
      </c>
      <c r="C41">
        <v>1.3</v>
      </c>
      <c r="D41">
        <v>0.2</v>
      </c>
      <c r="E41" t="s">
        <v>3</v>
      </c>
    </row>
    <row r="42" spans="1:5" x14ac:dyDescent="0.25">
      <c r="A42">
        <v>5.0999999999999996</v>
      </c>
      <c r="B42">
        <v>3.4</v>
      </c>
      <c r="C42">
        <v>1.5</v>
      </c>
      <c r="D42">
        <v>0.2</v>
      </c>
      <c r="E42" t="s">
        <v>3</v>
      </c>
    </row>
    <row r="43" spans="1:5" x14ac:dyDescent="0.25">
      <c r="A43">
        <v>5</v>
      </c>
      <c r="B43">
        <v>3.5</v>
      </c>
      <c r="C43">
        <v>1.3</v>
      </c>
      <c r="D43">
        <v>0.3</v>
      </c>
      <c r="E43" t="s">
        <v>3</v>
      </c>
    </row>
    <row r="44" spans="1:5" x14ac:dyDescent="0.25">
      <c r="A44">
        <v>4.5</v>
      </c>
      <c r="B44">
        <v>2.2999999999999998</v>
      </c>
      <c r="C44">
        <v>1.3</v>
      </c>
      <c r="D44">
        <v>0.3</v>
      </c>
      <c r="E44" t="s">
        <v>3</v>
      </c>
    </row>
    <row r="45" spans="1:5" x14ac:dyDescent="0.25">
      <c r="A45">
        <v>4.4000000000000004</v>
      </c>
      <c r="B45">
        <v>3.2</v>
      </c>
      <c r="C45">
        <v>1.3</v>
      </c>
      <c r="D45">
        <v>0.2</v>
      </c>
      <c r="E45" t="s">
        <v>3</v>
      </c>
    </row>
    <row r="46" spans="1:5" x14ac:dyDescent="0.25">
      <c r="A46">
        <v>5</v>
      </c>
      <c r="B46">
        <v>3.5</v>
      </c>
      <c r="C46">
        <v>1.6</v>
      </c>
      <c r="D46">
        <v>0.6</v>
      </c>
      <c r="E46" t="s">
        <v>3</v>
      </c>
    </row>
    <row r="47" spans="1:5" x14ac:dyDescent="0.25">
      <c r="A47">
        <v>5.0999999999999996</v>
      </c>
      <c r="B47">
        <v>3.8</v>
      </c>
      <c r="C47">
        <v>1.9</v>
      </c>
      <c r="D47">
        <v>0.4</v>
      </c>
      <c r="E47" t="s">
        <v>3</v>
      </c>
    </row>
    <row r="48" spans="1:5" x14ac:dyDescent="0.25">
      <c r="A48">
        <v>4.8</v>
      </c>
      <c r="B48">
        <v>3</v>
      </c>
      <c r="C48">
        <v>1.4</v>
      </c>
      <c r="D48">
        <v>0.3</v>
      </c>
      <c r="E48" t="s">
        <v>3</v>
      </c>
    </row>
    <row r="49" spans="1:5" x14ac:dyDescent="0.25">
      <c r="A49">
        <v>5.0999999999999996</v>
      </c>
      <c r="B49">
        <v>3.8</v>
      </c>
      <c r="C49">
        <v>1.6</v>
      </c>
      <c r="D49">
        <v>0.2</v>
      </c>
      <c r="E49" t="s">
        <v>3</v>
      </c>
    </row>
    <row r="50" spans="1:5" x14ac:dyDescent="0.25">
      <c r="A50">
        <v>4.5999999999999996</v>
      </c>
      <c r="B50">
        <v>3.2</v>
      </c>
      <c r="C50">
        <v>1.4</v>
      </c>
      <c r="D50">
        <v>0.2</v>
      </c>
      <c r="E50" t="s">
        <v>3</v>
      </c>
    </row>
    <row r="51" spans="1:5" x14ac:dyDescent="0.25">
      <c r="A51">
        <v>5.3</v>
      </c>
      <c r="B51">
        <v>3.7</v>
      </c>
      <c r="C51">
        <v>1.5</v>
      </c>
      <c r="D51">
        <v>0.2</v>
      </c>
      <c r="E51" t="s">
        <v>3</v>
      </c>
    </row>
    <row r="52" spans="1:5" x14ac:dyDescent="0.25">
      <c r="A52">
        <v>5</v>
      </c>
      <c r="B52">
        <v>3.3</v>
      </c>
      <c r="C52">
        <v>1.4</v>
      </c>
      <c r="D52">
        <v>0.2</v>
      </c>
      <c r="E52" t="s">
        <v>3</v>
      </c>
    </row>
    <row r="53" spans="1:5" x14ac:dyDescent="0.25">
      <c r="A53">
        <v>7</v>
      </c>
      <c r="B53">
        <v>3.2</v>
      </c>
      <c r="C53">
        <v>4.7</v>
      </c>
      <c r="D53">
        <v>1.4</v>
      </c>
      <c r="E53" t="s">
        <v>2</v>
      </c>
    </row>
    <row r="54" spans="1:5" x14ac:dyDescent="0.25">
      <c r="A54">
        <v>6.4</v>
      </c>
      <c r="B54">
        <v>3.2</v>
      </c>
      <c r="C54">
        <v>4.5</v>
      </c>
      <c r="D54">
        <v>1.5</v>
      </c>
      <c r="E54" t="s">
        <v>2</v>
      </c>
    </row>
    <row r="55" spans="1:5" x14ac:dyDescent="0.25">
      <c r="A55">
        <v>6.9</v>
      </c>
      <c r="B55">
        <v>3.1</v>
      </c>
      <c r="C55">
        <v>4.9000000000000004</v>
      </c>
      <c r="D55">
        <v>1.5</v>
      </c>
      <c r="E55" t="s">
        <v>2</v>
      </c>
    </row>
    <row r="56" spans="1:5" x14ac:dyDescent="0.25">
      <c r="A56">
        <v>5.5</v>
      </c>
      <c r="B56">
        <v>2.2999999999999998</v>
      </c>
      <c r="C56">
        <v>4</v>
      </c>
      <c r="D56">
        <v>1.3</v>
      </c>
      <c r="E56" t="s">
        <v>2</v>
      </c>
    </row>
    <row r="57" spans="1:5" x14ac:dyDescent="0.25">
      <c r="A57">
        <v>6.5</v>
      </c>
      <c r="B57">
        <v>2.8</v>
      </c>
      <c r="C57">
        <v>4.5999999999999996</v>
      </c>
      <c r="D57">
        <v>1.5</v>
      </c>
      <c r="E57" t="s">
        <v>2</v>
      </c>
    </row>
    <row r="58" spans="1:5" x14ac:dyDescent="0.25">
      <c r="A58">
        <v>5.7</v>
      </c>
      <c r="B58">
        <v>2.8</v>
      </c>
      <c r="C58">
        <v>4.5</v>
      </c>
      <c r="D58">
        <v>1.3</v>
      </c>
      <c r="E58" t="s">
        <v>2</v>
      </c>
    </row>
    <row r="59" spans="1:5" x14ac:dyDescent="0.25">
      <c r="A59">
        <v>6.3</v>
      </c>
      <c r="B59">
        <v>3.3</v>
      </c>
      <c r="C59">
        <v>4.7</v>
      </c>
      <c r="D59">
        <v>1.6</v>
      </c>
      <c r="E59" t="s">
        <v>2</v>
      </c>
    </row>
    <row r="60" spans="1:5" x14ac:dyDescent="0.25">
      <c r="A60">
        <v>4.9000000000000004</v>
      </c>
      <c r="B60">
        <v>2.4</v>
      </c>
      <c r="C60">
        <v>3.3</v>
      </c>
      <c r="D60">
        <v>1</v>
      </c>
      <c r="E60" t="s">
        <v>2</v>
      </c>
    </row>
    <row r="61" spans="1:5" x14ac:dyDescent="0.25">
      <c r="A61">
        <v>6.6</v>
      </c>
      <c r="B61">
        <v>2.9</v>
      </c>
      <c r="C61">
        <v>4.5999999999999996</v>
      </c>
      <c r="D61">
        <v>1.3</v>
      </c>
      <c r="E61" t="s">
        <v>2</v>
      </c>
    </row>
    <row r="62" spans="1:5" x14ac:dyDescent="0.25">
      <c r="A62">
        <v>5.2</v>
      </c>
      <c r="B62">
        <v>2.7</v>
      </c>
      <c r="C62">
        <v>3.9</v>
      </c>
      <c r="D62">
        <v>1.4</v>
      </c>
      <c r="E62" t="s">
        <v>2</v>
      </c>
    </row>
    <row r="63" spans="1:5" x14ac:dyDescent="0.25">
      <c r="A63">
        <v>5</v>
      </c>
      <c r="B63">
        <v>2</v>
      </c>
      <c r="C63">
        <v>3.5</v>
      </c>
      <c r="D63">
        <v>1</v>
      </c>
      <c r="E63" t="s">
        <v>2</v>
      </c>
    </row>
    <row r="64" spans="1:5" x14ac:dyDescent="0.25">
      <c r="A64">
        <v>5.9</v>
      </c>
      <c r="B64">
        <v>3</v>
      </c>
      <c r="C64">
        <v>4.2</v>
      </c>
      <c r="D64">
        <v>1.5</v>
      </c>
      <c r="E64" t="s">
        <v>2</v>
      </c>
    </row>
    <row r="65" spans="1:5" x14ac:dyDescent="0.25">
      <c r="A65">
        <v>6</v>
      </c>
      <c r="B65">
        <v>2.2000000000000002</v>
      </c>
      <c r="C65">
        <v>4</v>
      </c>
      <c r="D65">
        <v>1</v>
      </c>
      <c r="E65" t="s">
        <v>2</v>
      </c>
    </row>
    <row r="66" spans="1:5" x14ac:dyDescent="0.25">
      <c r="A66">
        <v>6.1</v>
      </c>
      <c r="B66">
        <v>2.9</v>
      </c>
      <c r="C66">
        <v>4.7</v>
      </c>
      <c r="D66">
        <v>1.4</v>
      </c>
      <c r="E66" t="s">
        <v>2</v>
      </c>
    </row>
    <row r="67" spans="1:5" x14ac:dyDescent="0.25">
      <c r="A67">
        <v>5.6</v>
      </c>
      <c r="B67">
        <v>2.9</v>
      </c>
      <c r="C67">
        <v>3.6</v>
      </c>
      <c r="D67">
        <v>1.3</v>
      </c>
      <c r="E67" t="s">
        <v>2</v>
      </c>
    </row>
    <row r="68" spans="1:5" x14ac:dyDescent="0.25">
      <c r="A68">
        <v>6.7</v>
      </c>
      <c r="B68">
        <v>3.1</v>
      </c>
      <c r="C68">
        <v>4.4000000000000004</v>
      </c>
      <c r="D68">
        <v>1.4</v>
      </c>
      <c r="E68" t="s">
        <v>2</v>
      </c>
    </row>
    <row r="69" spans="1:5" x14ac:dyDescent="0.25">
      <c r="A69">
        <v>5.6</v>
      </c>
      <c r="B69">
        <v>3</v>
      </c>
      <c r="C69">
        <v>4.5</v>
      </c>
      <c r="D69">
        <v>1.5</v>
      </c>
      <c r="E69" t="s">
        <v>2</v>
      </c>
    </row>
    <row r="70" spans="1:5" x14ac:dyDescent="0.25">
      <c r="A70">
        <v>5.8</v>
      </c>
      <c r="B70">
        <v>2.7</v>
      </c>
      <c r="C70">
        <v>4.0999999999999996</v>
      </c>
      <c r="D70">
        <v>1</v>
      </c>
      <c r="E70" t="s">
        <v>2</v>
      </c>
    </row>
    <row r="71" spans="1:5" x14ac:dyDescent="0.25">
      <c r="A71">
        <v>6.2</v>
      </c>
      <c r="B71">
        <v>2.2000000000000002</v>
      </c>
      <c r="C71">
        <v>4.5</v>
      </c>
      <c r="D71">
        <v>1.5</v>
      </c>
      <c r="E71" t="s">
        <v>2</v>
      </c>
    </row>
    <row r="72" spans="1:5" x14ac:dyDescent="0.25">
      <c r="A72">
        <v>5.6</v>
      </c>
      <c r="B72">
        <v>2.5</v>
      </c>
      <c r="C72">
        <v>3.9</v>
      </c>
      <c r="D72">
        <v>1.1000000000000001</v>
      </c>
      <c r="E72" t="s">
        <v>2</v>
      </c>
    </row>
    <row r="73" spans="1:5" x14ac:dyDescent="0.25">
      <c r="A73">
        <v>5.9</v>
      </c>
      <c r="B73">
        <v>3.2</v>
      </c>
      <c r="C73">
        <v>4.8</v>
      </c>
      <c r="D73">
        <v>1.8</v>
      </c>
      <c r="E73" t="s">
        <v>2</v>
      </c>
    </row>
    <row r="74" spans="1:5" x14ac:dyDescent="0.25">
      <c r="A74">
        <v>6.1</v>
      </c>
      <c r="B74">
        <v>2.8</v>
      </c>
      <c r="C74">
        <v>4</v>
      </c>
      <c r="D74">
        <v>1.3</v>
      </c>
      <c r="E74" t="s">
        <v>2</v>
      </c>
    </row>
    <row r="75" spans="1:5" x14ac:dyDescent="0.25">
      <c r="A75">
        <v>6.3</v>
      </c>
      <c r="B75">
        <v>2.5</v>
      </c>
      <c r="C75">
        <v>4.9000000000000004</v>
      </c>
      <c r="D75">
        <v>1.5</v>
      </c>
      <c r="E75" t="s">
        <v>2</v>
      </c>
    </row>
    <row r="76" spans="1:5" x14ac:dyDescent="0.25">
      <c r="A76">
        <v>6.1</v>
      </c>
      <c r="B76">
        <v>2.8</v>
      </c>
      <c r="C76">
        <v>4.7</v>
      </c>
      <c r="D76">
        <v>1.2</v>
      </c>
      <c r="E76" t="s">
        <v>2</v>
      </c>
    </row>
    <row r="77" spans="1:5" x14ac:dyDescent="0.25">
      <c r="A77">
        <v>6.4</v>
      </c>
      <c r="B77">
        <v>2.9</v>
      </c>
      <c r="C77">
        <v>4.3</v>
      </c>
      <c r="D77">
        <v>1.3</v>
      </c>
      <c r="E77" t="s">
        <v>2</v>
      </c>
    </row>
    <row r="78" spans="1:5" x14ac:dyDescent="0.25">
      <c r="A78">
        <v>6.6</v>
      </c>
      <c r="B78">
        <v>3</v>
      </c>
      <c r="C78">
        <v>4.4000000000000004</v>
      </c>
      <c r="D78">
        <v>1.4</v>
      </c>
      <c r="E78" t="s">
        <v>2</v>
      </c>
    </row>
    <row r="79" spans="1:5" x14ac:dyDescent="0.25">
      <c r="A79">
        <v>6.8</v>
      </c>
      <c r="B79">
        <v>2.8</v>
      </c>
      <c r="C79">
        <v>4.8</v>
      </c>
      <c r="D79">
        <v>1.4</v>
      </c>
      <c r="E79" t="s">
        <v>2</v>
      </c>
    </row>
    <row r="80" spans="1:5" x14ac:dyDescent="0.25">
      <c r="A80">
        <v>6.7</v>
      </c>
      <c r="B80">
        <v>3</v>
      </c>
      <c r="C80">
        <v>5</v>
      </c>
      <c r="D80">
        <v>1.7</v>
      </c>
      <c r="E80" t="s">
        <v>2</v>
      </c>
    </row>
    <row r="81" spans="1:5" x14ac:dyDescent="0.25">
      <c r="A81">
        <v>6</v>
      </c>
      <c r="B81">
        <v>2.9</v>
      </c>
      <c r="C81">
        <v>4.5</v>
      </c>
      <c r="D81">
        <v>1.5</v>
      </c>
      <c r="E81" t="s">
        <v>2</v>
      </c>
    </row>
    <row r="82" spans="1:5" x14ac:dyDescent="0.25">
      <c r="A82">
        <v>5.7</v>
      </c>
      <c r="B82">
        <v>2.6</v>
      </c>
      <c r="C82">
        <v>3.5</v>
      </c>
      <c r="D82">
        <v>1</v>
      </c>
      <c r="E82" t="s">
        <v>2</v>
      </c>
    </row>
    <row r="83" spans="1:5" x14ac:dyDescent="0.25">
      <c r="A83">
        <v>5.5</v>
      </c>
      <c r="B83">
        <v>2.4</v>
      </c>
      <c r="C83">
        <v>3.8</v>
      </c>
      <c r="D83">
        <v>1.1000000000000001</v>
      </c>
      <c r="E83" t="s">
        <v>2</v>
      </c>
    </row>
    <row r="84" spans="1:5" x14ac:dyDescent="0.25">
      <c r="A84">
        <v>5.5</v>
      </c>
      <c r="B84">
        <v>2.4</v>
      </c>
      <c r="C84">
        <v>3.7</v>
      </c>
      <c r="D84">
        <v>1</v>
      </c>
      <c r="E84" t="s">
        <v>2</v>
      </c>
    </row>
    <row r="85" spans="1:5" x14ac:dyDescent="0.25">
      <c r="A85">
        <v>5.8</v>
      </c>
      <c r="B85">
        <v>2.7</v>
      </c>
      <c r="C85">
        <v>3.9</v>
      </c>
      <c r="D85">
        <v>1.2</v>
      </c>
      <c r="E85" t="s">
        <v>2</v>
      </c>
    </row>
    <row r="86" spans="1:5" x14ac:dyDescent="0.25">
      <c r="A86">
        <v>6</v>
      </c>
      <c r="B86">
        <v>2.7</v>
      </c>
      <c r="C86">
        <v>5.0999999999999996</v>
      </c>
      <c r="D86">
        <v>1.6</v>
      </c>
      <c r="E86" t="s">
        <v>2</v>
      </c>
    </row>
    <row r="87" spans="1:5" x14ac:dyDescent="0.25">
      <c r="A87">
        <v>5.4</v>
      </c>
      <c r="B87">
        <v>3</v>
      </c>
      <c r="C87">
        <v>4.5</v>
      </c>
      <c r="D87">
        <v>1.5</v>
      </c>
      <c r="E87" t="s">
        <v>2</v>
      </c>
    </row>
    <row r="88" spans="1:5" x14ac:dyDescent="0.25">
      <c r="A88">
        <v>6</v>
      </c>
      <c r="B88">
        <v>3.4</v>
      </c>
      <c r="C88">
        <v>4.5</v>
      </c>
      <c r="D88">
        <v>1.6</v>
      </c>
      <c r="E88" t="s">
        <v>2</v>
      </c>
    </row>
    <row r="89" spans="1:5" x14ac:dyDescent="0.25">
      <c r="A89">
        <v>6.7</v>
      </c>
      <c r="B89">
        <v>3.1</v>
      </c>
      <c r="C89">
        <v>4.7</v>
      </c>
      <c r="D89">
        <v>1.5</v>
      </c>
      <c r="E89" t="s">
        <v>2</v>
      </c>
    </row>
    <row r="90" spans="1:5" x14ac:dyDescent="0.25">
      <c r="A90">
        <v>6.3</v>
      </c>
      <c r="B90">
        <v>2.2999999999999998</v>
      </c>
      <c r="C90">
        <v>4.4000000000000004</v>
      </c>
      <c r="D90">
        <v>1.3</v>
      </c>
      <c r="E90" t="s">
        <v>2</v>
      </c>
    </row>
    <row r="91" spans="1:5" x14ac:dyDescent="0.25">
      <c r="A91">
        <v>5.6</v>
      </c>
      <c r="B91">
        <v>3</v>
      </c>
      <c r="C91">
        <v>4.0999999999999996</v>
      </c>
      <c r="D91">
        <v>1.3</v>
      </c>
      <c r="E91" t="s">
        <v>2</v>
      </c>
    </row>
    <row r="92" spans="1:5" x14ac:dyDescent="0.25">
      <c r="A92">
        <v>5.5</v>
      </c>
      <c r="B92">
        <v>2.5</v>
      </c>
      <c r="C92">
        <v>4</v>
      </c>
      <c r="D92">
        <v>1.3</v>
      </c>
      <c r="E92" t="s">
        <v>2</v>
      </c>
    </row>
    <row r="93" spans="1:5" x14ac:dyDescent="0.25">
      <c r="A93">
        <v>5.5</v>
      </c>
      <c r="B93">
        <v>2.6</v>
      </c>
      <c r="C93">
        <v>4.4000000000000004</v>
      </c>
      <c r="D93">
        <v>1.2</v>
      </c>
      <c r="E93" t="s">
        <v>2</v>
      </c>
    </row>
    <row r="94" spans="1:5" x14ac:dyDescent="0.25">
      <c r="A94">
        <v>6.1</v>
      </c>
      <c r="B94">
        <v>3</v>
      </c>
      <c r="C94">
        <v>4.5999999999999996</v>
      </c>
      <c r="D94">
        <v>1.4</v>
      </c>
      <c r="E94" t="s">
        <v>2</v>
      </c>
    </row>
    <row r="95" spans="1:5" x14ac:dyDescent="0.25">
      <c r="A95">
        <v>5.8</v>
      </c>
      <c r="B95">
        <v>2.6</v>
      </c>
      <c r="C95">
        <v>4</v>
      </c>
      <c r="D95">
        <v>1.2</v>
      </c>
      <c r="E95" t="s">
        <v>2</v>
      </c>
    </row>
    <row r="96" spans="1:5" x14ac:dyDescent="0.25">
      <c r="A96">
        <v>5</v>
      </c>
      <c r="B96">
        <v>2.2999999999999998</v>
      </c>
      <c r="C96">
        <v>3.3</v>
      </c>
      <c r="D96">
        <v>1</v>
      </c>
      <c r="E96" t="s">
        <v>2</v>
      </c>
    </row>
    <row r="97" spans="1:5" x14ac:dyDescent="0.25">
      <c r="A97">
        <v>5.6</v>
      </c>
      <c r="B97">
        <v>2.7</v>
      </c>
      <c r="C97">
        <v>4.2</v>
      </c>
      <c r="D97">
        <v>1.3</v>
      </c>
      <c r="E97" t="s">
        <v>2</v>
      </c>
    </row>
    <row r="98" spans="1:5" x14ac:dyDescent="0.25">
      <c r="A98">
        <v>5.7</v>
      </c>
      <c r="B98">
        <v>3</v>
      </c>
      <c r="C98">
        <v>4.2</v>
      </c>
      <c r="D98">
        <v>1.2</v>
      </c>
      <c r="E98" t="s">
        <v>2</v>
      </c>
    </row>
    <row r="99" spans="1:5" x14ac:dyDescent="0.25">
      <c r="A99">
        <v>5.7</v>
      </c>
      <c r="B99">
        <v>2.9</v>
      </c>
      <c r="C99">
        <v>4.2</v>
      </c>
      <c r="D99">
        <v>1.3</v>
      </c>
      <c r="E99" t="s">
        <v>2</v>
      </c>
    </row>
    <row r="100" spans="1:5" x14ac:dyDescent="0.25">
      <c r="A100">
        <v>6.2</v>
      </c>
      <c r="B100">
        <v>2.9</v>
      </c>
      <c r="C100">
        <v>4.3</v>
      </c>
      <c r="D100">
        <v>1.3</v>
      </c>
      <c r="E100" t="s">
        <v>2</v>
      </c>
    </row>
    <row r="101" spans="1:5" x14ac:dyDescent="0.25">
      <c r="A101">
        <v>5.0999999999999996</v>
      </c>
      <c r="B101">
        <v>2.5</v>
      </c>
      <c r="C101">
        <v>3</v>
      </c>
      <c r="D101">
        <v>1.1000000000000001</v>
      </c>
      <c r="E101" t="s">
        <v>2</v>
      </c>
    </row>
    <row r="102" spans="1:5" x14ac:dyDescent="0.25">
      <c r="A102">
        <v>5.7</v>
      </c>
      <c r="B102">
        <v>2.8</v>
      </c>
      <c r="C102">
        <v>4.0999999999999996</v>
      </c>
      <c r="D102">
        <v>1.3</v>
      </c>
      <c r="E102" t="s">
        <v>2</v>
      </c>
    </row>
    <row r="103" spans="1:5" x14ac:dyDescent="0.25">
      <c r="A103">
        <v>6.3</v>
      </c>
      <c r="B103">
        <v>3.3</v>
      </c>
      <c r="C103">
        <v>6</v>
      </c>
      <c r="D103">
        <v>2.5</v>
      </c>
      <c r="E103" t="s">
        <v>1</v>
      </c>
    </row>
    <row r="104" spans="1:5" x14ac:dyDescent="0.25">
      <c r="A104">
        <v>5.8</v>
      </c>
      <c r="B104">
        <v>2.7</v>
      </c>
      <c r="C104">
        <v>5.0999999999999996</v>
      </c>
      <c r="D104">
        <v>1.9</v>
      </c>
      <c r="E104" t="s">
        <v>1</v>
      </c>
    </row>
    <row r="105" spans="1:5" x14ac:dyDescent="0.25">
      <c r="A105">
        <v>7.1</v>
      </c>
      <c r="B105">
        <v>3</v>
      </c>
      <c r="C105">
        <v>5.9</v>
      </c>
      <c r="D105">
        <v>2.1</v>
      </c>
      <c r="E105" t="s">
        <v>1</v>
      </c>
    </row>
    <row r="106" spans="1:5" x14ac:dyDescent="0.25">
      <c r="A106">
        <v>6.3</v>
      </c>
      <c r="B106">
        <v>2.9</v>
      </c>
      <c r="C106">
        <v>5.6</v>
      </c>
      <c r="D106">
        <v>1.8</v>
      </c>
      <c r="E106" t="s">
        <v>1</v>
      </c>
    </row>
    <row r="107" spans="1:5" x14ac:dyDescent="0.25">
      <c r="A107">
        <v>6.5</v>
      </c>
      <c r="B107">
        <v>3</v>
      </c>
      <c r="C107">
        <v>5.8</v>
      </c>
      <c r="D107">
        <v>2.2000000000000002</v>
      </c>
      <c r="E107" t="s">
        <v>1</v>
      </c>
    </row>
    <row r="108" spans="1:5" x14ac:dyDescent="0.25">
      <c r="A108">
        <v>7.6</v>
      </c>
      <c r="B108">
        <v>3</v>
      </c>
      <c r="C108">
        <v>6.6</v>
      </c>
      <c r="D108">
        <v>2.1</v>
      </c>
      <c r="E108" t="s">
        <v>1</v>
      </c>
    </row>
    <row r="109" spans="1:5" x14ac:dyDescent="0.25">
      <c r="A109">
        <v>4.9000000000000004</v>
      </c>
      <c r="B109">
        <v>2.5</v>
      </c>
      <c r="C109">
        <v>4.5</v>
      </c>
      <c r="D109">
        <v>1.7</v>
      </c>
      <c r="E109" t="s">
        <v>1</v>
      </c>
    </row>
    <row r="110" spans="1:5" x14ac:dyDescent="0.25">
      <c r="A110">
        <v>7.3</v>
      </c>
      <c r="B110">
        <v>2.9</v>
      </c>
      <c r="C110">
        <v>6.3</v>
      </c>
      <c r="D110">
        <v>1.8</v>
      </c>
      <c r="E110" t="s">
        <v>1</v>
      </c>
    </row>
    <row r="111" spans="1:5" x14ac:dyDescent="0.25">
      <c r="A111">
        <v>6.7</v>
      </c>
      <c r="B111">
        <v>2.5</v>
      </c>
      <c r="C111">
        <v>5.8</v>
      </c>
      <c r="D111">
        <v>1.8</v>
      </c>
      <c r="E111" t="s">
        <v>1</v>
      </c>
    </row>
    <row r="112" spans="1:5" x14ac:dyDescent="0.25">
      <c r="A112">
        <v>7.2</v>
      </c>
      <c r="B112">
        <v>3.6</v>
      </c>
      <c r="C112">
        <v>6.1</v>
      </c>
      <c r="D112">
        <v>2.5</v>
      </c>
      <c r="E112" t="s">
        <v>1</v>
      </c>
    </row>
    <row r="113" spans="1:5" x14ac:dyDescent="0.25">
      <c r="A113">
        <v>6.5</v>
      </c>
      <c r="B113">
        <v>3.2</v>
      </c>
      <c r="C113">
        <v>5.0999999999999996</v>
      </c>
      <c r="D113">
        <v>2</v>
      </c>
      <c r="E113" t="s">
        <v>1</v>
      </c>
    </row>
    <row r="114" spans="1:5" x14ac:dyDescent="0.25">
      <c r="A114">
        <v>6.4</v>
      </c>
      <c r="B114">
        <v>2.7</v>
      </c>
      <c r="C114">
        <v>5.3</v>
      </c>
      <c r="D114">
        <v>1.9</v>
      </c>
      <c r="E114" t="s">
        <v>1</v>
      </c>
    </row>
    <row r="115" spans="1:5" x14ac:dyDescent="0.25">
      <c r="A115">
        <v>6.8</v>
      </c>
      <c r="B115">
        <v>3</v>
      </c>
      <c r="C115">
        <v>5.5</v>
      </c>
      <c r="D115">
        <v>2.1</v>
      </c>
      <c r="E115" t="s">
        <v>1</v>
      </c>
    </row>
    <row r="116" spans="1:5" x14ac:dyDescent="0.25">
      <c r="A116">
        <v>5.7</v>
      </c>
      <c r="B116">
        <v>2.5</v>
      </c>
      <c r="C116">
        <v>5</v>
      </c>
      <c r="D116">
        <v>2</v>
      </c>
      <c r="E116" t="s">
        <v>1</v>
      </c>
    </row>
    <row r="117" spans="1:5" x14ac:dyDescent="0.25">
      <c r="A117">
        <v>5.8</v>
      </c>
      <c r="B117">
        <v>2.8</v>
      </c>
      <c r="C117">
        <v>5.0999999999999996</v>
      </c>
      <c r="D117">
        <v>2.4</v>
      </c>
      <c r="E117" t="s">
        <v>1</v>
      </c>
    </row>
    <row r="118" spans="1:5" x14ac:dyDescent="0.25">
      <c r="A118">
        <v>6.4</v>
      </c>
      <c r="B118">
        <v>3.2</v>
      </c>
      <c r="C118">
        <v>5.3</v>
      </c>
      <c r="D118">
        <v>2.2999999999999998</v>
      </c>
      <c r="E118" t="s">
        <v>1</v>
      </c>
    </row>
    <row r="119" spans="1:5" x14ac:dyDescent="0.25">
      <c r="A119">
        <v>6.5</v>
      </c>
      <c r="B119">
        <v>3</v>
      </c>
      <c r="C119">
        <v>5.5</v>
      </c>
      <c r="D119">
        <v>1.8</v>
      </c>
      <c r="E119" t="s">
        <v>1</v>
      </c>
    </row>
    <row r="120" spans="1:5" x14ac:dyDescent="0.25">
      <c r="A120">
        <v>7.7</v>
      </c>
      <c r="B120">
        <v>3.8</v>
      </c>
      <c r="C120">
        <v>6.7</v>
      </c>
      <c r="D120">
        <v>2.2000000000000002</v>
      </c>
      <c r="E120" t="s">
        <v>1</v>
      </c>
    </row>
    <row r="121" spans="1:5" x14ac:dyDescent="0.25">
      <c r="A121">
        <v>7.7</v>
      </c>
      <c r="B121">
        <v>2.6</v>
      </c>
      <c r="C121">
        <v>6.9</v>
      </c>
      <c r="D121">
        <v>2.2999999999999998</v>
      </c>
      <c r="E121" t="s">
        <v>1</v>
      </c>
    </row>
    <row r="122" spans="1:5" x14ac:dyDescent="0.25">
      <c r="A122">
        <v>6</v>
      </c>
      <c r="B122">
        <v>2.2000000000000002</v>
      </c>
      <c r="C122">
        <v>5</v>
      </c>
      <c r="D122">
        <v>1.5</v>
      </c>
      <c r="E122" t="s">
        <v>1</v>
      </c>
    </row>
    <row r="123" spans="1:5" x14ac:dyDescent="0.25">
      <c r="A123">
        <v>6.9</v>
      </c>
      <c r="B123">
        <v>3.2</v>
      </c>
      <c r="C123">
        <v>5.7</v>
      </c>
      <c r="D123">
        <v>2.2999999999999998</v>
      </c>
      <c r="E123" t="s">
        <v>1</v>
      </c>
    </row>
    <row r="124" spans="1:5" x14ac:dyDescent="0.25">
      <c r="A124">
        <v>5.6</v>
      </c>
      <c r="B124">
        <v>2.8</v>
      </c>
      <c r="C124">
        <v>4.9000000000000004</v>
      </c>
      <c r="D124">
        <v>2</v>
      </c>
      <c r="E124" t="s">
        <v>1</v>
      </c>
    </row>
    <row r="125" spans="1:5" x14ac:dyDescent="0.25">
      <c r="A125">
        <v>7.7</v>
      </c>
      <c r="B125">
        <v>2.8</v>
      </c>
      <c r="C125">
        <v>6.7</v>
      </c>
      <c r="D125">
        <v>2</v>
      </c>
      <c r="E125" t="s">
        <v>1</v>
      </c>
    </row>
    <row r="126" spans="1:5" x14ac:dyDescent="0.25">
      <c r="A126">
        <v>6.3</v>
      </c>
      <c r="B126">
        <v>2.7</v>
      </c>
      <c r="C126">
        <v>4.9000000000000004</v>
      </c>
      <c r="D126">
        <v>1.8</v>
      </c>
      <c r="E126" t="s">
        <v>1</v>
      </c>
    </row>
    <row r="127" spans="1:5" x14ac:dyDescent="0.25">
      <c r="A127">
        <v>6.7</v>
      </c>
      <c r="B127">
        <v>3.3</v>
      </c>
      <c r="C127">
        <v>5.7</v>
      </c>
      <c r="D127">
        <v>2.1</v>
      </c>
      <c r="E127" t="s">
        <v>1</v>
      </c>
    </row>
    <row r="128" spans="1:5" x14ac:dyDescent="0.25">
      <c r="A128">
        <v>7.2</v>
      </c>
      <c r="B128">
        <v>3.2</v>
      </c>
      <c r="C128">
        <v>6</v>
      </c>
      <c r="D128">
        <v>1.8</v>
      </c>
      <c r="E128" t="s">
        <v>1</v>
      </c>
    </row>
    <row r="129" spans="1:5" x14ac:dyDescent="0.25">
      <c r="A129">
        <v>6.2</v>
      </c>
      <c r="B129">
        <v>2.8</v>
      </c>
      <c r="C129">
        <v>4.8</v>
      </c>
      <c r="D129">
        <v>1.8</v>
      </c>
      <c r="E129" t="s">
        <v>1</v>
      </c>
    </row>
    <row r="130" spans="1:5" x14ac:dyDescent="0.25">
      <c r="A130">
        <v>6.1</v>
      </c>
      <c r="B130">
        <v>3</v>
      </c>
      <c r="C130">
        <v>4.9000000000000004</v>
      </c>
      <c r="D130">
        <v>1.8</v>
      </c>
      <c r="E130" t="s">
        <v>1</v>
      </c>
    </row>
    <row r="131" spans="1:5" x14ac:dyDescent="0.25">
      <c r="A131">
        <v>6.4</v>
      </c>
      <c r="B131">
        <v>2.8</v>
      </c>
      <c r="C131">
        <v>5.6</v>
      </c>
      <c r="D131">
        <v>2.1</v>
      </c>
      <c r="E131" t="s">
        <v>1</v>
      </c>
    </row>
    <row r="132" spans="1:5" x14ac:dyDescent="0.25">
      <c r="A132">
        <v>7.2</v>
      </c>
      <c r="B132">
        <v>3</v>
      </c>
      <c r="C132">
        <v>5.8</v>
      </c>
      <c r="D132">
        <v>1.6</v>
      </c>
      <c r="E132" t="s">
        <v>1</v>
      </c>
    </row>
    <row r="133" spans="1:5" x14ac:dyDescent="0.25">
      <c r="A133">
        <v>7.4</v>
      </c>
      <c r="B133">
        <v>2.8</v>
      </c>
      <c r="C133">
        <v>6.1</v>
      </c>
      <c r="D133">
        <v>1.9</v>
      </c>
      <c r="E133" t="s">
        <v>1</v>
      </c>
    </row>
    <row r="134" spans="1:5" x14ac:dyDescent="0.25">
      <c r="A134">
        <v>7.9</v>
      </c>
      <c r="B134">
        <v>3.8</v>
      </c>
      <c r="C134">
        <v>6.4</v>
      </c>
      <c r="D134">
        <v>2</v>
      </c>
      <c r="E134" t="s">
        <v>1</v>
      </c>
    </row>
    <row r="135" spans="1:5" x14ac:dyDescent="0.25">
      <c r="A135">
        <v>6.4</v>
      </c>
      <c r="B135">
        <v>2.8</v>
      </c>
      <c r="C135">
        <v>5.6</v>
      </c>
      <c r="D135">
        <v>2.2000000000000002</v>
      </c>
      <c r="E135" t="s">
        <v>1</v>
      </c>
    </row>
    <row r="136" spans="1:5" x14ac:dyDescent="0.25">
      <c r="A136">
        <v>6.3</v>
      </c>
      <c r="B136">
        <v>2.8</v>
      </c>
      <c r="C136">
        <v>5.0999999999999996</v>
      </c>
      <c r="D136">
        <v>1.5</v>
      </c>
      <c r="E136" t="s">
        <v>1</v>
      </c>
    </row>
    <row r="137" spans="1:5" x14ac:dyDescent="0.25">
      <c r="A137">
        <v>6.1</v>
      </c>
      <c r="B137">
        <v>2.6</v>
      </c>
      <c r="C137">
        <v>5.6</v>
      </c>
      <c r="D137">
        <v>1.4</v>
      </c>
      <c r="E137" t="s">
        <v>1</v>
      </c>
    </row>
    <row r="138" spans="1:5" x14ac:dyDescent="0.25">
      <c r="A138">
        <v>7.7</v>
      </c>
      <c r="B138">
        <v>3</v>
      </c>
      <c r="C138">
        <v>6.1</v>
      </c>
      <c r="D138">
        <v>2.2999999999999998</v>
      </c>
      <c r="E138" t="s">
        <v>1</v>
      </c>
    </row>
    <row r="139" spans="1:5" x14ac:dyDescent="0.25">
      <c r="A139">
        <v>6.3</v>
      </c>
      <c r="B139">
        <v>3.4</v>
      </c>
      <c r="C139">
        <v>5.6</v>
      </c>
      <c r="D139">
        <v>2.4</v>
      </c>
      <c r="E139" t="s">
        <v>1</v>
      </c>
    </row>
    <row r="140" spans="1:5" x14ac:dyDescent="0.25">
      <c r="A140">
        <v>6.4</v>
      </c>
      <c r="B140">
        <v>3.1</v>
      </c>
      <c r="C140">
        <v>5.5</v>
      </c>
      <c r="D140">
        <v>1.8</v>
      </c>
      <c r="E140" t="s">
        <v>1</v>
      </c>
    </row>
    <row r="141" spans="1:5" x14ac:dyDescent="0.25">
      <c r="A141">
        <v>6</v>
      </c>
      <c r="B141">
        <v>3</v>
      </c>
      <c r="C141">
        <v>4.8</v>
      </c>
      <c r="D141">
        <v>1.8</v>
      </c>
      <c r="E141" t="s">
        <v>1</v>
      </c>
    </row>
    <row r="142" spans="1:5" x14ac:dyDescent="0.25">
      <c r="A142">
        <v>6.9</v>
      </c>
      <c r="B142">
        <v>3.1</v>
      </c>
      <c r="C142">
        <v>5.4</v>
      </c>
      <c r="D142">
        <v>2.1</v>
      </c>
      <c r="E142" t="s">
        <v>1</v>
      </c>
    </row>
    <row r="143" spans="1:5" x14ac:dyDescent="0.25">
      <c r="A143">
        <v>6.7</v>
      </c>
      <c r="B143">
        <v>3.1</v>
      </c>
      <c r="C143">
        <v>5.6</v>
      </c>
      <c r="D143">
        <v>2.4</v>
      </c>
      <c r="E143" t="s">
        <v>1</v>
      </c>
    </row>
    <row r="144" spans="1:5" x14ac:dyDescent="0.25">
      <c r="A144">
        <v>6.9</v>
      </c>
      <c r="B144">
        <v>3.1</v>
      </c>
      <c r="C144">
        <v>5.0999999999999996</v>
      </c>
      <c r="D144">
        <v>2.2999999999999998</v>
      </c>
      <c r="E144" t="s">
        <v>1</v>
      </c>
    </row>
    <row r="145" spans="1:5" x14ac:dyDescent="0.25">
      <c r="A145">
        <v>5.8</v>
      </c>
      <c r="B145">
        <v>2.7</v>
      </c>
      <c r="C145">
        <v>5.0999999999999996</v>
      </c>
      <c r="D145">
        <v>1.9</v>
      </c>
      <c r="E145" t="s">
        <v>1</v>
      </c>
    </row>
    <row r="146" spans="1:5" x14ac:dyDescent="0.25">
      <c r="A146">
        <v>6.8</v>
      </c>
      <c r="B146">
        <v>3.2</v>
      </c>
      <c r="C146">
        <v>5.9</v>
      </c>
      <c r="D146">
        <v>2.2999999999999998</v>
      </c>
      <c r="E146" t="s">
        <v>1</v>
      </c>
    </row>
    <row r="147" spans="1:5" x14ac:dyDescent="0.25">
      <c r="A147">
        <v>6.7</v>
      </c>
      <c r="B147">
        <v>3.3</v>
      </c>
      <c r="C147">
        <v>5.7</v>
      </c>
      <c r="D147">
        <v>2.5</v>
      </c>
      <c r="E147" t="s">
        <v>1</v>
      </c>
    </row>
    <row r="148" spans="1:5" x14ac:dyDescent="0.25">
      <c r="A148">
        <v>6.7</v>
      </c>
      <c r="B148">
        <v>3</v>
      </c>
      <c r="C148">
        <v>5.2</v>
      </c>
      <c r="D148">
        <v>2.2999999999999998</v>
      </c>
      <c r="E148" t="s">
        <v>1</v>
      </c>
    </row>
    <row r="149" spans="1:5" x14ac:dyDescent="0.25">
      <c r="A149">
        <v>6.3</v>
      </c>
      <c r="B149">
        <v>2.5</v>
      </c>
      <c r="C149">
        <v>5</v>
      </c>
      <c r="D149">
        <v>1.9</v>
      </c>
      <c r="E149" t="s">
        <v>1</v>
      </c>
    </row>
    <row r="150" spans="1:5" x14ac:dyDescent="0.25">
      <c r="A150">
        <v>6.5</v>
      </c>
      <c r="B150">
        <v>3</v>
      </c>
      <c r="C150">
        <v>5.2</v>
      </c>
      <c r="D150">
        <v>2</v>
      </c>
      <c r="E150" t="s">
        <v>1</v>
      </c>
    </row>
    <row r="151" spans="1:5" x14ac:dyDescent="0.25">
      <c r="A151">
        <v>6.2</v>
      </c>
      <c r="B151">
        <v>3.4</v>
      </c>
      <c r="C151">
        <v>5.4</v>
      </c>
      <c r="D151">
        <v>2.2999999999999998</v>
      </c>
      <c r="E151" t="s">
        <v>1</v>
      </c>
    </row>
    <row r="152" spans="1:5" x14ac:dyDescent="0.25">
      <c r="A152">
        <v>5.9</v>
      </c>
      <c r="B152">
        <v>3</v>
      </c>
      <c r="C152">
        <v>5.0999999999999996</v>
      </c>
      <c r="D152">
        <v>1.8</v>
      </c>
      <c r="E152" t="s">
        <v>1</v>
      </c>
    </row>
    <row r="154" spans="1:5" x14ac:dyDescent="0.25">
      <c r="A154" s="1" t="s">
        <v>0</v>
      </c>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41544-D8C1-4414-8AFA-EE89DAD2F9BC}">
  <dimension ref="A1:I16"/>
  <sheetViews>
    <sheetView workbookViewId="0">
      <selection activeCell="H2" sqref="H2"/>
    </sheetView>
  </sheetViews>
  <sheetFormatPr defaultRowHeight="15" x14ac:dyDescent="0.25"/>
  <cols>
    <col min="1" max="1" width="17" customWidth="1"/>
    <col min="2" max="4" width="10.140625" customWidth="1"/>
    <col min="6" max="6" width="19.42578125" customWidth="1"/>
    <col min="8" max="8" width="25" customWidth="1"/>
  </cols>
  <sheetData>
    <row r="1" spans="1:9" x14ac:dyDescent="0.25">
      <c r="F1" t="s">
        <v>23</v>
      </c>
      <c r="H1" t="s">
        <v>22</v>
      </c>
    </row>
    <row r="2" spans="1:9" x14ac:dyDescent="0.25">
      <c r="A2">
        <v>10</v>
      </c>
      <c r="B2">
        <v>25</v>
      </c>
      <c r="F2" s="4" cm="1" vm="5">
        <f t="array" ref="F2">_xlfn._xlws.PY(7,1,A2,B2)</f>
        <v>35</v>
      </c>
      <c r="H2" s="4" t="e" cm="1" vm="6">
        <f t="array" ref="H2">_xlfn._xlws.PY(8,1,Tabella6[campo1])</f>
        <v>#VALUE!</v>
      </c>
    </row>
    <row r="4" spans="1:9" x14ac:dyDescent="0.25">
      <c r="A4" cm="1" vm="7">
        <f t="array" ref="A4">_xlfn._xlws.PY(9,0)</f>
        <v>0</v>
      </c>
      <c r="I4" t="s">
        <v>21</v>
      </c>
    </row>
    <row r="13" spans="1:9" x14ac:dyDescent="0.25">
      <c r="B13" t="s">
        <v>12</v>
      </c>
      <c r="C13" t="s">
        <v>13</v>
      </c>
      <c r="D13" t="s">
        <v>14</v>
      </c>
    </row>
    <row r="14" spans="1:9" x14ac:dyDescent="0.25">
      <c r="B14">
        <v>23</v>
      </c>
      <c r="C14" t="s">
        <v>15</v>
      </c>
      <c r="D14" t="s">
        <v>18</v>
      </c>
    </row>
    <row r="15" spans="1:9" x14ac:dyDescent="0.25">
      <c r="B15">
        <v>34</v>
      </c>
      <c r="C15" t="s">
        <v>16</v>
      </c>
      <c r="D15" t="s">
        <v>19</v>
      </c>
    </row>
    <row r="16" spans="1:9" x14ac:dyDescent="0.25">
      <c r="B16">
        <v>56</v>
      </c>
      <c r="C16" t="s">
        <v>17</v>
      </c>
      <c r="D16" t="s">
        <v>20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6</vt:i4>
      </vt:variant>
    </vt:vector>
  </HeadingPairs>
  <TitlesOfParts>
    <vt:vector size="6" baseType="lpstr">
      <vt:lpstr>iris e statistiche</vt:lpstr>
      <vt:lpstr>scatterplot</vt:lpstr>
      <vt:lpstr>matrice correlazione</vt:lpstr>
      <vt:lpstr>matrice scatterplot</vt:lpstr>
      <vt:lpstr>regressione</vt:lpstr>
      <vt:lpstr>prove libere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Antonio Piemontese</dc:creator>
  <cp:lastModifiedBy>Antonio Piemontese</cp:lastModifiedBy>
  <dcterms:created xsi:type="dcterms:W3CDTF">2025-12-15T21:11:02Z</dcterms:created>
  <dcterms:modified xsi:type="dcterms:W3CDTF">2025-12-16T21:37:43Z</dcterms:modified>
</cp:coreProperties>
</file>